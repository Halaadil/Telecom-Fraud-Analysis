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TRO\Desktop\fraud\"/>
    </mc:Choice>
  </mc:AlternateContent>
  <bookViews>
    <workbookView xWindow="0" yWindow="0" windowWidth="12250" windowHeight="5140"/>
  </bookViews>
  <sheets>
    <sheet name=" PivotTable1" sheetId="5" r:id="rId1"/>
    <sheet name=" PivotTable2" sheetId="6" r:id="rId2"/>
    <sheet name=" PivotTable3" sheetId="7" r:id="rId3"/>
    <sheet name=" PivotTable4" sheetId="8" r:id="rId4"/>
    <sheet name="Customer Churn" sheetId="1" r:id="rId5"/>
  </sheets>
  <calcPr calcId="162913"/>
  <pivotCaches>
    <pivotCache cacheId="9" r:id="rId6"/>
  </pivotCaches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P2" i="1"/>
  <c r="Q2" i="1" s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4" i="1"/>
  <c r="Q24" i="1" s="1"/>
  <c r="P25" i="1"/>
  <c r="Q25" i="1" s="1"/>
  <c r="P26" i="1"/>
  <c r="Q26" i="1" s="1"/>
  <c r="P27" i="1"/>
  <c r="Q27" i="1" s="1"/>
  <c r="P28" i="1"/>
  <c r="Q28" i="1" s="1"/>
  <c r="P29" i="1"/>
  <c r="Q29" i="1" s="1"/>
  <c r="P30" i="1"/>
  <c r="Q30" i="1" s="1"/>
  <c r="P31" i="1"/>
  <c r="Q31" i="1" s="1"/>
  <c r="P32" i="1"/>
  <c r="Q32" i="1" s="1"/>
  <c r="P33" i="1"/>
  <c r="Q33" i="1" s="1"/>
  <c r="P34" i="1"/>
  <c r="Q34" i="1" s="1"/>
  <c r="P35" i="1"/>
  <c r="Q35" i="1" s="1"/>
  <c r="P36" i="1"/>
  <c r="Q36" i="1" s="1"/>
  <c r="P37" i="1"/>
  <c r="Q37" i="1" s="1"/>
  <c r="P38" i="1"/>
  <c r="Q38" i="1" s="1"/>
  <c r="P39" i="1"/>
  <c r="Q39" i="1" s="1"/>
  <c r="P40" i="1"/>
  <c r="Q40" i="1" s="1"/>
  <c r="P41" i="1"/>
  <c r="Q41" i="1" s="1"/>
  <c r="P42" i="1"/>
  <c r="Q42" i="1" s="1"/>
  <c r="P43" i="1"/>
  <c r="Q43" i="1" s="1"/>
  <c r="P44" i="1"/>
  <c r="Q44" i="1" s="1"/>
  <c r="P45" i="1"/>
  <c r="Q45" i="1" s="1"/>
  <c r="P46" i="1"/>
  <c r="Q46" i="1" s="1"/>
  <c r="P47" i="1"/>
  <c r="Q47" i="1" s="1"/>
  <c r="P48" i="1"/>
  <c r="Q48" i="1" s="1"/>
  <c r="P49" i="1"/>
  <c r="Q49" i="1" s="1"/>
  <c r="P50" i="1"/>
  <c r="Q50" i="1" s="1"/>
  <c r="P51" i="1"/>
  <c r="Q51" i="1" s="1"/>
  <c r="P52" i="1"/>
  <c r="Q52" i="1" s="1"/>
  <c r="P53" i="1"/>
  <c r="Q53" i="1" s="1"/>
  <c r="P54" i="1"/>
  <c r="Q54" i="1" s="1"/>
  <c r="P55" i="1"/>
  <c r="Q55" i="1" s="1"/>
  <c r="P56" i="1"/>
  <c r="Q56" i="1" s="1"/>
  <c r="P57" i="1"/>
  <c r="Q57" i="1" s="1"/>
  <c r="P58" i="1"/>
  <c r="Q58" i="1" s="1"/>
  <c r="P59" i="1"/>
  <c r="Q59" i="1" s="1"/>
  <c r="P60" i="1"/>
  <c r="Q60" i="1" s="1"/>
  <c r="P61" i="1"/>
  <c r="Q61" i="1" s="1"/>
  <c r="P62" i="1"/>
  <c r="Q62" i="1" s="1"/>
  <c r="P63" i="1"/>
  <c r="Q63" i="1" s="1"/>
  <c r="P64" i="1"/>
  <c r="Q64" i="1" s="1"/>
  <c r="P65" i="1"/>
  <c r="Q65" i="1" s="1"/>
  <c r="P66" i="1"/>
  <c r="Q66" i="1" s="1"/>
  <c r="P67" i="1"/>
  <c r="Q67" i="1" s="1"/>
  <c r="P68" i="1"/>
  <c r="Q68" i="1" s="1"/>
  <c r="P69" i="1"/>
  <c r="Q69" i="1" s="1"/>
  <c r="P70" i="1"/>
  <c r="Q70" i="1" s="1"/>
  <c r="P71" i="1"/>
  <c r="Q71" i="1" s="1"/>
  <c r="P72" i="1"/>
  <c r="Q72" i="1" s="1"/>
  <c r="P73" i="1"/>
  <c r="Q73" i="1" s="1"/>
  <c r="P74" i="1"/>
  <c r="Q74" i="1" s="1"/>
  <c r="P75" i="1"/>
  <c r="Q75" i="1" s="1"/>
  <c r="P76" i="1"/>
  <c r="Q76" i="1" s="1"/>
  <c r="P77" i="1"/>
  <c r="Q77" i="1" s="1"/>
  <c r="P78" i="1"/>
  <c r="Q78" i="1" s="1"/>
  <c r="P79" i="1"/>
  <c r="Q79" i="1" s="1"/>
  <c r="P80" i="1"/>
  <c r="Q80" i="1" s="1"/>
  <c r="P81" i="1"/>
  <c r="Q81" i="1" s="1"/>
  <c r="P82" i="1"/>
  <c r="Q82" i="1" s="1"/>
  <c r="P83" i="1"/>
  <c r="Q83" i="1" s="1"/>
  <c r="P84" i="1"/>
  <c r="Q84" i="1" s="1"/>
  <c r="P85" i="1"/>
  <c r="Q85" i="1" s="1"/>
  <c r="P86" i="1"/>
  <c r="Q86" i="1" s="1"/>
  <c r="P87" i="1"/>
  <c r="Q87" i="1" s="1"/>
  <c r="P88" i="1"/>
  <c r="Q88" i="1" s="1"/>
  <c r="P89" i="1"/>
  <c r="Q89" i="1" s="1"/>
  <c r="P90" i="1"/>
  <c r="Q90" i="1" s="1"/>
  <c r="P91" i="1"/>
  <c r="Q91" i="1" s="1"/>
  <c r="P92" i="1"/>
  <c r="Q92" i="1" s="1"/>
  <c r="P93" i="1"/>
  <c r="Q93" i="1" s="1"/>
  <c r="P94" i="1"/>
  <c r="Q94" i="1" s="1"/>
  <c r="P95" i="1"/>
  <c r="Q95" i="1" s="1"/>
  <c r="P96" i="1"/>
  <c r="Q96" i="1" s="1"/>
  <c r="P97" i="1"/>
  <c r="Q97" i="1" s="1"/>
  <c r="P98" i="1"/>
  <c r="Q98" i="1" s="1"/>
  <c r="P99" i="1"/>
  <c r="Q99" i="1" s="1"/>
  <c r="P100" i="1"/>
  <c r="Q100" i="1" s="1"/>
  <c r="P101" i="1"/>
  <c r="Q101" i="1" s="1"/>
  <c r="P102" i="1"/>
  <c r="Q102" i="1" s="1"/>
  <c r="P103" i="1"/>
  <c r="Q103" i="1" s="1"/>
  <c r="P104" i="1"/>
  <c r="Q104" i="1" s="1"/>
  <c r="P105" i="1"/>
  <c r="Q105" i="1" s="1"/>
  <c r="P106" i="1"/>
  <c r="Q106" i="1" s="1"/>
  <c r="P107" i="1"/>
  <c r="Q107" i="1" s="1"/>
  <c r="P108" i="1"/>
  <c r="Q108" i="1" s="1"/>
  <c r="P109" i="1"/>
  <c r="Q109" i="1" s="1"/>
  <c r="P110" i="1"/>
  <c r="Q110" i="1" s="1"/>
  <c r="P111" i="1"/>
  <c r="Q111" i="1" s="1"/>
  <c r="P112" i="1"/>
  <c r="Q112" i="1" s="1"/>
  <c r="P113" i="1"/>
  <c r="Q113" i="1" s="1"/>
  <c r="P114" i="1"/>
  <c r="Q114" i="1" s="1"/>
  <c r="P115" i="1"/>
  <c r="Q115" i="1" s="1"/>
  <c r="P116" i="1"/>
  <c r="Q116" i="1" s="1"/>
  <c r="P117" i="1"/>
  <c r="Q117" i="1" s="1"/>
  <c r="P118" i="1"/>
  <c r="Q118" i="1" s="1"/>
  <c r="P119" i="1"/>
  <c r="Q119" i="1" s="1"/>
  <c r="P120" i="1"/>
  <c r="Q120" i="1" s="1"/>
  <c r="P121" i="1"/>
  <c r="Q121" i="1" s="1"/>
  <c r="P122" i="1"/>
  <c r="Q122" i="1" s="1"/>
  <c r="P123" i="1"/>
  <c r="Q123" i="1" s="1"/>
  <c r="P124" i="1"/>
  <c r="Q124" i="1" s="1"/>
  <c r="P125" i="1"/>
  <c r="Q125" i="1" s="1"/>
  <c r="P126" i="1"/>
  <c r="Q126" i="1" s="1"/>
  <c r="P127" i="1"/>
  <c r="Q127" i="1" s="1"/>
  <c r="P128" i="1"/>
  <c r="Q128" i="1" s="1"/>
  <c r="P129" i="1"/>
  <c r="Q129" i="1" s="1"/>
  <c r="P130" i="1"/>
  <c r="Q130" i="1" s="1"/>
  <c r="P131" i="1"/>
  <c r="Q131" i="1" s="1"/>
  <c r="P132" i="1"/>
  <c r="Q132" i="1" s="1"/>
  <c r="P133" i="1"/>
  <c r="Q133" i="1" s="1"/>
  <c r="P134" i="1"/>
  <c r="Q134" i="1" s="1"/>
  <c r="P135" i="1"/>
  <c r="Q135" i="1" s="1"/>
  <c r="P136" i="1"/>
  <c r="Q136" i="1" s="1"/>
  <c r="P137" i="1"/>
  <c r="Q137" i="1" s="1"/>
  <c r="P138" i="1"/>
  <c r="Q138" i="1" s="1"/>
  <c r="P139" i="1"/>
  <c r="Q139" i="1" s="1"/>
  <c r="P140" i="1"/>
  <c r="Q140" i="1" s="1"/>
  <c r="P141" i="1"/>
  <c r="Q141" i="1" s="1"/>
  <c r="P142" i="1"/>
  <c r="Q142" i="1" s="1"/>
  <c r="P143" i="1"/>
  <c r="Q143" i="1" s="1"/>
  <c r="P144" i="1"/>
  <c r="Q144" i="1" s="1"/>
  <c r="P145" i="1"/>
  <c r="Q145" i="1" s="1"/>
  <c r="P146" i="1"/>
  <c r="Q146" i="1" s="1"/>
  <c r="P147" i="1"/>
  <c r="Q147" i="1" s="1"/>
  <c r="P148" i="1"/>
  <c r="Q148" i="1" s="1"/>
  <c r="P149" i="1"/>
  <c r="Q149" i="1" s="1"/>
  <c r="P150" i="1"/>
  <c r="Q150" i="1" s="1"/>
  <c r="P151" i="1"/>
  <c r="Q151" i="1" s="1"/>
  <c r="P152" i="1"/>
  <c r="Q152" i="1" s="1"/>
  <c r="P153" i="1"/>
  <c r="Q153" i="1" s="1"/>
  <c r="P154" i="1"/>
  <c r="Q154" i="1" s="1"/>
  <c r="P155" i="1"/>
  <c r="Q155" i="1" s="1"/>
  <c r="P156" i="1"/>
  <c r="Q156" i="1" s="1"/>
  <c r="P157" i="1"/>
  <c r="Q157" i="1" s="1"/>
  <c r="P158" i="1"/>
  <c r="Q158" i="1" s="1"/>
  <c r="P159" i="1"/>
  <c r="Q159" i="1" s="1"/>
  <c r="P160" i="1"/>
  <c r="Q160" i="1" s="1"/>
  <c r="P161" i="1"/>
  <c r="Q161" i="1" s="1"/>
  <c r="P162" i="1"/>
  <c r="Q162" i="1" s="1"/>
  <c r="P163" i="1"/>
  <c r="Q163" i="1" s="1"/>
  <c r="P164" i="1"/>
  <c r="Q164" i="1" s="1"/>
  <c r="P165" i="1"/>
  <c r="Q165" i="1" s="1"/>
  <c r="P166" i="1"/>
  <c r="Q166" i="1" s="1"/>
  <c r="P167" i="1"/>
  <c r="Q167" i="1" s="1"/>
  <c r="P168" i="1"/>
  <c r="Q168" i="1" s="1"/>
  <c r="P169" i="1"/>
  <c r="Q169" i="1" s="1"/>
  <c r="P170" i="1"/>
  <c r="Q170" i="1" s="1"/>
  <c r="P171" i="1"/>
  <c r="Q171" i="1" s="1"/>
  <c r="P172" i="1"/>
  <c r="Q172" i="1" s="1"/>
  <c r="P173" i="1"/>
  <c r="Q173" i="1" s="1"/>
  <c r="P174" i="1"/>
  <c r="Q174" i="1" s="1"/>
  <c r="P175" i="1"/>
  <c r="Q175" i="1" s="1"/>
  <c r="P176" i="1"/>
  <c r="Q176" i="1" s="1"/>
  <c r="P177" i="1"/>
  <c r="Q177" i="1" s="1"/>
  <c r="P178" i="1"/>
  <c r="Q178" i="1" s="1"/>
  <c r="P179" i="1"/>
  <c r="Q179" i="1" s="1"/>
  <c r="P180" i="1"/>
  <c r="Q180" i="1" s="1"/>
  <c r="P181" i="1"/>
  <c r="Q181" i="1" s="1"/>
  <c r="P182" i="1"/>
  <c r="Q182" i="1" s="1"/>
  <c r="P183" i="1"/>
  <c r="Q183" i="1" s="1"/>
  <c r="P184" i="1"/>
  <c r="Q184" i="1" s="1"/>
  <c r="P185" i="1"/>
  <c r="Q185" i="1" s="1"/>
  <c r="P186" i="1"/>
  <c r="Q186" i="1" s="1"/>
  <c r="P187" i="1"/>
  <c r="Q187" i="1" s="1"/>
  <c r="P188" i="1"/>
  <c r="Q188" i="1" s="1"/>
  <c r="P189" i="1"/>
  <c r="Q189" i="1" s="1"/>
  <c r="P190" i="1"/>
  <c r="Q190" i="1" s="1"/>
  <c r="P191" i="1"/>
  <c r="Q191" i="1" s="1"/>
  <c r="P192" i="1"/>
  <c r="Q192" i="1" s="1"/>
  <c r="P193" i="1"/>
  <c r="Q193" i="1" s="1"/>
  <c r="P194" i="1"/>
  <c r="Q194" i="1" s="1"/>
  <c r="P195" i="1"/>
  <c r="Q195" i="1" s="1"/>
  <c r="P196" i="1"/>
  <c r="Q196" i="1" s="1"/>
  <c r="P197" i="1"/>
  <c r="Q197" i="1" s="1"/>
  <c r="P198" i="1"/>
  <c r="Q198" i="1" s="1"/>
  <c r="P199" i="1"/>
  <c r="Q199" i="1" s="1"/>
  <c r="P200" i="1"/>
  <c r="Q200" i="1" s="1"/>
  <c r="P201" i="1"/>
  <c r="Q201" i="1" s="1"/>
  <c r="P202" i="1"/>
  <c r="Q202" i="1" s="1"/>
  <c r="P203" i="1"/>
  <c r="Q203" i="1" s="1"/>
  <c r="P204" i="1"/>
  <c r="Q204" i="1" s="1"/>
  <c r="P205" i="1"/>
  <c r="Q205" i="1" s="1"/>
  <c r="P206" i="1"/>
  <c r="Q206" i="1" s="1"/>
  <c r="P207" i="1"/>
  <c r="Q207" i="1" s="1"/>
  <c r="P208" i="1"/>
  <c r="Q208" i="1" s="1"/>
  <c r="P209" i="1"/>
  <c r="Q209" i="1" s="1"/>
  <c r="P210" i="1"/>
  <c r="Q210" i="1" s="1"/>
  <c r="P211" i="1"/>
  <c r="Q211" i="1" s="1"/>
  <c r="P212" i="1"/>
  <c r="Q212" i="1" s="1"/>
  <c r="P213" i="1"/>
  <c r="Q213" i="1" s="1"/>
  <c r="P214" i="1"/>
  <c r="Q214" i="1" s="1"/>
  <c r="P215" i="1"/>
  <c r="Q215" i="1" s="1"/>
  <c r="P216" i="1"/>
  <c r="Q216" i="1" s="1"/>
  <c r="P217" i="1"/>
  <c r="Q217" i="1" s="1"/>
  <c r="P218" i="1"/>
  <c r="Q218" i="1" s="1"/>
  <c r="P219" i="1"/>
  <c r="Q219" i="1" s="1"/>
  <c r="P220" i="1"/>
  <c r="Q220" i="1" s="1"/>
  <c r="P221" i="1"/>
  <c r="Q221" i="1" s="1"/>
  <c r="P222" i="1"/>
  <c r="Q222" i="1" s="1"/>
  <c r="P223" i="1"/>
  <c r="Q223" i="1" s="1"/>
  <c r="P224" i="1"/>
  <c r="Q224" i="1" s="1"/>
  <c r="P225" i="1"/>
  <c r="Q225" i="1" s="1"/>
  <c r="P226" i="1"/>
  <c r="Q226" i="1" s="1"/>
  <c r="P227" i="1"/>
  <c r="Q227" i="1" s="1"/>
  <c r="P228" i="1"/>
  <c r="Q228" i="1" s="1"/>
  <c r="P229" i="1"/>
  <c r="Q229" i="1" s="1"/>
  <c r="P230" i="1"/>
  <c r="Q230" i="1" s="1"/>
  <c r="P231" i="1"/>
  <c r="Q231" i="1" s="1"/>
  <c r="P232" i="1"/>
  <c r="Q232" i="1" s="1"/>
  <c r="P233" i="1"/>
  <c r="Q233" i="1" s="1"/>
  <c r="P234" i="1"/>
  <c r="Q234" i="1" s="1"/>
  <c r="P235" i="1"/>
  <c r="Q235" i="1" s="1"/>
  <c r="P236" i="1"/>
  <c r="Q236" i="1" s="1"/>
  <c r="P237" i="1"/>
  <c r="Q237" i="1" s="1"/>
  <c r="P238" i="1"/>
  <c r="Q238" i="1" s="1"/>
  <c r="P239" i="1"/>
  <c r="Q239" i="1" s="1"/>
  <c r="P240" i="1"/>
  <c r="Q240" i="1" s="1"/>
  <c r="P241" i="1"/>
  <c r="Q241" i="1" s="1"/>
  <c r="P242" i="1"/>
  <c r="Q242" i="1" s="1"/>
  <c r="P243" i="1"/>
  <c r="Q243" i="1" s="1"/>
  <c r="P244" i="1"/>
  <c r="Q244" i="1" s="1"/>
  <c r="P245" i="1"/>
  <c r="Q245" i="1" s="1"/>
  <c r="P246" i="1"/>
  <c r="Q246" i="1" s="1"/>
  <c r="P247" i="1"/>
  <c r="Q247" i="1" s="1"/>
  <c r="P248" i="1"/>
  <c r="Q248" i="1" s="1"/>
  <c r="P249" i="1"/>
  <c r="Q249" i="1" s="1"/>
  <c r="P250" i="1"/>
  <c r="Q250" i="1" s="1"/>
  <c r="P251" i="1"/>
  <c r="Q251" i="1" s="1"/>
  <c r="P252" i="1"/>
  <c r="Q252" i="1" s="1"/>
  <c r="P253" i="1"/>
  <c r="Q253" i="1" s="1"/>
  <c r="P254" i="1"/>
  <c r="Q254" i="1" s="1"/>
  <c r="P255" i="1"/>
  <c r="Q255" i="1" s="1"/>
  <c r="P256" i="1"/>
  <c r="Q256" i="1" s="1"/>
  <c r="P257" i="1"/>
  <c r="Q257" i="1" s="1"/>
  <c r="P258" i="1"/>
  <c r="Q258" i="1" s="1"/>
  <c r="P259" i="1"/>
  <c r="Q259" i="1" s="1"/>
  <c r="P260" i="1"/>
  <c r="Q260" i="1" s="1"/>
  <c r="P261" i="1"/>
  <c r="Q261" i="1" s="1"/>
  <c r="P262" i="1"/>
  <c r="Q262" i="1" s="1"/>
  <c r="P263" i="1"/>
  <c r="Q263" i="1" s="1"/>
  <c r="P264" i="1"/>
  <c r="Q264" i="1" s="1"/>
  <c r="P265" i="1"/>
  <c r="Q265" i="1" s="1"/>
  <c r="P266" i="1"/>
  <c r="Q266" i="1" s="1"/>
  <c r="P267" i="1"/>
  <c r="Q267" i="1" s="1"/>
  <c r="P268" i="1"/>
  <c r="Q268" i="1" s="1"/>
  <c r="P269" i="1"/>
  <c r="Q269" i="1" s="1"/>
  <c r="P270" i="1"/>
  <c r="Q270" i="1" s="1"/>
  <c r="P271" i="1"/>
  <c r="Q271" i="1" s="1"/>
  <c r="P272" i="1"/>
  <c r="Q272" i="1" s="1"/>
  <c r="P273" i="1"/>
  <c r="Q273" i="1" s="1"/>
  <c r="P274" i="1"/>
  <c r="Q274" i="1" s="1"/>
  <c r="P275" i="1"/>
  <c r="Q275" i="1" s="1"/>
  <c r="P276" i="1"/>
  <c r="Q276" i="1" s="1"/>
  <c r="P277" i="1"/>
  <c r="Q277" i="1" s="1"/>
  <c r="P278" i="1"/>
  <c r="Q278" i="1" s="1"/>
  <c r="P279" i="1"/>
  <c r="Q279" i="1" s="1"/>
  <c r="P280" i="1"/>
  <c r="Q280" i="1" s="1"/>
  <c r="P281" i="1"/>
  <c r="Q281" i="1" s="1"/>
  <c r="P282" i="1"/>
  <c r="Q282" i="1" s="1"/>
  <c r="P283" i="1"/>
  <c r="Q283" i="1" s="1"/>
  <c r="P284" i="1"/>
  <c r="Q284" i="1" s="1"/>
  <c r="P285" i="1"/>
  <c r="Q285" i="1" s="1"/>
  <c r="P286" i="1"/>
  <c r="Q286" i="1" s="1"/>
  <c r="P287" i="1"/>
  <c r="Q287" i="1" s="1"/>
  <c r="P288" i="1"/>
  <c r="Q288" i="1" s="1"/>
  <c r="P289" i="1"/>
  <c r="Q289" i="1" s="1"/>
  <c r="P290" i="1"/>
  <c r="Q290" i="1" s="1"/>
  <c r="P291" i="1"/>
  <c r="Q291" i="1" s="1"/>
  <c r="P292" i="1"/>
  <c r="Q292" i="1" s="1"/>
  <c r="P293" i="1"/>
  <c r="Q293" i="1" s="1"/>
  <c r="P294" i="1"/>
  <c r="Q294" i="1" s="1"/>
  <c r="P295" i="1"/>
  <c r="Q295" i="1" s="1"/>
  <c r="P296" i="1"/>
  <c r="Q296" i="1" s="1"/>
  <c r="P297" i="1"/>
  <c r="Q297" i="1" s="1"/>
  <c r="P298" i="1"/>
  <c r="Q298" i="1" s="1"/>
  <c r="P299" i="1"/>
  <c r="Q299" i="1" s="1"/>
  <c r="P300" i="1"/>
  <c r="Q300" i="1" s="1"/>
  <c r="P301" i="1"/>
  <c r="Q301" i="1" s="1"/>
  <c r="P302" i="1"/>
  <c r="Q302" i="1" s="1"/>
  <c r="P303" i="1"/>
  <c r="Q303" i="1" s="1"/>
  <c r="P304" i="1"/>
  <c r="Q304" i="1" s="1"/>
  <c r="P305" i="1"/>
  <c r="Q305" i="1" s="1"/>
  <c r="P306" i="1"/>
  <c r="Q306" i="1" s="1"/>
  <c r="P307" i="1"/>
  <c r="Q307" i="1" s="1"/>
  <c r="P308" i="1"/>
  <c r="Q308" i="1" s="1"/>
  <c r="P309" i="1"/>
  <c r="Q309" i="1" s="1"/>
  <c r="P310" i="1"/>
  <c r="Q310" i="1" s="1"/>
  <c r="P311" i="1"/>
  <c r="Q311" i="1" s="1"/>
  <c r="P312" i="1"/>
  <c r="Q312" i="1" s="1"/>
  <c r="P313" i="1"/>
  <c r="Q313" i="1" s="1"/>
  <c r="P314" i="1"/>
  <c r="Q314" i="1" s="1"/>
  <c r="P315" i="1"/>
  <c r="Q315" i="1" s="1"/>
  <c r="P316" i="1"/>
  <c r="Q316" i="1" s="1"/>
  <c r="P317" i="1"/>
  <c r="Q317" i="1" s="1"/>
  <c r="P318" i="1"/>
  <c r="Q318" i="1" s="1"/>
  <c r="P319" i="1"/>
  <c r="Q319" i="1" s="1"/>
  <c r="P320" i="1"/>
  <c r="Q320" i="1" s="1"/>
  <c r="P321" i="1"/>
  <c r="Q321" i="1" s="1"/>
  <c r="P322" i="1"/>
  <c r="Q322" i="1" s="1"/>
  <c r="P323" i="1"/>
  <c r="Q323" i="1" s="1"/>
  <c r="P324" i="1"/>
  <c r="Q324" i="1" s="1"/>
  <c r="P325" i="1"/>
  <c r="Q325" i="1" s="1"/>
  <c r="P326" i="1"/>
  <c r="Q326" i="1" s="1"/>
  <c r="P327" i="1"/>
  <c r="Q327" i="1" s="1"/>
  <c r="P328" i="1"/>
  <c r="Q328" i="1" s="1"/>
  <c r="P329" i="1"/>
  <c r="Q329" i="1" s="1"/>
  <c r="P330" i="1"/>
  <c r="Q330" i="1" s="1"/>
  <c r="P331" i="1"/>
  <c r="Q331" i="1" s="1"/>
  <c r="P332" i="1"/>
  <c r="Q332" i="1" s="1"/>
  <c r="P333" i="1"/>
  <c r="Q333" i="1" s="1"/>
  <c r="P334" i="1"/>
  <c r="Q334" i="1" s="1"/>
  <c r="P335" i="1"/>
  <c r="Q335" i="1" s="1"/>
  <c r="P336" i="1"/>
  <c r="Q336" i="1" s="1"/>
  <c r="P337" i="1"/>
  <c r="Q337" i="1" s="1"/>
  <c r="P338" i="1"/>
  <c r="Q338" i="1" s="1"/>
  <c r="P339" i="1"/>
  <c r="Q339" i="1" s="1"/>
  <c r="P340" i="1"/>
  <c r="Q340" i="1" s="1"/>
  <c r="P341" i="1"/>
  <c r="Q341" i="1" s="1"/>
  <c r="P342" i="1"/>
  <c r="Q342" i="1" s="1"/>
  <c r="P343" i="1"/>
  <c r="Q343" i="1" s="1"/>
  <c r="P344" i="1"/>
  <c r="Q344" i="1" s="1"/>
  <c r="P345" i="1"/>
  <c r="Q345" i="1" s="1"/>
  <c r="P346" i="1"/>
  <c r="Q346" i="1" s="1"/>
  <c r="P347" i="1"/>
  <c r="Q347" i="1" s="1"/>
  <c r="P348" i="1"/>
  <c r="Q348" i="1" s="1"/>
  <c r="P349" i="1"/>
  <c r="Q349" i="1" s="1"/>
  <c r="P350" i="1"/>
  <c r="Q350" i="1" s="1"/>
  <c r="P351" i="1"/>
  <c r="Q351" i="1" s="1"/>
  <c r="P352" i="1"/>
  <c r="Q352" i="1" s="1"/>
  <c r="P353" i="1"/>
  <c r="Q353" i="1" s="1"/>
  <c r="P354" i="1"/>
  <c r="Q354" i="1" s="1"/>
  <c r="P355" i="1"/>
  <c r="Q355" i="1" s="1"/>
  <c r="P356" i="1"/>
  <c r="Q356" i="1" s="1"/>
  <c r="P357" i="1"/>
  <c r="Q357" i="1" s="1"/>
  <c r="P358" i="1"/>
  <c r="Q358" i="1" s="1"/>
  <c r="P359" i="1"/>
  <c r="Q359" i="1" s="1"/>
  <c r="P360" i="1"/>
  <c r="Q360" i="1" s="1"/>
  <c r="P361" i="1"/>
  <c r="Q361" i="1" s="1"/>
  <c r="P362" i="1"/>
  <c r="Q362" i="1" s="1"/>
  <c r="P363" i="1"/>
  <c r="Q363" i="1" s="1"/>
  <c r="P364" i="1"/>
  <c r="Q364" i="1" s="1"/>
  <c r="P365" i="1"/>
  <c r="Q365" i="1" s="1"/>
  <c r="P366" i="1"/>
  <c r="Q366" i="1" s="1"/>
  <c r="P367" i="1"/>
  <c r="Q367" i="1" s="1"/>
  <c r="P368" i="1"/>
  <c r="Q368" i="1" s="1"/>
  <c r="P369" i="1"/>
  <c r="Q369" i="1" s="1"/>
  <c r="P370" i="1"/>
  <c r="Q370" i="1" s="1"/>
  <c r="P371" i="1"/>
  <c r="Q371" i="1" s="1"/>
  <c r="P372" i="1"/>
  <c r="Q372" i="1" s="1"/>
  <c r="P373" i="1"/>
  <c r="Q373" i="1" s="1"/>
  <c r="P374" i="1"/>
  <c r="Q374" i="1" s="1"/>
  <c r="P375" i="1"/>
  <c r="Q375" i="1" s="1"/>
  <c r="P376" i="1"/>
  <c r="Q376" i="1" s="1"/>
  <c r="P377" i="1"/>
  <c r="Q377" i="1" s="1"/>
  <c r="P378" i="1"/>
  <c r="Q378" i="1" s="1"/>
  <c r="P379" i="1"/>
  <c r="Q379" i="1" s="1"/>
  <c r="P380" i="1"/>
  <c r="Q380" i="1" s="1"/>
  <c r="P381" i="1"/>
  <c r="Q381" i="1" s="1"/>
  <c r="P382" i="1"/>
  <c r="Q382" i="1" s="1"/>
  <c r="P383" i="1"/>
  <c r="Q383" i="1" s="1"/>
  <c r="P384" i="1"/>
  <c r="Q384" i="1" s="1"/>
  <c r="P385" i="1"/>
  <c r="Q385" i="1" s="1"/>
  <c r="P386" i="1"/>
  <c r="Q386" i="1" s="1"/>
  <c r="P387" i="1"/>
  <c r="Q387" i="1" s="1"/>
  <c r="P388" i="1"/>
  <c r="Q388" i="1" s="1"/>
  <c r="P389" i="1"/>
  <c r="Q389" i="1" s="1"/>
  <c r="P390" i="1"/>
  <c r="Q390" i="1" s="1"/>
  <c r="P391" i="1"/>
  <c r="Q391" i="1" s="1"/>
  <c r="P392" i="1"/>
  <c r="Q392" i="1" s="1"/>
  <c r="P393" i="1"/>
  <c r="Q393" i="1" s="1"/>
  <c r="P394" i="1"/>
  <c r="Q394" i="1" s="1"/>
  <c r="P395" i="1"/>
  <c r="Q395" i="1" s="1"/>
  <c r="P396" i="1"/>
  <c r="Q396" i="1" s="1"/>
  <c r="P397" i="1"/>
  <c r="Q397" i="1" s="1"/>
  <c r="P398" i="1"/>
  <c r="Q398" i="1" s="1"/>
  <c r="P399" i="1"/>
  <c r="Q399" i="1" s="1"/>
  <c r="P400" i="1"/>
  <c r="Q400" i="1" s="1"/>
  <c r="P401" i="1"/>
  <c r="Q401" i="1" s="1"/>
  <c r="P402" i="1"/>
  <c r="Q402" i="1" s="1"/>
  <c r="P403" i="1"/>
  <c r="Q403" i="1" s="1"/>
  <c r="P404" i="1"/>
  <c r="Q404" i="1" s="1"/>
  <c r="P405" i="1"/>
  <c r="Q405" i="1" s="1"/>
  <c r="P406" i="1"/>
  <c r="Q406" i="1" s="1"/>
  <c r="P407" i="1"/>
  <c r="Q407" i="1" s="1"/>
  <c r="P408" i="1"/>
  <c r="Q408" i="1" s="1"/>
  <c r="P409" i="1"/>
  <c r="Q409" i="1" s="1"/>
  <c r="P410" i="1"/>
  <c r="Q410" i="1" s="1"/>
  <c r="P411" i="1"/>
  <c r="Q411" i="1" s="1"/>
  <c r="P412" i="1"/>
  <c r="Q412" i="1" s="1"/>
  <c r="P413" i="1"/>
  <c r="Q413" i="1" s="1"/>
  <c r="P414" i="1"/>
  <c r="Q414" i="1" s="1"/>
  <c r="P415" i="1"/>
  <c r="Q415" i="1" s="1"/>
  <c r="P416" i="1"/>
  <c r="Q416" i="1" s="1"/>
  <c r="P417" i="1"/>
  <c r="Q417" i="1" s="1"/>
  <c r="P418" i="1"/>
  <c r="Q418" i="1" s="1"/>
  <c r="P419" i="1"/>
  <c r="Q419" i="1" s="1"/>
  <c r="P420" i="1"/>
  <c r="Q420" i="1" s="1"/>
  <c r="P421" i="1"/>
  <c r="Q421" i="1" s="1"/>
  <c r="P422" i="1"/>
  <c r="Q422" i="1" s="1"/>
  <c r="P423" i="1"/>
  <c r="Q423" i="1" s="1"/>
  <c r="P424" i="1"/>
  <c r="Q424" i="1" s="1"/>
  <c r="P425" i="1"/>
  <c r="Q425" i="1" s="1"/>
  <c r="P426" i="1"/>
  <c r="Q426" i="1" s="1"/>
  <c r="P427" i="1"/>
  <c r="Q427" i="1" s="1"/>
  <c r="P428" i="1"/>
  <c r="Q428" i="1" s="1"/>
  <c r="P429" i="1"/>
  <c r="Q429" i="1" s="1"/>
  <c r="P430" i="1"/>
  <c r="Q430" i="1" s="1"/>
  <c r="P431" i="1"/>
  <c r="Q431" i="1" s="1"/>
  <c r="P432" i="1"/>
  <c r="Q432" i="1" s="1"/>
  <c r="P433" i="1"/>
  <c r="Q433" i="1" s="1"/>
  <c r="P434" i="1"/>
  <c r="Q434" i="1" s="1"/>
  <c r="P435" i="1"/>
  <c r="Q435" i="1" s="1"/>
  <c r="P436" i="1"/>
  <c r="Q436" i="1" s="1"/>
  <c r="P437" i="1"/>
  <c r="Q437" i="1" s="1"/>
  <c r="P438" i="1"/>
  <c r="Q438" i="1" s="1"/>
  <c r="P439" i="1"/>
  <c r="Q439" i="1" s="1"/>
  <c r="P440" i="1"/>
  <c r="Q440" i="1" s="1"/>
  <c r="P441" i="1"/>
  <c r="Q441" i="1" s="1"/>
  <c r="P442" i="1"/>
  <c r="Q442" i="1" s="1"/>
  <c r="P443" i="1"/>
  <c r="Q443" i="1" s="1"/>
  <c r="P444" i="1"/>
  <c r="Q444" i="1" s="1"/>
  <c r="P445" i="1"/>
  <c r="Q445" i="1" s="1"/>
  <c r="P446" i="1"/>
  <c r="Q446" i="1" s="1"/>
  <c r="P447" i="1"/>
  <c r="Q447" i="1" s="1"/>
  <c r="P448" i="1"/>
  <c r="Q448" i="1" s="1"/>
  <c r="P449" i="1"/>
  <c r="Q449" i="1" s="1"/>
  <c r="P450" i="1"/>
  <c r="Q450" i="1" s="1"/>
  <c r="P451" i="1"/>
  <c r="Q451" i="1" s="1"/>
  <c r="P452" i="1"/>
  <c r="Q452" i="1" s="1"/>
  <c r="P453" i="1"/>
  <c r="Q453" i="1" s="1"/>
  <c r="P454" i="1"/>
  <c r="Q454" i="1" s="1"/>
  <c r="P455" i="1"/>
  <c r="Q455" i="1" s="1"/>
  <c r="P456" i="1"/>
  <c r="Q456" i="1" s="1"/>
  <c r="P457" i="1"/>
  <c r="Q457" i="1" s="1"/>
  <c r="P458" i="1"/>
  <c r="Q458" i="1" s="1"/>
  <c r="P459" i="1"/>
  <c r="Q459" i="1" s="1"/>
  <c r="P460" i="1"/>
  <c r="Q460" i="1" s="1"/>
  <c r="P461" i="1"/>
  <c r="Q461" i="1" s="1"/>
  <c r="P462" i="1"/>
  <c r="Q462" i="1" s="1"/>
  <c r="P463" i="1"/>
  <c r="Q463" i="1" s="1"/>
  <c r="P464" i="1"/>
  <c r="Q464" i="1" s="1"/>
  <c r="P465" i="1"/>
  <c r="Q465" i="1" s="1"/>
  <c r="P466" i="1"/>
  <c r="Q466" i="1" s="1"/>
  <c r="P467" i="1"/>
  <c r="Q467" i="1" s="1"/>
  <c r="P468" i="1"/>
  <c r="Q468" i="1" s="1"/>
  <c r="P469" i="1"/>
  <c r="Q469" i="1" s="1"/>
  <c r="P470" i="1"/>
  <c r="Q470" i="1" s="1"/>
  <c r="P471" i="1"/>
  <c r="Q471" i="1" s="1"/>
  <c r="P472" i="1"/>
  <c r="Q472" i="1" s="1"/>
  <c r="P473" i="1"/>
  <c r="Q473" i="1" s="1"/>
  <c r="P474" i="1"/>
  <c r="Q474" i="1" s="1"/>
  <c r="P475" i="1"/>
  <c r="Q475" i="1" s="1"/>
  <c r="P476" i="1"/>
  <c r="Q476" i="1" s="1"/>
  <c r="P477" i="1"/>
  <c r="Q477" i="1" s="1"/>
  <c r="P478" i="1"/>
  <c r="Q478" i="1" s="1"/>
  <c r="P479" i="1"/>
  <c r="Q479" i="1" s="1"/>
  <c r="P480" i="1"/>
  <c r="Q480" i="1" s="1"/>
  <c r="P481" i="1"/>
  <c r="Q481" i="1" s="1"/>
  <c r="P482" i="1"/>
  <c r="Q482" i="1" s="1"/>
  <c r="P483" i="1"/>
  <c r="Q483" i="1" s="1"/>
  <c r="P484" i="1"/>
  <c r="Q484" i="1" s="1"/>
  <c r="P485" i="1"/>
  <c r="Q485" i="1" s="1"/>
  <c r="P486" i="1"/>
  <c r="Q486" i="1" s="1"/>
  <c r="P487" i="1"/>
  <c r="Q487" i="1" s="1"/>
  <c r="P488" i="1"/>
  <c r="Q488" i="1" s="1"/>
  <c r="P489" i="1"/>
  <c r="Q489" i="1" s="1"/>
  <c r="P490" i="1"/>
  <c r="Q490" i="1" s="1"/>
  <c r="P491" i="1"/>
  <c r="Q491" i="1" s="1"/>
  <c r="P492" i="1"/>
  <c r="Q492" i="1" s="1"/>
  <c r="P493" i="1"/>
  <c r="Q493" i="1" s="1"/>
  <c r="P494" i="1"/>
  <c r="Q494" i="1" s="1"/>
  <c r="P495" i="1"/>
  <c r="Q495" i="1" s="1"/>
  <c r="P496" i="1"/>
  <c r="Q496" i="1" s="1"/>
  <c r="P497" i="1"/>
  <c r="Q497" i="1" s="1"/>
  <c r="P498" i="1"/>
  <c r="Q498" i="1" s="1"/>
  <c r="P499" i="1"/>
  <c r="Q499" i="1" s="1"/>
  <c r="P500" i="1"/>
  <c r="Q500" i="1" s="1"/>
  <c r="P501" i="1"/>
  <c r="Q501" i="1" s="1"/>
  <c r="P502" i="1"/>
  <c r="Q502" i="1" s="1"/>
  <c r="P503" i="1"/>
  <c r="Q503" i="1" s="1"/>
  <c r="P504" i="1"/>
  <c r="Q504" i="1" s="1"/>
  <c r="P505" i="1"/>
  <c r="Q505" i="1" s="1"/>
  <c r="P506" i="1"/>
  <c r="Q506" i="1" s="1"/>
  <c r="P507" i="1"/>
  <c r="Q507" i="1" s="1"/>
  <c r="P508" i="1"/>
  <c r="Q508" i="1" s="1"/>
  <c r="P509" i="1"/>
  <c r="Q509" i="1" s="1"/>
  <c r="P510" i="1"/>
  <c r="Q510" i="1" s="1"/>
  <c r="P511" i="1"/>
  <c r="Q511" i="1" s="1"/>
  <c r="P512" i="1"/>
  <c r="Q512" i="1" s="1"/>
  <c r="P513" i="1"/>
  <c r="Q513" i="1" s="1"/>
  <c r="P514" i="1"/>
  <c r="Q514" i="1" s="1"/>
  <c r="P515" i="1"/>
  <c r="Q515" i="1" s="1"/>
  <c r="P516" i="1"/>
  <c r="Q516" i="1" s="1"/>
  <c r="P517" i="1"/>
  <c r="Q517" i="1" s="1"/>
  <c r="P518" i="1"/>
  <c r="Q518" i="1" s="1"/>
  <c r="P519" i="1"/>
  <c r="Q519" i="1" s="1"/>
  <c r="P520" i="1"/>
  <c r="Q520" i="1" s="1"/>
  <c r="P521" i="1"/>
  <c r="Q521" i="1" s="1"/>
  <c r="P522" i="1"/>
  <c r="Q522" i="1" s="1"/>
  <c r="P523" i="1"/>
  <c r="Q523" i="1" s="1"/>
  <c r="P524" i="1"/>
  <c r="Q524" i="1" s="1"/>
  <c r="P525" i="1"/>
  <c r="Q525" i="1" s="1"/>
  <c r="P526" i="1"/>
  <c r="Q526" i="1" s="1"/>
  <c r="P527" i="1"/>
  <c r="Q527" i="1" s="1"/>
  <c r="P528" i="1"/>
  <c r="Q528" i="1" s="1"/>
  <c r="P529" i="1"/>
  <c r="Q529" i="1" s="1"/>
  <c r="P530" i="1"/>
  <c r="Q530" i="1" s="1"/>
  <c r="P531" i="1"/>
  <c r="Q531" i="1" s="1"/>
  <c r="P532" i="1"/>
  <c r="Q532" i="1" s="1"/>
  <c r="P533" i="1"/>
  <c r="Q533" i="1" s="1"/>
  <c r="P534" i="1"/>
  <c r="Q534" i="1" s="1"/>
  <c r="P535" i="1"/>
  <c r="Q535" i="1" s="1"/>
  <c r="P536" i="1"/>
  <c r="Q536" i="1" s="1"/>
  <c r="P537" i="1"/>
  <c r="Q537" i="1" s="1"/>
  <c r="P538" i="1"/>
  <c r="Q538" i="1" s="1"/>
  <c r="P539" i="1"/>
  <c r="Q539" i="1" s="1"/>
  <c r="P540" i="1"/>
  <c r="Q540" i="1" s="1"/>
  <c r="P541" i="1"/>
  <c r="Q541" i="1" s="1"/>
  <c r="P542" i="1"/>
  <c r="Q542" i="1" s="1"/>
  <c r="P543" i="1"/>
  <c r="Q543" i="1" s="1"/>
  <c r="P544" i="1"/>
  <c r="Q544" i="1" s="1"/>
  <c r="P545" i="1"/>
  <c r="Q545" i="1" s="1"/>
  <c r="P546" i="1"/>
  <c r="Q546" i="1" s="1"/>
  <c r="P547" i="1"/>
  <c r="Q547" i="1" s="1"/>
  <c r="P548" i="1"/>
  <c r="Q548" i="1" s="1"/>
  <c r="P549" i="1"/>
  <c r="Q549" i="1" s="1"/>
  <c r="P550" i="1"/>
  <c r="Q550" i="1" s="1"/>
  <c r="P551" i="1"/>
  <c r="Q551" i="1" s="1"/>
  <c r="P552" i="1"/>
  <c r="Q552" i="1" s="1"/>
  <c r="P553" i="1"/>
  <c r="Q553" i="1" s="1"/>
  <c r="P554" i="1"/>
  <c r="Q554" i="1" s="1"/>
  <c r="P555" i="1"/>
  <c r="Q555" i="1" s="1"/>
  <c r="P556" i="1"/>
  <c r="Q556" i="1" s="1"/>
  <c r="P557" i="1"/>
  <c r="Q557" i="1" s="1"/>
  <c r="P558" i="1"/>
  <c r="Q558" i="1" s="1"/>
  <c r="P559" i="1"/>
  <c r="Q559" i="1" s="1"/>
  <c r="P560" i="1"/>
  <c r="Q560" i="1" s="1"/>
  <c r="P561" i="1"/>
  <c r="Q561" i="1" s="1"/>
  <c r="P562" i="1"/>
  <c r="Q562" i="1" s="1"/>
  <c r="P563" i="1"/>
  <c r="Q563" i="1" s="1"/>
  <c r="P564" i="1"/>
  <c r="Q564" i="1" s="1"/>
  <c r="P565" i="1"/>
  <c r="Q565" i="1" s="1"/>
  <c r="P566" i="1"/>
  <c r="Q566" i="1" s="1"/>
  <c r="P567" i="1"/>
  <c r="Q567" i="1" s="1"/>
  <c r="P568" i="1"/>
  <c r="Q568" i="1" s="1"/>
  <c r="P569" i="1"/>
  <c r="Q569" i="1" s="1"/>
  <c r="P570" i="1"/>
  <c r="Q570" i="1" s="1"/>
  <c r="P571" i="1"/>
  <c r="Q571" i="1" s="1"/>
  <c r="P572" i="1"/>
  <c r="Q572" i="1" s="1"/>
  <c r="P573" i="1"/>
  <c r="Q573" i="1" s="1"/>
  <c r="P574" i="1"/>
  <c r="Q574" i="1" s="1"/>
  <c r="P575" i="1"/>
  <c r="Q575" i="1" s="1"/>
  <c r="P576" i="1"/>
  <c r="Q576" i="1" s="1"/>
  <c r="P577" i="1"/>
  <c r="Q577" i="1" s="1"/>
  <c r="P578" i="1"/>
  <c r="Q578" i="1" s="1"/>
  <c r="P579" i="1"/>
  <c r="Q579" i="1" s="1"/>
  <c r="P580" i="1"/>
  <c r="Q580" i="1" s="1"/>
  <c r="P581" i="1"/>
  <c r="Q581" i="1" s="1"/>
  <c r="P582" i="1"/>
  <c r="Q582" i="1" s="1"/>
  <c r="P583" i="1"/>
  <c r="Q583" i="1" s="1"/>
  <c r="P584" i="1"/>
  <c r="Q584" i="1" s="1"/>
  <c r="P585" i="1"/>
  <c r="Q585" i="1" s="1"/>
  <c r="P586" i="1"/>
  <c r="Q586" i="1" s="1"/>
  <c r="P587" i="1"/>
  <c r="Q587" i="1" s="1"/>
  <c r="P588" i="1"/>
  <c r="Q588" i="1" s="1"/>
  <c r="P589" i="1"/>
  <c r="Q589" i="1" s="1"/>
  <c r="P590" i="1"/>
  <c r="Q590" i="1" s="1"/>
  <c r="P591" i="1"/>
  <c r="Q591" i="1" s="1"/>
  <c r="P592" i="1"/>
  <c r="Q592" i="1" s="1"/>
  <c r="P593" i="1"/>
  <c r="Q593" i="1" s="1"/>
  <c r="P594" i="1"/>
  <c r="Q594" i="1" s="1"/>
  <c r="P595" i="1"/>
  <c r="Q595" i="1" s="1"/>
  <c r="P596" i="1"/>
  <c r="Q596" i="1" s="1"/>
  <c r="P597" i="1"/>
  <c r="Q597" i="1" s="1"/>
  <c r="P598" i="1"/>
  <c r="Q598" i="1" s="1"/>
  <c r="P599" i="1"/>
  <c r="Q599" i="1" s="1"/>
  <c r="P600" i="1"/>
  <c r="Q600" i="1" s="1"/>
  <c r="P601" i="1"/>
  <c r="Q601" i="1" s="1"/>
  <c r="P602" i="1"/>
  <c r="Q602" i="1" s="1"/>
  <c r="P603" i="1"/>
  <c r="Q603" i="1" s="1"/>
  <c r="P604" i="1"/>
  <c r="Q604" i="1" s="1"/>
  <c r="P605" i="1"/>
  <c r="Q605" i="1" s="1"/>
  <c r="P606" i="1"/>
  <c r="Q606" i="1" s="1"/>
  <c r="P607" i="1"/>
  <c r="Q607" i="1" s="1"/>
  <c r="P608" i="1"/>
  <c r="Q608" i="1" s="1"/>
  <c r="P609" i="1"/>
  <c r="Q609" i="1" s="1"/>
  <c r="P610" i="1"/>
  <c r="Q610" i="1" s="1"/>
  <c r="P611" i="1"/>
  <c r="Q611" i="1" s="1"/>
  <c r="P612" i="1"/>
  <c r="Q612" i="1" s="1"/>
  <c r="P613" i="1"/>
  <c r="Q613" i="1" s="1"/>
  <c r="P614" i="1"/>
  <c r="Q614" i="1" s="1"/>
  <c r="P615" i="1"/>
  <c r="Q615" i="1" s="1"/>
  <c r="P616" i="1"/>
  <c r="Q616" i="1" s="1"/>
  <c r="P617" i="1"/>
  <c r="Q617" i="1" s="1"/>
  <c r="P618" i="1"/>
  <c r="Q618" i="1" s="1"/>
  <c r="P619" i="1"/>
  <c r="Q619" i="1" s="1"/>
  <c r="P620" i="1"/>
  <c r="Q620" i="1" s="1"/>
  <c r="P621" i="1"/>
  <c r="Q621" i="1" s="1"/>
  <c r="P622" i="1"/>
  <c r="Q622" i="1" s="1"/>
  <c r="P623" i="1"/>
  <c r="Q623" i="1" s="1"/>
  <c r="P624" i="1"/>
  <c r="Q624" i="1" s="1"/>
  <c r="P625" i="1"/>
  <c r="Q625" i="1" s="1"/>
  <c r="P626" i="1"/>
  <c r="Q626" i="1" s="1"/>
  <c r="P627" i="1"/>
  <c r="Q627" i="1" s="1"/>
  <c r="P628" i="1"/>
  <c r="Q628" i="1" s="1"/>
  <c r="P629" i="1"/>
  <c r="Q629" i="1" s="1"/>
  <c r="P630" i="1"/>
  <c r="Q630" i="1" s="1"/>
  <c r="P631" i="1"/>
  <c r="Q631" i="1" s="1"/>
  <c r="P632" i="1"/>
  <c r="Q632" i="1" s="1"/>
  <c r="P633" i="1"/>
  <c r="Q633" i="1" s="1"/>
  <c r="P634" i="1"/>
  <c r="Q634" i="1" s="1"/>
  <c r="P635" i="1"/>
  <c r="Q635" i="1" s="1"/>
  <c r="P636" i="1"/>
  <c r="Q636" i="1" s="1"/>
  <c r="P637" i="1"/>
  <c r="Q637" i="1" s="1"/>
  <c r="P638" i="1"/>
  <c r="Q638" i="1" s="1"/>
  <c r="P639" i="1"/>
  <c r="Q639" i="1" s="1"/>
  <c r="P640" i="1"/>
  <c r="Q640" i="1" s="1"/>
  <c r="P641" i="1"/>
  <c r="Q641" i="1" s="1"/>
  <c r="P642" i="1"/>
  <c r="Q642" i="1" s="1"/>
  <c r="P643" i="1"/>
  <c r="Q643" i="1" s="1"/>
  <c r="P644" i="1"/>
  <c r="Q644" i="1" s="1"/>
  <c r="P645" i="1"/>
  <c r="Q645" i="1" s="1"/>
  <c r="P646" i="1"/>
  <c r="Q646" i="1" s="1"/>
  <c r="P647" i="1"/>
  <c r="Q647" i="1" s="1"/>
  <c r="P648" i="1"/>
  <c r="Q648" i="1" s="1"/>
  <c r="P649" i="1"/>
  <c r="Q649" i="1" s="1"/>
  <c r="P650" i="1"/>
  <c r="Q650" i="1" s="1"/>
  <c r="P651" i="1"/>
  <c r="Q651" i="1" s="1"/>
  <c r="P652" i="1"/>
  <c r="Q652" i="1" s="1"/>
  <c r="P653" i="1"/>
  <c r="Q653" i="1" s="1"/>
  <c r="P654" i="1"/>
  <c r="Q654" i="1" s="1"/>
  <c r="P655" i="1"/>
  <c r="Q655" i="1" s="1"/>
  <c r="P656" i="1"/>
  <c r="Q656" i="1" s="1"/>
  <c r="P657" i="1"/>
  <c r="Q657" i="1" s="1"/>
  <c r="P658" i="1"/>
  <c r="Q658" i="1" s="1"/>
  <c r="P659" i="1"/>
  <c r="Q659" i="1" s="1"/>
  <c r="P660" i="1"/>
  <c r="Q660" i="1" s="1"/>
  <c r="P661" i="1"/>
  <c r="Q661" i="1" s="1"/>
  <c r="P662" i="1"/>
  <c r="Q662" i="1" s="1"/>
  <c r="P663" i="1"/>
  <c r="Q663" i="1" s="1"/>
  <c r="P664" i="1"/>
  <c r="Q664" i="1" s="1"/>
  <c r="P665" i="1"/>
  <c r="Q665" i="1" s="1"/>
  <c r="P666" i="1"/>
  <c r="Q666" i="1" s="1"/>
  <c r="P667" i="1"/>
  <c r="Q667" i="1" s="1"/>
  <c r="P668" i="1"/>
  <c r="Q668" i="1" s="1"/>
  <c r="P669" i="1"/>
  <c r="Q669" i="1" s="1"/>
  <c r="P670" i="1"/>
  <c r="Q670" i="1" s="1"/>
  <c r="P671" i="1"/>
  <c r="Q671" i="1" s="1"/>
  <c r="P672" i="1"/>
  <c r="Q672" i="1" s="1"/>
  <c r="P673" i="1"/>
  <c r="Q673" i="1" s="1"/>
  <c r="P674" i="1"/>
  <c r="Q674" i="1" s="1"/>
  <c r="P675" i="1"/>
  <c r="Q675" i="1" s="1"/>
  <c r="P676" i="1"/>
  <c r="Q676" i="1" s="1"/>
  <c r="P677" i="1"/>
  <c r="Q677" i="1" s="1"/>
  <c r="P678" i="1"/>
  <c r="Q678" i="1" s="1"/>
  <c r="P679" i="1"/>
  <c r="Q679" i="1" s="1"/>
  <c r="P680" i="1"/>
  <c r="Q680" i="1" s="1"/>
  <c r="P681" i="1"/>
  <c r="Q681" i="1" s="1"/>
  <c r="P682" i="1"/>
  <c r="Q682" i="1" s="1"/>
  <c r="P683" i="1"/>
  <c r="Q683" i="1" s="1"/>
  <c r="P684" i="1"/>
  <c r="Q684" i="1" s="1"/>
  <c r="P685" i="1"/>
  <c r="Q685" i="1" s="1"/>
  <c r="P686" i="1"/>
  <c r="Q686" i="1" s="1"/>
  <c r="P687" i="1"/>
  <c r="Q687" i="1" s="1"/>
  <c r="P688" i="1"/>
  <c r="Q688" i="1" s="1"/>
  <c r="P689" i="1"/>
  <c r="Q689" i="1" s="1"/>
  <c r="P690" i="1"/>
  <c r="Q690" i="1" s="1"/>
  <c r="P691" i="1"/>
  <c r="Q691" i="1" s="1"/>
  <c r="P692" i="1"/>
  <c r="Q692" i="1" s="1"/>
  <c r="P693" i="1"/>
  <c r="Q693" i="1" s="1"/>
  <c r="P694" i="1"/>
  <c r="Q694" i="1" s="1"/>
  <c r="P695" i="1"/>
  <c r="Q695" i="1" s="1"/>
  <c r="P696" i="1"/>
  <c r="Q696" i="1" s="1"/>
  <c r="P697" i="1"/>
  <c r="Q697" i="1" s="1"/>
  <c r="P698" i="1"/>
  <c r="Q698" i="1" s="1"/>
  <c r="P699" i="1"/>
  <c r="Q699" i="1" s="1"/>
  <c r="P700" i="1"/>
  <c r="Q700" i="1" s="1"/>
  <c r="P701" i="1"/>
  <c r="Q701" i="1" s="1"/>
  <c r="P702" i="1"/>
  <c r="Q702" i="1" s="1"/>
  <c r="P703" i="1"/>
  <c r="Q703" i="1" s="1"/>
  <c r="P704" i="1"/>
  <c r="Q704" i="1" s="1"/>
  <c r="P705" i="1"/>
  <c r="Q705" i="1" s="1"/>
  <c r="P706" i="1"/>
  <c r="Q706" i="1" s="1"/>
  <c r="P707" i="1"/>
  <c r="Q707" i="1" s="1"/>
  <c r="P708" i="1"/>
  <c r="Q708" i="1" s="1"/>
  <c r="P709" i="1"/>
  <c r="Q709" i="1" s="1"/>
  <c r="P710" i="1"/>
  <c r="Q710" i="1" s="1"/>
  <c r="P711" i="1"/>
  <c r="Q711" i="1" s="1"/>
  <c r="P712" i="1"/>
  <c r="Q712" i="1" s="1"/>
  <c r="P713" i="1"/>
  <c r="Q713" i="1" s="1"/>
  <c r="P714" i="1"/>
  <c r="Q714" i="1" s="1"/>
  <c r="P715" i="1"/>
  <c r="Q715" i="1" s="1"/>
  <c r="P716" i="1"/>
  <c r="Q716" i="1" s="1"/>
  <c r="P717" i="1"/>
  <c r="Q717" i="1" s="1"/>
  <c r="P718" i="1"/>
  <c r="Q718" i="1" s="1"/>
  <c r="P719" i="1"/>
  <c r="Q719" i="1" s="1"/>
  <c r="P720" i="1"/>
  <c r="Q720" i="1" s="1"/>
  <c r="P721" i="1"/>
  <c r="Q721" i="1" s="1"/>
  <c r="P722" i="1"/>
  <c r="Q722" i="1" s="1"/>
  <c r="P723" i="1"/>
  <c r="Q723" i="1" s="1"/>
  <c r="P724" i="1"/>
  <c r="Q724" i="1" s="1"/>
  <c r="P725" i="1"/>
  <c r="Q725" i="1" s="1"/>
  <c r="P726" i="1"/>
  <c r="Q726" i="1" s="1"/>
  <c r="P727" i="1"/>
  <c r="Q727" i="1" s="1"/>
  <c r="P728" i="1"/>
  <c r="Q728" i="1" s="1"/>
  <c r="P729" i="1"/>
  <c r="Q729" i="1" s="1"/>
  <c r="P730" i="1"/>
  <c r="Q730" i="1" s="1"/>
  <c r="P731" i="1"/>
  <c r="Q731" i="1" s="1"/>
  <c r="P732" i="1"/>
  <c r="Q732" i="1" s="1"/>
  <c r="P733" i="1"/>
  <c r="Q733" i="1" s="1"/>
  <c r="P734" i="1"/>
  <c r="Q734" i="1" s="1"/>
  <c r="P735" i="1"/>
  <c r="Q735" i="1" s="1"/>
  <c r="P736" i="1"/>
  <c r="Q736" i="1" s="1"/>
  <c r="P737" i="1"/>
  <c r="Q737" i="1" s="1"/>
  <c r="P738" i="1"/>
  <c r="Q738" i="1" s="1"/>
  <c r="P739" i="1"/>
  <c r="Q739" i="1" s="1"/>
  <c r="P740" i="1"/>
  <c r="Q740" i="1" s="1"/>
  <c r="P741" i="1"/>
  <c r="Q741" i="1" s="1"/>
  <c r="P742" i="1"/>
  <c r="Q742" i="1" s="1"/>
  <c r="P743" i="1"/>
  <c r="Q743" i="1" s="1"/>
  <c r="P744" i="1"/>
  <c r="Q744" i="1" s="1"/>
  <c r="P745" i="1"/>
  <c r="Q745" i="1" s="1"/>
  <c r="P746" i="1"/>
  <c r="Q746" i="1" s="1"/>
  <c r="P747" i="1"/>
  <c r="Q747" i="1" s="1"/>
  <c r="P748" i="1"/>
  <c r="Q748" i="1" s="1"/>
  <c r="P749" i="1"/>
  <c r="Q749" i="1" s="1"/>
  <c r="P750" i="1"/>
  <c r="Q750" i="1" s="1"/>
  <c r="P751" i="1"/>
  <c r="Q751" i="1" s="1"/>
  <c r="P752" i="1"/>
  <c r="Q752" i="1" s="1"/>
  <c r="P753" i="1"/>
  <c r="Q753" i="1" s="1"/>
  <c r="P754" i="1"/>
  <c r="Q754" i="1" s="1"/>
  <c r="P755" i="1"/>
  <c r="Q755" i="1" s="1"/>
  <c r="P756" i="1"/>
  <c r="Q756" i="1" s="1"/>
  <c r="P757" i="1"/>
  <c r="Q757" i="1" s="1"/>
  <c r="P758" i="1"/>
  <c r="Q758" i="1" s="1"/>
  <c r="P759" i="1"/>
  <c r="Q759" i="1" s="1"/>
  <c r="P760" i="1"/>
  <c r="Q760" i="1" s="1"/>
  <c r="P761" i="1"/>
  <c r="Q761" i="1" s="1"/>
  <c r="P762" i="1"/>
  <c r="Q762" i="1" s="1"/>
  <c r="P763" i="1"/>
  <c r="Q763" i="1" s="1"/>
  <c r="P764" i="1"/>
  <c r="Q764" i="1" s="1"/>
  <c r="P765" i="1"/>
  <c r="Q765" i="1" s="1"/>
  <c r="P766" i="1"/>
  <c r="Q766" i="1" s="1"/>
  <c r="P767" i="1"/>
  <c r="Q767" i="1" s="1"/>
  <c r="P768" i="1"/>
  <c r="Q768" i="1" s="1"/>
  <c r="P769" i="1"/>
  <c r="Q769" i="1" s="1"/>
  <c r="P770" i="1"/>
  <c r="Q770" i="1" s="1"/>
  <c r="P771" i="1"/>
  <c r="Q771" i="1" s="1"/>
  <c r="P772" i="1"/>
  <c r="Q772" i="1" s="1"/>
  <c r="P773" i="1"/>
  <c r="Q773" i="1" s="1"/>
  <c r="P774" i="1"/>
  <c r="Q774" i="1" s="1"/>
  <c r="P775" i="1"/>
  <c r="Q775" i="1" s="1"/>
  <c r="P776" i="1"/>
  <c r="Q776" i="1" s="1"/>
  <c r="P777" i="1"/>
  <c r="Q777" i="1" s="1"/>
  <c r="P778" i="1"/>
  <c r="Q778" i="1" s="1"/>
  <c r="P779" i="1"/>
  <c r="Q779" i="1" s="1"/>
  <c r="P780" i="1"/>
  <c r="Q780" i="1" s="1"/>
  <c r="P781" i="1"/>
  <c r="Q781" i="1" s="1"/>
  <c r="P782" i="1"/>
  <c r="Q782" i="1" s="1"/>
  <c r="P783" i="1"/>
  <c r="Q783" i="1" s="1"/>
  <c r="P784" i="1"/>
  <c r="Q784" i="1" s="1"/>
  <c r="P785" i="1"/>
  <c r="Q785" i="1" s="1"/>
  <c r="P786" i="1"/>
  <c r="Q786" i="1" s="1"/>
  <c r="P787" i="1"/>
  <c r="Q787" i="1" s="1"/>
  <c r="P788" i="1"/>
  <c r="Q788" i="1" s="1"/>
  <c r="P789" i="1"/>
  <c r="Q789" i="1" s="1"/>
  <c r="P790" i="1"/>
  <c r="Q790" i="1" s="1"/>
  <c r="P791" i="1"/>
  <c r="Q791" i="1" s="1"/>
  <c r="P792" i="1"/>
  <c r="Q792" i="1" s="1"/>
  <c r="P793" i="1"/>
  <c r="Q793" i="1" s="1"/>
  <c r="P794" i="1"/>
  <c r="Q794" i="1" s="1"/>
  <c r="P795" i="1"/>
  <c r="Q795" i="1" s="1"/>
  <c r="P796" i="1"/>
  <c r="Q796" i="1" s="1"/>
  <c r="P797" i="1"/>
  <c r="Q797" i="1" s="1"/>
  <c r="P798" i="1"/>
  <c r="Q798" i="1" s="1"/>
  <c r="P799" i="1"/>
  <c r="Q799" i="1" s="1"/>
  <c r="P800" i="1"/>
  <c r="Q800" i="1" s="1"/>
  <c r="P801" i="1"/>
  <c r="Q801" i="1" s="1"/>
  <c r="P802" i="1"/>
  <c r="Q802" i="1" s="1"/>
  <c r="P803" i="1"/>
  <c r="Q803" i="1" s="1"/>
  <c r="P804" i="1"/>
  <c r="Q804" i="1" s="1"/>
  <c r="P805" i="1"/>
  <c r="Q805" i="1" s="1"/>
  <c r="P806" i="1"/>
  <c r="Q806" i="1" s="1"/>
  <c r="P807" i="1"/>
  <c r="Q807" i="1" s="1"/>
  <c r="P808" i="1"/>
  <c r="Q808" i="1" s="1"/>
  <c r="P809" i="1"/>
  <c r="Q809" i="1" s="1"/>
  <c r="P810" i="1"/>
  <c r="Q810" i="1" s="1"/>
  <c r="P811" i="1"/>
  <c r="Q811" i="1" s="1"/>
  <c r="P812" i="1"/>
  <c r="Q812" i="1" s="1"/>
  <c r="P813" i="1"/>
  <c r="Q813" i="1" s="1"/>
  <c r="P814" i="1"/>
  <c r="Q814" i="1" s="1"/>
  <c r="P815" i="1"/>
  <c r="Q815" i="1" s="1"/>
  <c r="P816" i="1"/>
  <c r="Q816" i="1" s="1"/>
  <c r="P817" i="1"/>
  <c r="Q817" i="1" s="1"/>
  <c r="P818" i="1"/>
  <c r="Q818" i="1" s="1"/>
  <c r="P819" i="1"/>
  <c r="Q819" i="1" s="1"/>
  <c r="P820" i="1"/>
  <c r="Q820" i="1" s="1"/>
  <c r="P821" i="1"/>
  <c r="Q821" i="1" s="1"/>
  <c r="P822" i="1"/>
  <c r="Q822" i="1" s="1"/>
  <c r="P823" i="1"/>
  <c r="Q823" i="1" s="1"/>
  <c r="P824" i="1"/>
  <c r="Q824" i="1" s="1"/>
  <c r="P825" i="1"/>
  <c r="Q825" i="1" s="1"/>
  <c r="P826" i="1"/>
  <c r="Q826" i="1" s="1"/>
  <c r="P827" i="1"/>
  <c r="Q827" i="1" s="1"/>
  <c r="P828" i="1"/>
  <c r="Q828" i="1" s="1"/>
  <c r="P829" i="1"/>
  <c r="Q829" i="1" s="1"/>
  <c r="P830" i="1"/>
  <c r="Q830" i="1" s="1"/>
  <c r="P831" i="1"/>
  <c r="Q831" i="1" s="1"/>
  <c r="P832" i="1"/>
  <c r="Q832" i="1" s="1"/>
  <c r="P833" i="1"/>
  <c r="Q833" i="1" s="1"/>
  <c r="P834" i="1"/>
  <c r="Q834" i="1" s="1"/>
  <c r="P835" i="1"/>
  <c r="Q835" i="1" s="1"/>
  <c r="P836" i="1"/>
  <c r="Q836" i="1" s="1"/>
  <c r="P837" i="1"/>
  <c r="Q837" i="1" s="1"/>
  <c r="P838" i="1"/>
  <c r="Q838" i="1" s="1"/>
  <c r="P839" i="1"/>
  <c r="Q839" i="1" s="1"/>
  <c r="P840" i="1"/>
  <c r="Q840" i="1" s="1"/>
  <c r="P841" i="1"/>
  <c r="Q841" i="1" s="1"/>
  <c r="P842" i="1"/>
  <c r="Q842" i="1" s="1"/>
  <c r="P843" i="1"/>
  <c r="Q843" i="1" s="1"/>
  <c r="P844" i="1"/>
  <c r="Q844" i="1" s="1"/>
  <c r="P845" i="1"/>
  <c r="Q845" i="1" s="1"/>
  <c r="P846" i="1"/>
  <c r="Q846" i="1" s="1"/>
  <c r="P847" i="1"/>
  <c r="Q847" i="1" s="1"/>
  <c r="P848" i="1"/>
  <c r="Q848" i="1" s="1"/>
  <c r="P849" i="1"/>
  <c r="Q849" i="1" s="1"/>
  <c r="P850" i="1"/>
  <c r="Q850" i="1" s="1"/>
  <c r="P851" i="1"/>
  <c r="Q851" i="1" s="1"/>
  <c r="P852" i="1"/>
  <c r="Q852" i="1" s="1"/>
  <c r="P853" i="1"/>
  <c r="Q853" i="1" s="1"/>
  <c r="P854" i="1"/>
  <c r="Q854" i="1" s="1"/>
  <c r="P855" i="1"/>
  <c r="Q855" i="1" s="1"/>
  <c r="P856" i="1"/>
  <c r="Q856" i="1" s="1"/>
  <c r="P857" i="1"/>
  <c r="Q857" i="1" s="1"/>
  <c r="P858" i="1"/>
  <c r="Q858" i="1" s="1"/>
  <c r="P859" i="1"/>
  <c r="Q859" i="1" s="1"/>
  <c r="P860" i="1"/>
  <c r="Q860" i="1" s="1"/>
  <c r="P861" i="1"/>
  <c r="Q861" i="1" s="1"/>
  <c r="P862" i="1"/>
  <c r="Q862" i="1" s="1"/>
  <c r="P863" i="1"/>
  <c r="Q863" i="1" s="1"/>
  <c r="P864" i="1"/>
  <c r="Q864" i="1" s="1"/>
  <c r="P865" i="1"/>
  <c r="Q865" i="1" s="1"/>
  <c r="P866" i="1"/>
  <c r="Q866" i="1" s="1"/>
  <c r="P867" i="1"/>
  <c r="Q867" i="1" s="1"/>
  <c r="P868" i="1"/>
  <c r="Q868" i="1" s="1"/>
  <c r="P869" i="1"/>
  <c r="Q869" i="1" s="1"/>
  <c r="P870" i="1"/>
  <c r="Q870" i="1" s="1"/>
  <c r="P871" i="1"/>
  <c r="Q871" i="1" s="1"/>
  <c r="P872" i="1"/>
  <c r="Q872" i="1" s="1"/>
  <c r="P873" i="1"/>
  <c r="Q873" i="1" s="1"/>
  <c r="P874" i="1"/>
  <c r="Q874" i="1" s="1"/>
  <c r="P875" i="1"/>
  <c r="Q875" i="1" s="1"/>
  <c r="P876" i="1"/>
  <c r="Q876" i="1" s="1"/>
  <c r="P877" i="1"/>
  <c r="Q877" i="1" s="1"/>
  <c r="P878" i="1"/>
  <c r="Q878" i="1" s="1"/>
  <c r="P879" i="1"/>
  <c r="Q879" i="1" s="1"/>
  <c r="P880" i="1"/>
  <c r="Q880" i="1" s="1"/>
  <c r="P881" i="1"/>
  <c r="Q881" i="1" s="1"/>
  <c r="P882" i="1"/>
  <c r="Q882" i="1" s="1"/>
  <c r="P883" i="1"/>
  <c r="Q883" i="1" s="1"/>
  <c r="P884" i="1"/>
  <c r="Q884" i="1" s="1"/>
  <c r="P885" i="1"/>
  <c r="Q885" i="1" s="1"/>
  <c r="P886" i="1"/>
  <c r="Q886" i="1" s="1"/>
  <c r="P887" i="1"/>
  <c r="Q887" i="1" s="1"/>
  <c r="P888" i="1"/>
  <c r="Q888" i="1" s="1"/>
  <c r="P889" i="1"/>
  <c r="Q889" i="1" s="1"/>
  <c r="P890" i="1"/>
  <c r="Q890" i="1" s="1"/>
  <c r="P891" i="1"/>
  <c r="Q891" i="1" s="1"/>
  <c r="P892" i="1"/>
  <c r="Q892" i="1" s="1"/>
  <c r="P893" i="1"/>
  <c r="Q893" i="1" s="1"/>
  <c r="P894" i="1"/>
  <c r="Q894" i="1" s="1"/>
  <c r="P895" i="1"/>
  <c r="Q895" i="1" s="1"/>
  <c r="P896" i="1"/>
  <c r="Q896" i="1" s="1"/>
  <c r="P897" i="1"/>
  <c r="Q897" i="1" s="1"/>
  <c r="P898" i="1"/>
  <c r="Q898" i="1" s="1"/>
  <c r="P899" i="1"/>
  <c r="Q899" i="1" s="1"/>
  <c r="P900" i="1"/>
  <c r="Q900" i="1" s="1"/>
  <c r="P901" i="1"/>
  <c r="Q901" i="1" s="1"/>
  <c r="P902" i="1"/>
  <c r="Q902" i="1" s="1"/>
  <c r="P903" i="1"/>
  <c r="Q903" i="1" s="1"/>
  <c r="P904" i="1"/>
  <c r="Q904" i="1" s="1"/>
  <c r="P905" i="1"/>
  <c r="Q905" i="1" s="1"/>
  <c r="P906" i="1"/>
  <c r="Q906" i="1" s="1"/>
  <c r="P907" i="1"/>
  <c r="Q907" i="1" s="1"/>
  <c r="P908" i="1"/>
  <c r="Q908" i="1" s="1"/>
  <c r="P909" i="1"/>
  <c r="Q909" i="1" s="1"/>
  <c r="P910" i="1"/>
  <c r="Q910" i="1" s="1"/>
  <c r="P911" i="1"/>
  <c r="Q911" i="1" s="1"/>
  <c r="P912" i="1"/>
  <c r="Q912" i="1" s="1"/>
  <c r="P913" i="1"/>
  <c r="Q913" i="1" s="1"/>
  <c r="P914" i="1"/>
  <c r="Q914" i="1" s="1"/>
  <c r="P915" i="1"/>
  <c r="Q915" i="1" s="1"/>
  <c r="P916" i="1"/>
  <c r="Q916" i="1" s="1"/>
  <c r="P917" i="1"/>
  <c r="Q917" i="1" s="1"/>
  <c r="P918" i="1"/>
  <c r="Q918" i="1" s="1"/>
  <c r="P919" i="1"/>
  <c r="Q919" i="1" s="1"/>
  <c r="P920" i="1"/>
  <c r="Q920" i="1" s="1"/>
  <c r="P921" i="1"/>
  <c r="Q921" i="1" s="1"/>
  <c r="P922" i="1"/>
  <c r="Q922" i="1" s="1"/>
  <c r="P923" i="1"/>
  <c r="Q923" i="1" s="1"/>
  <c r="P924" i="1"/>
  <c r="Q924" i="1" s="1"/>
  <c r="P925" i="1"/>
  <c r="Q925" i="1" s="1"/>
  <c r="P926" i="1"/>
  <c r="Q926" i="1" s="1"/>
  <c r="P927" i="1"/>
  <c r="Q927" i="1" s="1"/>
  <c r="P928" i="1"/>
  <c r="Q928" i="1" s="1"/>
  <c r="P929" i="1"/>
  <c r="Q929" i="1" s="1"/>
  <c r="P930" i="1"/>
  <c r="Q930" i="1" s="1"/>
  <c r="P931" i="1"/>
  <c r="Q931" i="1" s="1"/>
  <c r="P932" i="1"/>
  <c r="Q932" i="1" s="1"/>
  <c r="P933" i="1"/>
  <c r="Q933" i="1" s="1"/>
  <c r="P934" i="1"/>
  <c r="Q934" i="1" s="1"/>
  <c r="P935" i="1"/>
  <c r="Q935" i="1" s="1"/>
  <c r="P936" i="1"/>
  <c r="Q936" i="1" s="1"/>
  <c r="P937" i="1"/>
  <c r="Q937" i="1" s="1"/>
  <c r="P938" i="1"/>
  <c r="Q938" i="1" s="1"/>
  <c r="P939" i="1"/>
  <c r="Q939" i="1" s="1"/>
  <c r="P940" i="1"/>
  <c r="Q940" i="1" s="1"/>
  <c r="P941" i="1"/>
  <c r="Q941" i="1" s="1"/>
  <c r="P942" i="1"/>
  <c r="Q942" i="1" s="1"/>
  <c r="P943" i="1"/>
  <c r="Q943" i="1" s="1"/>
  <c r="P944" i="1"/>
  <c r="Q944" i="1" s="1"/>
  <c r="P945" i="1"/>
  <c r="Q945" i="1" s="1"/>
  <c r="P946" i="1"/>
  <c r="Q946" i="1" s="1"/>
  <c r="P947" i="1"/>
  <c r="Q947" i="1" s="1"/>
  <c r="P948" i="1"/>
  <c r="Q948" i="1" s="1"/>
  <c r="P949" i="1"/>
  <c r="Q949" i="1" s="1"/>
  <c r="P950" i="1"/>
  <c r="Q950" i="1" s="1"/>
  <c r="P951" i="1"/>
  <c r="Q951" i="1" s="1"/>
  <c r="P952" i="1"/>
  <c r="Q952" i="1" s="1"/>
  <c r="P953" i="1"/>
  <c r="Q953" i="1" s="1"/>
  <c r="P954" i="1"/>
  <c r="Q954" i="1" s="1"/>
  <c r="P955" i="1"/>
  <c r="Q955" i="1" s="1"/>
  <c r="P956" i="1"/>
  <c r="Q956" i="1" s="1"/>
  <c r="P957" i="1"/>
  <c r="Q957" i="1" s="1"/>
  <c r="P958" i="1"/>
  <c r="Q958" i="1" s="1"/>
  <c r="P959" i="1"/>
  <c r="Q959" i="1" s="1"/>
  <c r="P960" i="1"/>
  <c r="Q960" i="1" s="1"/>
  <c r="P961" i="1"/>
  <c r="Q961" i="1" s="1"/>
  <c r="P962" i="1"/>
  <c r="Q962" i="1" s="1"/>
  <c r="P963" i="1"/>
  <c r="Q963" i="1" s="1"/>
  <c r="P964" i="1"/>
  <c r="Q964" i="1" s="1"/>
  <c r="P965" i="1"/>
  <c r="Q965" i="1" s="1"/>
  <c r="P966" i="1"/>
  <c r="Q966" i="1" s="1"/>
  <c r="P967" i="1"/>
  <c r="Q967" i="1" s="1"/>
  <c r="P968" i="1"/>
  <c r="Q968" i="1" s="1"/>
  <c r="P969" i="1"/>
  <c r="Q969" i="1" s="1"/>
  <c r="P970" i="1"/>
  <c r="Q970" i="1" s="1"/>
  <c r="P971" i="1"/>
  <c r="Q971" i="1" s="1"/>
  <c r="P972" i="1"/>
  <c r="Q972" i="1" s="1"/>
  <c r="P973" i="1"/>
  <c r="Q973" i="1" s="1"/>
  <c r="P974" i="1"/>
  <c r="Q974" i="1" s="1"/>
  <c r="P975" i="1"/>
  <c r="Q975" i="1" s="1"/>
  <c r="P976" i="1"/>
  <c r="Q976" i="1" s="1"/>
  <c r="P977" i="1"/>
  <c r="Q977" i="1" s="1"/>
  <c r="P978" i="1"/>
  <c r="Q978" i="1" s="1"/>
  <c r="P979" i="1"/>
  <c r="Q979" i="1" s="1"/>
  <c r="P980" i="1"/>
  <c r="Q980" i="1" s="1"/>
  <c r="P981" i="1"/>
  <c r="Q981" i="1" s="1"/>
  <c r="P982" i="1"/>
  <c r="Q982" i="1" s="1"/>
  <c r="P983" i="1"/>
  <c r="Q983" i="1" s="1"/>
  <c r="P984" i="1"/>
  <c r="Q984" i="1" s="1"/>
  <c r="P985" i="1"/>
  <c r="Q985" i="1" s="1"/>
  <c r="P986" i="1"/>
  <c r="Q986" i="1" s="1"/>
  <c r="P987" i="1"/>
  <c r="Q987" i="1" s="1"/>
  <c r="P988" i="1"/>
  <c r="Q988" i="1" s="1"/>
  <c r="P989" i="1"/>
  <c r="Q989" i="1" s="1"/>
  <c r="P990" i="1"/>
  <c r="Q990" i="1" s="1"/>
  <c r="P991" i="1"/>
  <c r="Q991" i="1" s="1"/>
  <c r="P992" i="1"/>
  <c r="Q992" i="1" s="1"/>
  <c r="P993" i="1"/>
  <c r="Q993" i="1" s="1"/>
  <c r="P994" i="1"/>
  <c r="Q994" i="1" s="1"/>
  <c r="P995" i="1"/>
  <c r="Q995" i="1" s="1"/>
  <c r="P996" i="1"/>
  <c r="Q996" i="1" s="1"/>
  <c r="P997" i="1"/>
  <c r="Q997" i="1" s="1"/>
  <c r="P998" i="1"/>
  <c r="Q998" i="1" s="1"/>
  <c r="P999" i="1"/>
  <c r="Q999" i="1" s="1"/>
  <c r="P1000" i="1"/>
  <c r="Q1000" i="1" s="1"/>
  <c r="P1001" i="1"/>
  <c r="Q1001" i="1" s="1"/>
  <c r="P1002" i="1"/>
  <c r="Q1002" i="1" s="1"/>
  <c r="P1003" i="1"/>
  <c r="Q1003" i="1" s="1"/>
  <c r="P1004" i="1"/>
  <c r="Q1004" i="1" s="1"/>
  <c r="P1005" i="1"/>
  <c r="Q1005" i="1" s="1"/>
  <c r="P1006" i="1"/>
  <c r="Q1006" i="1" s="1"/>
  <c r="P1007" i="1"/>
  <c r="Q1007" i="1" s="1"/>
  <c r="P1008" i="1"/>
  <c r="Q1008" i="1" s="1"/>
  <c r="P1009" i="1"/>
  <c r="Q1009" i="1" s="1"/>
  <c r="P1010" i="1"/>
  <c r="Q1010" i="1" s="1"/>
  <c r="P1011" i="1"/>
  <c r="Q1011" i="1" s="1"/>
  <c r="P1012" i="1"/>
  <c r="Q1012" i="1" s="1"/>
  <c r="P1013" i="1"/>
  <c r="Q1013" i="1" s="1"/>
  <c r="P1014" i="1"/>
  <c r="Q1014" i="1" s="1"/>
  <c r="P1015" i="1"/>
  <c r="Q1015" i="1" s="1"/>
  <c r="P1016" i="1"/>
  <c r="Q1016" i="1" s="1"/>
  <c r="P1017" i="1"/>
  <c r="Q1017" i="1" s="1"/>
  <c r="P1018" i="1"/>
  <c r="Q1018" i="1" s="1"/>
  <c r="P1019" i="1"/>
  <c r="Q1019" i="1" s="1"/>
  <c r="P1020" i="1"/>
  <c r="Q1020" i="1" s="1"/>
  <c r="P1021" i="1"/>
  <c r="Q1021" i="1" s="1"/>
  <c r="P1022" i="1"/>
  <c r="Q1022" i="1" s="1"/>
  <c r="P1023" i="1"/>
  <c r="Q1023" i="1" s="1"/>
  <c r="P1024" i="1"/>
  <c r="Q1024" i="1" s="1"/>
  <c r="P1025" i="1"/>
  <c r="Q1025" i="1" s="1"/>
  <c r="P1026" i="1"/>
  <c r="Q1026" i="1" s="1"/>
  <c r="P1027" i="1"/>
  <c r="Q1027" i="1" s="1"/>
  <c r="P1028" i="1"/>
  <c r="Q1028" i="1" s="1"/>
  <c r="P1029" i="1"/>
  <c r="Q1029" i="1" s="1"/>
  <c r="P1030" i="1"/>
  <c r="Q1030" i="1" s="1"/>
  <c r="P1031" i="1"/>
  <c r="Q1031" i="1" s="1"/>
  <c r="P1032" i="1"/>
  <c r="Q1032" i="1" s="1"/>
  <c r="P1033" i="1"/>
  <c r="Q1033" i="1" s="1"/>
  <c r="P1034" i="1"/>
  <c r="Q1034" i="1" s="1"/>
  <c r="P1035" i="1"/>
  <c r="Q1035" i="1" s="1"/>
  <c r="P1036" i="1"/>
  <c r="Q1036" i="1" s="1"/>
  <c r="P1037" i="1"/>
  <c r="Q1037" i="1" s="1"/>
  <c r="P1038" i="1"/>
  <c r="Q1038" i="1" s="1"/>
  <c r="P1039" i="1"/>
  <c r="Q1039" i="1" s="1"/>
  <c r="P1040" i="1"/>
  <c r="Q1040" i="1" s="1"/>
  <c r="P1041" i="1"/>
  <c r="Q1041" i="1" s="1"/>
  <c r="P1042" i="1"/>
  <c r="Q1042" i="1" s="1"/>
  <c r="P1043" i="1"/>
  <c r="Q1043" i="1" s="1"/>
  <c r="P1044" i="1"/>
  <c r="Q1044" i="1" s="1"/>
  <c r="P1045" i="1"/>
  <c r="Q1045" i="1" s="1"/>
  <c r="P1046" i="1"/>
  <c r="Q1046" i="1" s="1"/>
  <c r="P1047" i="1"/>
  <c r="Q1047" i="1" s="1"/>
  <c r="P1048" i="1"/>
  <c r="Q1048" i="1" s="1"/>
  <c r="P1049" i="1"/>
  <c r="Q1049" i="1" s="1"/>
  <c r="P1050" i="1"/>
  <c r="Q1050" i="1" s="1"/>
  <c r="P1051" i="1"/>
  <c r="Q1051" i="1" s="1"/>
  <c r="P1052" i="1"/>
  <c r="Q1052" i="1" s="1"/>
  <c r="P1053" i="1"/>
  <c r="Q1053" i="1" s="1"/>
  <c r="P1054" i="1"/>
  <c r="Q1054" i="1" s="1"/>
  <c r="P1055" i="1"/>
  <c r="Q1055" i="1" s="1"/>
  <c r="P1056" i="1"/>
  <c r="Q1056" i="1" s="1"/>
  <c r="P1057" i="1"/>
  <c r="Q1057" i="1" s="1"/>
  <c r="P1058" i="1"/>
  <c r="Q1058" i="1" s="1"/>
  <c r="P1059" i="1"/>
  <c r="Q1059" i="1" s="1"/>
  <c r="P1060" i="1"/>
  <c r="Q1060" i="1" s="1"/>
  <c r="P1061" i="1"/>
  <c r="Q1061" i="1" s="1"/>
  <c r="P1062" i="1"/>
  <c r="Q1062" i="1" s="1"/>
  <c r="P1063" i="1"/>
  <c r="Q1063" i="1" s="1"/>
  <c r="P1064" i="1"/>
  <c r="Q1064" i="1" s="1"/>
  <c r="P1065" i="1"/>
  <c r="Q1065" i="1" s="1"/>
  <c r="P1066" i="1"/>
  <c r="Q1066" i="1" s="1"/>
  <c r="P1067" i="1"/>
  <c r="Q1067" i="1" s="1"/>
  <c r="P1068" i="1"/>
  <c r="Q1068" i="1" s="1"/>
  <c r="P1069" i="1"/>
  <c r="Q1069" i="1" s="1"/>
  <c r="P1070" i="1"/>
  <c r="Q1070" i="1" s="1"/>
  <c r="P1071" i="1"/>
  <c r="Q1071" i="1" s="1"/>
  <c r="P1072" i="1"/>
  <c r="Q1072" i="1" s="1"/>
  <c r="P1073" i="1"/>
  <c r="Q1073" i="1" s="1"/>
  <c r="P1074" i="1"/>
  <c r="Q1074" i="1" s="1"/>
  <c r="P1075" i="1"/>
  <c r="Q1075" i="1" s="1"/>
  <c r="P1076" i="1"/>
  <c r="Q1076" i="1" s="1"/>
  <c r="P1077" i="1"/>
  <c r="Q1077" i="1" s="1"/>
  <c r="P1078" i="1"/>
  <c r="Q1078" i="1" s="1"/>
  <c r="P1079" i="1"/>
  <c r="Q1079" i="1" s="1"/>
  <c r="P1080" i="1"/>
  <c r="Q1080" i="1" s="1"/>
  <c r="P1081" i="1"/>
  <c r="Q1081" i="1" s="1"/>
  <c r="P1082" i="1"/>
  <c r="Q1082" i="1" s="1"/>
  <c r="P1083" i="1"/>
  <c r="Q1083" i="1" s="1"/>
  <c r="P1084" i="1"/>
  <c r="Q1084" i="1" s="1"/>
  <c r="P1085" i="1"/>
  <c r="Q1085" i="1" s="1"/>
  <c r="P1086" i="1"/>
  <c r="Q1086" i="1" s="1"/>
  <c r="P1087" i="1"/>
  <c r="Q1087" i="1" s="1"/>
  <c r="P1088" i="1"/>
  <c r="Q1088" i="1" s="1"/>
  <c r="P1089" i="1"/>
  <c r="Q1089" i="1" s="1"/>
  <c r="P1090" i="1"/>
  <c r="Q1090" i="1" s="1"/>
  <c r="P1091" i="1"/>
  <c r="Q1091" i="1" s="1"/>
  <c r="P1092" i="1"/>
  <c r="Q1092" i="1" s="1"/>
  <c r="P1093" i="1"/>
  <c r="Q1093" i="1" s="1"/>
  <c r="P1094" i="1"/>
  <c r="Q1094" i="1" s="1"/>
  <c r="P1095" i="1"/>
  <c r="Q1095" i="1" s="1"/>
  <c r="P1096" i="1"/>
  <c r="Q1096" i="1" s="1"/>
  <c r="P1097" i="1"/>
  <c r="Q1097" i="1" s="1"/>
  <c r="P1098" i="1"/>
  <c r="Q1098" i="1" s="1"/>
  <c r="P1099" i="1"/>
  <c r="Q1099" i="1" s="1"/>
  <c r="P1100" i="1"/>
  <c r="Q1100" i="1" s="1"/>
  <c r="P1101" i="1"/>
  <c r="Q1101" i="1" s="1"/>
  <c r="P1102" i="1"/>
  <c r="Q1102" i="1" s="1"/>
  <c r="P1103" i="1"/>
  <c r="Q1103" i="1" s="1"/>
  <c r="P1104" i="1"/>
  <c r="Q1104" i="1" s="1"/>
  <c r="P1105" i="1"/>
  <c r="Q1105" i="1" s="1"/>
  <c r="P1106" i="1"/>
  <c r="Q1106" i="1" s="1"/>
  <c r="P1107" i="1"/>
  <c r="Q1107" i="1" s="1"/>
  <c r="P1108" i="1"/>
  <c r="Q1108" i="1" s="1"/>
  <c r="P1109" i="1"/>
  <c r="Q1109" i="1" s="1"/>
  <c r="P1110" i="1"/>
  <c r="Q1110" i="1" s="1"/>
  <c r="P1111" i="1"/>
  <c r="Q1111" i="1" s="1"/>
  <c r="P1112" i="1"/>
  <c r="Q1112" i="1" s="1"/>
  <c r="P1113" i="1"/>
  <c r="Q1113" i="1" s="1"/>
  <c r="P1114" i="1"/>
  <c r="Q1114" i="1" s="1"/>
  <c r="P1115" i="1"/>
  <c r="Q1115" i="1" s="1"/>
  <c r="P1116" i="1"/>
  <c r="Q1116" i="1" s="1"/>
  <c r="P1117" i="1"/>
  <c r="Q1117" i="1" s="1"/>
  <c r="P1118" i="1"/>
  <c r="Q1118" i="1" s="1"/>
  <c r="P1119" i="1"/>
  <c r="Q1119" i="1" s="1"/>
  <c r="P1120" i="1"/>
  <c r="Q1120" i="1" s="1"/>
  <c r="P1121" i="1"/>
  <c r="Q1121" i="1" s="1"/>
  <c r="P1122" i="1"/>
  <c r="Q1122" i="1" s="1"/>
  <c r="P1123" i="1"/>
  <c r="Q1123" i="1" s="1"/>
  <c r="P1124" i="1"/>
  <c r="Q1124" i="1" s="1"/>
  <c r="P1125" i="1"/>
  <c r="Q1125" i="1" s="1"/>
  <c r="P1126" i="1"/>
  <c r="Q1126" i="1" s="1"/>
  <c r="P1127" i="1"/>
  <c r="Q1127" i="1" s="1"/>
  <c r="P1128" i="1"/>
  <c r="Q1128" i="1" s="1"/>
  <c r="P1129" i="1"/>
  <c r="Q1129" i="1" s="1"/>
  <c r="P1130" i="1"/>
  <c r="Q1130" i="1" s="1"/>
  <c r="P1131" i="1"/>
  <c r="Q1131" i="1" s="1"/>
  <c r="P1132" i="1"/>
  <c r="Q1132" i="1" s="1"/>
  <c r="P1133" i="1"/>
  <c r="Q1133" i="1" s="1"/>
  <c r="P1134" i="1"/>
  <c r="Q1134" i="1" s="1"/>
  <c r="P1135" i="1"/>
  <c r="Q1135" i="1" s="1"/>
  <c r="P1136" i="1"/>
  <c r="Q1136" i="1" s="1"/>
  <c r="P1137" i="1"/>
  <c r="Q1137" i="1" s="1"/>
  <c r="P1138" i="1"/>
  <c r="Q1138" i="1" s="1"/>
  <c r="P1139" i="1"/>
  <c r="Q1139" i="1" s="1"/>
  <c r="P1140" i="1"/>
  <c r="Q1140" i="1" s="1"/>
  <c r="P1141" i="1"/>
  <c r="Q1141" i="1" s="1"/>
  <c r="P1142" i="1"/>
  <c r="Q1142" i="1" s="1"/>
  <c r="P1143" i="1"/>
  <c r="Q1143" i="1" s="1"/>
  <c r="P1144" i="1"/>
  <c r="Q1144" i="1" s="1"/>
  <c r="P1145" i="1"/>
  <c r="Q1145" i="1" s="1"/>
  <c r="P1146" i="1"/>
  <c r="Q1146" i="1" s="1"/>
  <c r="P1147" i="1"/>
  <c r="Q1147" i="1" s="1"/>
  <c r="P1148" i="1"/>
  <c r="Q1148" i="1" s="1"/>
  <c r="P1149" i="1"/>
  <c r="Q1149" i="1" s="1"/>
  <c r="P1150" i="1"/>
  <c r="Q1150" i="1" s="1"/>
  <c r="P1151" i="1"/>
  <c r="Q1151" i="1" s="1"/>
  <c r="P1152" i="1"/>
  <c r="Q1152" i="1" s="1"/>
  <c r="P1153" i="1"/>
  <c r="Q1153" i="1" s="1"/>
  <c r="P1154" i="1"/>
  <c r="Q1154" i="1" s="1"/>
  <c r="P1155" i="1"/>
  <c r="Q1155" i="1" s="1"/>
  <c r="P1156" i="1"/>
  <c r="Q1156" i="1" s="1"/>
  <c r="P1157" i="1"/>
  <c r="Q1157" i="1" s="1"/>
  <c r="P1158" i="1"/>
  <c r="Q1158" i="1" s="1"/>
  <c r="P1159" i="1"/>
  <c r="Q1159" i="1" s="1"/>
  <c r="P1160" i="1"/>
  <c r="Q1160" i="1" s="1"/>
  <c r="P1161" i="1"/>
  <c r="Q1161" i="1" s="1"/>
  <c r="P1162" i="1"/>
  <c r="Q1162" i="1" s="1"/>
  <c r="P1163" i="1"/>
  <c r="Q1163" i="1" s="1"/>
  <c r="P1164" i="1"/>
  <c r="Q1164" i="1" s="1"/>
  <c r="P1165" i="1"/>
  <c r="Q1165" i="1" s="1"/>
  <c r="P1166" i="1"/>
  <c r="Q1166" i="1" s="1"/>
  <c r="P1167" i="1"/>
  <c r="Q1167" i="1" s="1"/>
  <c r="P1168" i="1"/>
  <c r="Q1168" i="1" s="1"/>
  <c r="P1169" i="1"/>
  <c r="Q1169" i="1" s="1"/>
  <c r="P1170" i="1"/>
  <c r="Q1170" i="1" s="1"/>
  <c r="P1171" i="1"/>
  <c r="Q1171" i="1" s="1"/>
  <c r="P1172" i="1"/>
  <c r="Q1172" i="1" s="1"/>
  <c r="P1173" i="1"/>
  <c r="Q1173" i="1" s="1"/>
  <c r="P1174" i="1"/>
  <c r="Q1174" i="1" s="1"/>
  <c r="P1175" i="1"/>
  <c r="Q1175" i="1" s="1"/>
  <c r="P1176" i="1"/>
  <c r="Q1176" i="1" s="1"/>
  <c r="P1177" i="1"/>
  <c r="Q1177" i="1" s="1"/>
  <c r="P1178" i="1"/>
  <c r="Q1178" i="1" s="1"/>
  <c r="P1179" i="1"/>
  <c r="Q1179" i="1" s="1"/>
  <c r="P1180" i="1"/>
  <c r="Q1180" i="1" s="1"/>
  <c r="P1181" i="1"/>
  <c r="Q1181" i="1" s="1"/>
  <c r="P1182" i="1"/>
  <c r="Q1182" i="1" s="1"/>
  <c r="P1183" i="1"/>
  <c r="Q1183" i="1" s="1"/>
  <c r="P1184" i="1"/>
  <c r="Q1184" i="1" s="1"/>
  <c r="P1185" i="1"/>
  <c r="Q1185" i="1" s="1"/>
  <c r="P1186" i="1"/>
  <c r="Q1186" i="1" s="1"/>
  <c r="P1187" i="1"/>
  <c r="Q1187" i="1" s="1"/>
  <c r="P1188" i="1"/>
  <c r="Q1188" i="1" s="1"/>
  <c r="P1189" i="1"/>
  <c r="Q1189" i="1" s="1"/>
  <c r="P1190" i="1"/>
  <c r="Q1190" i="1" s="1"/>
  <c r="P1191" i="1"/>
  <c r="Q1191" i="1" s="1"/>
  <c r="P1192" i="1"/>
  <c r="Q1192" i="1" s="1"/>
  <c r="P1193" i="1"/>
  <c r="Q1193" i="1" s="1"/>
  <c r="P1194" i="1"/>
  <c r="Q1194" i="1" s="1"/>
  <c r="P1195" i="1"/>
  <c r="Q1195" i="1" s="1"/>
  <c r="P1196" i="1"/>
  <c r="Q1196" i="1" s="1"/>
  <c r="P1197" i="1"/>
  <c r="Q1197" i="1" s="1"/>
  <c r="P1198" i="1"/>
  <c r="Q1198" i="1" s="1"/>
  <c r="P1199" i="1"/>
  <c r="Q1199" i="1" s="1"/>
  <c r="P1200" i="1"/>
  <c r="Q1200" i="1" s="1"/>
  <c r="P1201" i="1"/>
  <c r="Q1201" i="1" s="1"/>
  <c r="P1202" i="1"/>
  <c r="Q1202" i="1" s="1"/>
  <c r="P1203" i="1"/>
  <c r="Q1203" i="1" s="1"/>
  <c r="P1204" i="1"/>
  <c r="Q1204" i="1" s="1"/>
  <c r="P1205" i="1"/>
  <c r="Q1205" i="1" s="1"/>
  <c r="P1206" i="1"/>
  <c r="Q1206" i="1" s="1"/>
  <c r="P1207" i="1"/>
  <c r="Q1207" i="1" s="1"/>
  <c r="P1208" i="1"/>
  <c r="Q1208" i="1" s="1"/>
  <c r="P1209" i="1"/>
  <c r="Q1209" i="1" s="1"/>
  <c r="P1210" i="1"/>
  <c r="Q1210" i="1" s="1"/>
  <c r="P1211" i="1"/>
  <c r="Q1211" i="1" s="1"/>
  <c r="P1212" i="1"/>
  <c r="Q1212" i="1" s="1"/>
  <c r="P1213" i="1"/>
  <c r="Q1213" i="1" s="1"/>
  <c r="P1214" i="1"/>
  <c r="Q1214" i="1" s="1"/>
  <c r="P1215" i="1"/>
  <c r="Q1215" i="1" s="1"/>
  <c r="P1216" i="1"/>
  <c r="Q1216" i="1" s="1"/>
  <c r="P1217" i="1"/>
  <c r="Q1217" i="1" s="1"/>
  <c r="P1218" i="1"/>
  <c r="Q1218" i="1" s="1"/>
  <c r="P1219" i="1"/>
  <c r="Q1219" i="1" s="1"/>
  <c r="P1220" i="1"/>
  <c r="Q1220" i="1" s="1"/>
  <c r="P1221" i="1"/>
  <c r="Q1221" i="1" s="1"/>
  <c r="P1222" i="1"/>
  <c r="Q1222" i="1" s="1"/>
  <c r="P1223" i="1"/>
  <c r="Q1223" i="1" s="1"/>
  <c r="P1224" i="1"/>
  <c r="Q1224" i="1" s="1"/>
  <c r="P1225" i="1"/>
  <c r="Q1225" i="1" s="1"/>
  <c r="P1226" i="1"/>
  <c r="Q1226" i="1" s="1"/>
  <c r="P1227" i="1"/>
  <c r="Q1227" i="1" s="1"/>
  <c r="P1228" i="1"/>
  <c r="Q1228" i="1" s="1"/>
  <c r="P1229" i="1"/>
  <c r="Q1229" i="1" s="1"/>
  <c r="P1230" i="1"/>
  <c r="Q1230" i="1" s="1"/>
  <c r="P1231" i="1"/>
  <c r="Q1231" i="1" s="1"/>
  <c r="P1232" i="1"/>
  <c r="Q1232" i="1" s="1"/>
  <c r="P1233" i="1"/>
  <c r="Q1233" i="1" s="1"/>
  <c r="P1234" i="1"/>
  <c r="Q1234" i="1" s="1"/>
  <c r="P1235" i="1"/>
  <c r="Q1235" i="1" s="1"/>
  <c r="P1236" i="1"/>
  <c r="Q1236" i="1" s="1"/>
  <c r="P1237" i="1"/>
  <c r="Q1237" i="1" s="1"/>
  <c r="P1238" i="1"/>
  <c r="Q1238" i="1" s="1"/>
  <c r="P1239" i="1"/>
  <c r="Q1239" i="1" s="1"/>
  <c r="P1240" i="1"/>
  <c r="Q1240" i="1" s="1"/>
  <c r="P1241" i="1"/>
  <c r="Q1241" i="1" s="1"/>
  <c r="P1242" i="1"/>
  <c r="Q1242" i="1" s="1"/>
  <c r="P1243" i="1"/>
  <c r="Q1243" i="1" s="1"/>
  <c r="P1244" i="1"/>
  <c r="Q1244" i="1" s="1"/>
  <c r="P1245" i="1"/>
  <c r="Q1245" i="1" s="1"/>
  <c r="P1246" i="1"/>
  <c r="Q1246" i="1" s="1"/>
  <c r="P1247" i="1"/>
  <c r="Q1247" i="1" s="1"/>
  <c r="P1248" i="1"/>
  <c r="Q1248" i="1" s="1"/>
  <c r="P1249" i="1"/>
  <c r="Q1249" i="1" s="1"/>
  <c r="P1250" i="1"/>
  <c r="Q1250" i="1" s="1"/>
  <c r="P1251" i="1"/>
  <c r="Q1251" i="1" s="1"/>
  <c r="P1252" i="1"/>
  <c r="Q1252" i="1" s="1"/>
  <c r="P1253" i="1"/>
  <c r="Q1253" i="1" s="1"/>
  <c r="P1254" i="1"/>
  <c r="Q1254" i="1" s="1"/>
  <c r="P1255" i="1"/>
  <c r="Q1255" i="1" s="1"/>
  <c r="P1256" i="1"/>
  <c r="Q1256" i="1" s="1"/>
  <c r="P1257" i="1"/>
  <c r="Q1257" i="1" s="1"/>
  <c r="P1258" i="1"/>
  <c r="Q1258" i="1" s="1"/>
  <c r="P1259" i="1"/>
  <c r="Q1259" i="1" s="1"/>
  <c r="P1260" i="1"/>
  <c r="Q1260" i="1" s="1"/>
  <c r="P1261" i="1"/>
  <c r="Q1261" i="1" s="1"/>
  <c r="P1262" i="1"/>
  <c r="Q1262" i="1" s="1"/>
  <c r="P1263" i="1"/>
  <c r="Q1263" i="1" s="1"/>
  <c r="P1264" i="1"/>
  <c r="Q1264" i="1" s="1"/>
  <c r="P1265" i="1"/>
  <c r="Q1265" i="1" s="1"/>
  <c r="P1266" i="1"/>
  <c r="Q1266" i="1" s="1"/>
  <c r="P1267" i="1"/>
  <c r="Q1267" i="1" s="1"/>
  <c r="P1268" i="1"/>
  <c r="Q1268" i="1" s="1"/>
  <c r="P1269" i="1"/>
  <c r="Q1269" i="1" s="1"/>
  <c r="P1270" i="1"/>
  <c r="Q1270" i="1" s="1"/>
  <c r="P1271" i="1"/>
  <c r="Q1271" i="1" s="1"/>
  <c r="P1272" i="1"/>
  <c r="Q1272" i="1" s="1"/>
  <c r="P1273" i="1"/>
  <c r="Q1273" i="1" s="1"/>
  <c r="P1274" i="1"/>
  <c r="Q1274" i="1" s="1"/>
  <c r="P1275" i="1"/>
  <c r="Q1275" i="1" s="1"/>
  <c r="P1276" i="1"/>
  <c r="Q1276" i="1" s="1"/>
  <c r="P1277" i="1"/>
  <c r="Q1277" i="1" s="1"/>
  <c r="P1278" i="1"/>
  <c r="Q1278" i="1" s="1"/>
  <c r="P1279" i="1"/>
  <c r="Q1279" i="1" s="1"/>
  <c r="P1280" i="1"/>
  <c r="Q1280" i="1" s="1"/>
  <c r="P1281" i="1"/>
  <c r="Q1281" i="1" s="1"/>
  <c r="P1282" i="1"/>
  <c r="Q1282" i="1" s="1"/>
  <c r="P1283" i="1"/>
  <c r="Q1283" i="1" s="1"/>
  <c r="P1284" i="1"/>
  <c r="Q1284" i="1" s="1"/>
  <c r="P1285" i="1"/>
  <c r="Q1285" i="1" s="1"/>
  <c r="P1286" i="1"/>
  <c r="Q1286" i="1" s="1"/>
  <c r="P1287" i="1"/>
  <c r="Q1287" i="1" s="1"/>
  <c r="P1288" i="1"/>
  <c r="Q1288" i="1" s="1"/>
  <c r="P1289" i="1"/>
  <c r="Q1289" i="1" s="1"/>
  <c r="P1290" i="1"/>
  <c r="Q1290" i="1" s="1"/>
  <c r="P1291" i="1"/>
  <c r="Q1291" i="1" s="1"/>
  <c r="P1292" i="1"/>
  <c r="Q1292" i="1" s="1"/>
  <c r="P1293" i="1"/>
  <c r="Q1293" i="1" s="1"/>
  <c r="P1294" i="1"/>
  <c r="Q1294" i="1" s="1"/>
  <c r="P1295" i="1"/>
  <c r="Q1295" i="1" s="1"/>
  <c r="P1296" i="1"/>
  <c r="Q1296" i="1" s="1"/>
  <c r="P1297" i="1"/>
  <c r="Q1297" i="1" s="1"/>
  <c r="P1298" i="1"/>
  <c r="Q1298" i="1" s="1"/>
  <c r="P1299" i="1"/>
  <c r="Q1299" i="1" s="1"/>
  <c r="P1300" i="1"/>
  <c r="Q1300" i="1" s="1"/>
  <c r="P1301" i="1"/>
  <c r="Q1301" i="1" s="1"/>
  <c r="P1302" i="1"/>
  <c r="Q1302" i="1" s="1"/>
  <c r="P1303" i="1"/>
  <c r="Q1303" i="1" s="1"/>
  <c r="P1304" i="1"/>
  <c r="Q1304" i="1" s="1"/>
  <c r="P1305" i="1"/>
  <c r="Q1305" i="1" s="1"/>
  <c r="P1306" i="1"/>
  <c r="Q1306" i="1" s="1"/>
  <c r="P1307" i="1"/>
  <c r="Q1307" i="1" s="1"/>
  <c r="P1308" i="1"/>
  <c r="Q1308" i="1" s="1"/>
  <c r="P1309" i="1"/>
  <c r="Q1309" i="1" s="1"/>
  <c r="P1310" i="1"/>
  <c r="Q1310" i="1" s="1"/>
  <c r="P1311" i="1"/>
  <c r="Q1311" i="1" s="1"/>
  <c r="P1312" i="1"/>
  <c r="Q1312" i="1" s="1"/>
  <c r="P1313" i="1"/>
  <c r="Q1313" i="1" s="1"/>
  <c r="P1314" i="1"/>
  <c r="Q1314" i="1" s="1"/>
  <c r="P1315" i="1"/>
  <c r="Q1315" i="1" s="1"/>
  <c r="P1316" i="1"/>
  <c r="Q1316" i="1" s="1"/>
  <c r="P1317" i="1"/>
  <c r="Q1317" i="1" s="1"/>
  <c r="P1318" i="1"/>
  <c r="Q1318" i="1" s="1"/>
  <c r="P1319" i="1"/>
  <c r="Q1319" i="1" s="1"/>
  <c r="P1320" i="1"/>
  <c r="Q1320" i="1" s="1"/>
  <c r="P1321" i="1"/>
  <c r="Q1321" i="1" s="1"/>
  <c r="P1322" i="1"/>
  <c r="Q1322" i="1" s="1"/>
  <c r="P1323" i="1"/>
  <c r="Q1323" i="1" s="1"/>
  <c r="P1324" i="1"/>
  <c r="Q1324" i="1" s="1"/>
  <c r="P1325" i="1"/>
  <c r="Q1325" i="1" s="1"/>
  <c r="P1326" i="1"/>
  <c r="Q1326" i="1" s="1"/>
  <c r="P1327" i="1"/>
  <c r="Q1327" i="1" s="1"/>
  <c r="P1328" i="1"/>
  <c r="Q1328" i="1" s="1"/>
  <c r="P1329" i="1"/>
  <c r="Q1329" i="1" s="1"/>
  <c r="P1330" i="1"/>
  <c r="Q1330" i="1" s="1"/>
  <c r="P1331" i="1"/>
  <c r="Q1331" i="1" s="1"/>
  <c r="P1332" i="1"/>
  <c r="Q1332" i="1" s="1"/>
  <c r="P1333" i="1"/>
  <c r="Q1333" i="1" s="1"/>
  <c r="P1334" i="1"/>
  <c r="Q1334" i="1" s="1"/>
  <c r="P1335" i="1"/>
  <c r="Q1335" i="1" s="1"/>
  <c r="P1336" i="1"/>
  <c r="Q1336" i="1" s="1"/>
  <c r="P1337" i="1"/>
  <c r="Q1337" i="1" s="1"/>
  <c r="P1338" i="1"/>
  <c r="Q1338" i="1" s="1"/>
  <c r="P1339" i="1"/>
  <c r="Q1339" i="1" s="1"/>
  <c r="P1340" i="1"/>
  <c r="Q1340" i="1" s="1"/>
  <c r="P1341" i="1"/>
  <c r="Q1341" i="1" s="1"/>
  <c r="P1342" i="1"/>
  <c r="Q1342" i="1" s="1"/>
  <c r="P1343" i="1"/>
  <c r="Q1343" i="1" s="1"/>
  <c r="P1344" i="1"/>
  <c r="Q1344" i="1" s="1"/>
  <c r="P1345" i="1"/>
  <c r="Q1345" i="1" s="1"/>
  <c r="P1346" i="1"/>
  <c r="Q1346" i="1" s="1"/>
  <c r="P1347" i="1"/>
  <c r="Q1347" i="1" s="1"/>
  <c r="P1348" i="1"/>
  <c r="Q1348" i="1" s="1"/>
  <c r="P1349" i="1"/>
  <c r="Q1349" i="1" s="1"/>
  <c r="P1350" i="1"/>
  <c r="Q1350" i="1" s="1"/>
  <c r="P1351" i="1"/>
  <c r="Q1351" i="1" s="1"/>
  <c r="P1352" i="1"/>
  <c r="Q1352" i="1" s="1"/>
  <c r="P1353" i="1"/>
  <c r="Q1353" i="1" s="1"/>
  <c r="P1354" i="1"/>
  <c r="Q1354" i="1" s="1"/>
  <c r="P1355" i="1"/>
  <c r="Q1355" i="1" s="1"/>
  <c r="P1356" i="1"/>
  <c r="Q1356" i="1" s="1"/>
  <c r="P1357" i="1"/>
  <c r="Q1357" i="1" s="1"/>
  <c r="P1358" i="1"/>
  <c r="Q1358" i="1" s="1"/>
  <c r="P1359" i="1"/>
  <c r="Q1359" i="1" s="1"/>
  <c r="P1360" i="1"/>
  <c r="Q1360" i="1" s="1"/>
  <c r="P1361" i="1"/>
  <c r="Q1361" i="1" s="1"/>
  <c r="P1362" i="1"/>
  <c r="Q1362" i="1" s="1"/>
  <c r="P1363" i="1"/>
  <c r="Q1363" i="1" s="1"/>
  <c r="P1364" i="1"/>
  <c r="Q1364" i="1" s="1"/>
  <c r="P1365" i="1"/>
  <c r="Q1365" i="1" s="1"/>
  <c r="P1366" i="1"/>
  <c r="Q1366" i="1" s="1"/>
  <c r="P1367" i="1"/>
  <c r="Q1367" i="1" s="1"/>
  <c r="P1368" i="1"/>
  <c r="Q1368" i="1" s="1"/>
  <c r="P1369" i="1"/>
  <c r="Q1369" i="1" s="1"/>
  <c r="P1370" i="1"/>
  <c r="Q1370" i="1" s="1"/>
  <c r="P1371" i="1"/>
  <c r="Q1371" i="1" s="1"/>
  <c r="P1372" i="1"/>
  <c r="Q1372" i="1" s="1"/>
  <c r="P1373" i="1"/>
  <c r="Q1373" i="1" s="1"/>
  <c r="P1374" i="1"/>
  <c r="Q1374" i="1" s="1"/>
  <c r="P1375" i="1"/>
  <c r="Q1375" i="1" s="1"/>
  <c r="P1376" i="1"/>
  <c r="Q1376" i="1" s="1"/>
  <c r="P1377" i="1"/>
  <c r="Q1377" i="1" s="1"/>
  <c r="P1378" i="1"/>
  <c r="Q1378" i="1" s="1"/>
  <c r="P1379" i="1"/>
  <c r="Q1379" i="1" s="1"/>
  <c r="P1380" i="1"/>
  <c r="Q1380" i="1" s="1"/>
  <c r="P1381" i="1"/>
  <c r="Q1381" i="1" s="1"/>
  <c r="P1382" i="1"/>
  <c r="Q1382" i="1" s="1"/>
  <c r="P1383" i="1"/>
  <c r="Q1383" i="1" s="1"/>
  <c r="P1384" i="1"/>
  <c r="Q1384" i="1" s="1"/>
  <c r="P1385" i="1"/>
  <c r="Q1385" i="1" s="1"/>
  <c r="P1386" i="1"/>
  <c r="Q1386" i="1" s="1"/>
  <c r="P1387" i="1"/>
  <c r="Q1387" i="1" s="1"/>
  <c r="P1388" i="1"/>
  <c r="Q1388" i="1" s="1"/>
  <c r="P1389" i="1"/>
  <c r="Q1389" i="1" s="1"/>
  <c r="P1390" i="1"/>
  <c r="Q1390" i="1" s="1"/>
  <c r="P1391" i="1"/>
  <c r="Q1391" i="1" s="1"/>
  <c r="P1392" i="1"/>
  <c r="Q1392" i="1" s="1"/>
  <c r="P1393" i="1"/>
  <c r="Q1393" i="1" s="1"/>
  <c r="P1394" i="1"/>
  <c r="Q1394" i="1" s="1"/>
  <c r="P1395" i="1"/>
  <c r="Q1395" i="1" s="1"/>
  <c r="P1396" i="1"/>
  <c r="Q1396" i="1" s="1"/>
  <c r="P1397" i="1"/>
  <c r="Q1397" i="1" s="1"/>
  <c r="P1398" i="1"/>
  <c r="Q1398" i="1" s="1"/>
  <c r="P1399" i="1"/>
  <c r="Q1399" i="1" s="1"/>
  <c r="P1400" i="1"/>
  <c r="Q1400" i="1" s="1"/>
  <c r="P1401" i="1"/>
  <c r="Q1401" i="1" s="1"/>
  <c r="P1402" i="1"/>
  <c r="Q1402" i="1" s="1"/>
  <c r="P1403" i="1"/>
  <c r="Q1403" i="1" s="1"/>
  <c r="P1404" i="1"/>
  <c r="Q1404" i="1" s="1"/>
  <c r="P1405" i="1"/>
  <c r="Q1405" i="1" s="1"/>
  <c r="P1406" i="1"/>
  <c r="Q1406" i="1" s="1"/>
  <c r="P1407" i="1"/>
  <c r="Q1407" i="1" s="1"/>
  <c r="P1408" i="1"/>
  <c r="Q1408" i="1" s="1"/>
  <c r="P1409" i="1"/>
  <c r="Q1409" i="1" s="1"/>
  <c r="P1410" i="1"/>
  <c r="Q1410" i="1" s="1"/>
  <c r="P1411" i="1"/>
  <c r="Q1411" i="1" s="1"/>
  <c r="P1412" i="1"/>
  <c r="Q1412" i="1" s="1"/>
  <c r="P1413" i="1"/>
  <c r="Q1413" i="1" s="1"/>
  <c r="P1414" i="1"/>
  <c r="Q1414" i="1" s="1"/>
  <c r="P1415" i="1"/>
  <c r="Q1415" i="1" s="1"/>
  <c r="P1416" i="1"/>
  <c r="Q1416" i="1" s="1"/>
  <c r="P1417" i="1"/>
  <c r="Q1417" i="1" s="1"/>
  <c r="P1418" i="1"/>
  <c r="Q1418" i="1" s="1"/>
  <c r="P1419" i="1"/>
  <c r="Q1419" i="1" s="1"/>
  <c r="P1420" i="1"/>
  <c r="Q1420" i="1" s="1"/>
  <c r="P1421" i="1"/>
  <c r="Q1421" i="1" s="1"/>
  <c r="P1422" i="1"/>
  <c r="Q1422" i="1" s="1"/>
  <c r="P1423" i="1"/>
  <c r="Q1423" i="1" s="1"/>
  <c r="P1424" i="1"/>
  <c r="Q1424" i="1" s="1"/>
  <c r="P1425" i="1"/>
  <c r="Q1425" i="1" s="1"/>
  <c r="P1426" i="1"/>
  <c r="Q1426" i="1" s="1"/>
  <c r="P1427" i="1"/>
  <c r="Q1427" i="1" s="1"/>
  <c r="P1428" i="1"/>
  <c r="Q1428" i="1" s="1"/>
  <c r="P1429" i="1"/>
  <c r="Q1429" i="1" s="1"/>
  <c r="P1430" i="1"/>
  <c r="Q1430" i="1" s="1"/>
  <c r="P1431" i="1"/>
  <c r="Q1431" i="1" s="1"/>
  <c r="P1432" i="1"/>
  <c r="Q1432" i="1" s="1"/>
  <c r="P1433" i="1"/>
  <c r="Q1433" i="1" s="1"/>
  <c r="P1434" i="1"/>
  <c r="Q1434" i="1" s="1"/>
  <c r="P1435" i="1"/>
  <c r="Q1435" i="1" s="1"/>
  <c r="P1436" i="1"/>
  <c r="Q1436" i="1" s="1"/>
  <c r="P1437" i="1"/>
  <c r="Q1437" i="1" s="1"/>
  <c r="P1438" i="1"/>
  <c r="Q1438" i="1" s="1"/>
  <c r="P1439" i="1"/>
  <c r="Q1439" i="1" s="1"/>
  <c r="P1440" i="1"/>
  <c r="Q1440" i="1" s="1"/>
  <c r="P1441" i="1"/>
  <c r="Q1441" i="1" s="1"/>
  <c r="P1442" i="1"/>
  <c r="Q1442" i="1" s="1"/>
  <c r="P1443" i="1"/>
  <c r="Q1443" i="1" s="1"/>
  <c r="P1444" i="1"/>
  <c r="Q1444" i="1" s="1"/>
  <c r="P1445" i="1"/>
  <c r="Q1445" i="1" s="1"/>
  <c r="P1446" i="1"/>
  <c r="Q1446" i="1" s="1"/>
  <c r="P1447" i="1"/>
  <c r="Q1447" i="1" s="1"/>
  <c r="P1448" i="1"/>
  <c r="Q1448" i="1" s="1"/>
  <c r="P1449" i="1"/>
  <c r="Q1449" i="1" s="1"/>
  <c r="P1450" i="1"/>
  <c r="Q1450" i="1" s="1"/>
  <c r="P1451" i="1"/>
  <c r="Q1451" i="1" s="1"/>
  <c r="P1452" i="1"/>
  <c r="Q1452" i="1" s="1"/>
  <c r="P1453" i="1"/>
  <c r="Q1453" i="1" s="1"/>
  <c r="P1454" i="1"/>
  <c r="Q1454" i="1" s="1"/>
  <c r="P1455" i="1"/>
  <c r="Q1455" i="1" s="1"/>
  <c r="P1456" i="1"/>
  <c r="Q1456" i="1" s="1"/>
  <c r="P1457" i="1"/>
  <c r="Q1457" i="1" s="1"/>
  <c r="P1458" i="1"/>
  <c r="Q1458" i="1" s="1"/>
  <c r="P1459" i="1"/>
  <c r="Q1459" i="1" s="1"/>
  <c r="P1460" i="1"/>
  <c r="Q1460" i="1" s="1"/>
  <c r="P1461" i="1"/>
  <c r="Q1461" i="1" s="1"/>
  <c r="P1462" i="1"/>
  <c r="Q1462" i="1" s="1"/>
  <c r="P1463" i="1"/>
  <c r="Q1463" i="1" s="1"/>
  <c r="P1464" i="1"/>
  <c r="Q1464" i="1" s="1"/>
  <c r="P1465" i="1"/>
  <c r="Q1465" i="1" s="1"/>
  <c r="P1466" i="1"/>
  <c r="Q1466" i="1" s="1"/>
  <c r="P1467" i="1"/>
  <c r="Q1467" i="1" s="1"/>
  <c r="P1468" i="1"/>
  <c r="Q1468" i="1" s="1"/>
  <c r="P1469" i="1"/>
  <c r="Q1469" i="1" s="1"/>
  <c r="P1470" i="1"/>
  <c r="Q1470" i="1" s="1"/>
  <c r="P1471" i="1"/>
  <c r="Q1471" i="1" s="1"/>
  <c r="P1472" i="1"/>
  <c r="Q1472" i="1" s="1"/>
  <c r="P1473" i="1"/>
  <c r="Q1473" i="1" s="1"/>
  <c r="P1474" i="1"/>
  <c r="Q1474" i="1" s="1"/>
  <c r="P1475" i="1"/>
  <c r="Q1475" i="1" s="1"/>
  <c r="P1476" i="1"/>
  <c r="Q1476" i="1" s="1"/>
  <c r="P1477" i="1"/>
  <c r="Q1477" i="1" s="1"/>
  <c r="P1478" i="1"/>
  <c r="Q1478" i="1" s="1"/>
  <c r="P1479" i="1"/>
  <c r="Q1479" i="1" s="1"/>
  <c r="P1480" i="1"/>
  <c r="Q1480" i="1" s="1"/>
  <c r="P1481" i="1"/>
  <c r="Q1481" i="1" s="1"/>
  <c r="P1482" i="1"/>
  <c r="Q1482" i="1" s="1"/>
  <c r="P1483" i="1"/>
  <c r="Q1483" i="1" s="1"/>
  <c r="P1484" i="1"/>
  <c r="Q1484" i="1" s="1"/>
  <c r="P1485" i="1"/>
  <c r="Q1485" i="1" s="1"/>
  <c r="P1486" i="1"/>
  <c r="Q1486" i="1" s="1"/>
  <c r="P1487" i="1"/>
  <c r="Q1487" i="1" s="1"/>
  <c r="P1488" i="1"/>
  <c r="Q1488" i="1" s="1"/>
  <c r="P1489" i="1"/>
  <c r="Q1489" i="1" s="1"/>
  <c r="P1490" i="1"/>
  <c r="Q1490" i="1" s="1"/>
  <c r="P1491" i="1"/>
  <c r="Q1491" i="1" s="1"/>
  <c r="P1492" i="1"/>
  <c r="Q1492" i="1" s="1"/>
  <c r="P1493" i="1"/>
  <c r="Q1493" i="1" s="1"/>
  <c r="P1494" i="1"/>
  <c r="Q1494" i="1" s="1"/>
  <c r="P1495" i="1"/>
  <c r="Q1495" i="1" s="1"/>
  <c r="P1496" i="1"/>
  <c r="Q1496" i="1" s="1"/>
  <c r="P1497" i="1"/>
  <c r="Q1497" i="1" s="1"/>
  <c r="P1498" i="1"/>
  <c r="Q1498" i="1" s="1"/>
  <c r="P1499" i="1"/>
  <c r="Q1499" i="1" s="1"/>
  <c r="P1500" i="1"/>
  <c r="Q1500" i="1" s="1"/>
  <c r="P1501" i="1"/>
  <c r="Q1501" i="1" s="1"/>
  <c r="P1502" i="1"/>
  <c r="Q1502" i="1" s="1"/>
  <c r="P1503" i="1"/>
  <c r="Q1503" i="1" s="1"/>
  <c r="P1504" i="1"/>
  <c r="Q1504" i="1" s="1"/>
  <c r="P1505" i="1"/>
  <c r="Q1505" i="1" s="1"/>
  <c r="P1506" i="1"/>
  <c r="Q1506" i="1" s="1"/>
  <c r="P1507" i="1"/>
  <c r="Q1507" i="1" s="1"/>
  <c r="P1508" i="1"/>
  <c r="Q1508" i="1" s="1"/>
  <c r="P1509" i="1"/>
  <c r="Q1509" i="1" s="1"/>
  <c r="P1510" i="1"/>
  <c r="Q1510" i="1" s="1"/>
  <c r="P1511" i="1"/>
  <c r="Q1511" i="1" s="1"/>
  <c r="P1512" i="1"/>
  <c r="Q1512" i="1" s="1"/>
  <c r="P1513" i="1"/>
  <c r="Q1513" i="1" s="1"/>
  <c r="P1514" i="1"/>
  <c r="Q1514" i="1" s="1"/>
  <c r="P1515" i="1"/>
  <c r="Q1515" i="1" s="1"/>
  <c r="P1516" i="1"/>
  <c r="Q1516" i="1" s="1"/>
  <c r="P1517" i="1"/>
  <c r="Q1517" i="1" s="1"/>
  <c r="P1518" i="1"/>
  <c r="Q1518" i="1" s="1"/>
  <c r="P1519" i="1"/>
  <c r="Q1519" i="1" s="1"/>
  <c r="P1520" i="1"/>
  <c r="Q1520" i="1" s="1"/>
  <c r="P1521" i="1"/>
  <c r="Q1521" i="1" s="1"/>
  <c r="P1522" i="1"/>
  <c r="Q1522" i="1" s="1"/>
  <c r="P1523" i="1"/>
  <c r="Q1523" i="1" s="1"/>
  <c r="P1524" i="1"/>
  <c r="Q1524" i="1" s="1"/>
  <c r="P1525" i="1"/>
  <c r="Q1525" i="1" s="1"/>
  <c r="P1526" i="1"/>
  <c r="Q1526" i="1" s="1"/>
  <c r="P1527" i="1"/>
  <c r="Q1527" i="1" s="1"/>
  <c r="P1528" i="1"/>
  <c r="Q1528" i="1" s="1"/>
  <c r="P1529" i="1"/>
  <c r="Q1529" i="1" s="1"/>
  <c r="P1530" i="1"/>
  <c r="Q1530" i="1" s="1"/>
  <c r="P1531" i="1"/>
  <c r="Q1531" i="1" s="1"/>
  <c r="P1532" i="1"/>
  <c r="Q1532" i="1" s="1"/>
  <c r="P1533" i="1"/>
  <c r="Q1533" i="1" s="1"/>
  <c r="P1534" i="1"/>
  <c r="Q1534" i="1" s="1"/>
  <c r="P1535" i="1"/>
  <c r="Q1535" i="1" s="1"/>
  <c r="P1536" i="1"/>
  <c r="Q1536" i="1" s="1"/>
  <c r="P1537" i="1"/>
  <c r="Q1537" i="1" s="1"/>
  <c r="P1538" i="1"/>
  <c r="Q1538" i="1" s="1"/>
  <c r="P1539" i="1"/>
  <c r="Q1539" i="1" s="1"/>
  <c r="P1540" i="1"/>
  <c r="Q1540" i="1" s="1"/>
  <c r="P1541" i="1"/>
  <c r="Q1541" i="1" s="1"/>
  <c r="P1542" i="1"/>
  <c r="Q1542" i="1" s="1"/>
  <c r="P1543" i="1"/>
  <c r="Q1543" i="1" s="1"/>
  <c r="P1544" i="1"/>
  <c r="Q1544" i="1" s="1"/>
  <c r="P1545" i="1"/>
  <c r="Q1545" i="1" s="1"/>
  <c r="P1546" i="1"/>
  <c r="Q1546" i="1" s="1"/>
  <c r="P1547" i="1"/>
  <c r="Q1547" i="1" s="1"/>
  <c r="P1548" i="1"/>
  <c r="Q1548" i="1" s="1"/>
  <c r="P1549" i="1"/>
  <c r="Q1549" i="1" s="1"/>
  <c r="P1550" i="1"/>
  <c r="Q1550" i="1" s="1"/>
  <c r="P1551" i="1"/>
  <c r="Q1551" i="1" s="1"/>
  <c r="P1552" i="1"/>
  <c r="Q1552" i="1" s="1"/>
  <c r="P1553" i="1"/>
  <c r="Q1553" i="1" s="1"/>
  <c r="P1554" i="1"/>
  <c r="Q1554" i="1" s="1"/>
  <c r="P1555" i="1"/>
  <c r="Q1555" i="1" s="1"/>
  <c r="P1556" i="1"/>
  <c r="Q1556" i="1" s="1"/>
  <c r="P1557" i="1"/>
  <c r="Q1557" i="1" s="1"/>
  <c r="P1558" i="1"/>
  <c r="Q1558" i="1" s="1"/>
  <c r="P1559" i="1"/>
  <c r="Q1559" i="1" s="1"/>
  <c r="P1560" i="1"/>
  <c r="Q1560" i="1" s="1"/>
  <c r="P1561" i="1"/>
  <c r="Q1561" i="1" s="1"/>
  <c r="P1562" i="1"/>
  <c r="Q1562" i="1" s="1"/>
  <c r="P1563" i="1"/>
  <c r="Q1563" i="1" s="1"/>
  <c r="P1564" i="1"/>
  <c r="Q1564" i="1" s="1"/>
  <c r="P1565" i="1"/>
  <c r="Q1565" i="1" s="1"/>
  <c r="P1566" i="1"/>
  <c r="Q1566" i="1" s="1"/>
  <c r="P1567" i="1"/>
  <c r="Q1567" i="1" s="1"/>
  <c r="P1568" i="1"/>
  <c r="Q1568" i="1" s="1"/>
  <c r="P1569" i="1"/>
  <c r="Q1569" i="1" s="1"/>
  <c r="P1570" i="1"/>
  <c r="Q1570" i="1" s="1"/>
  <c r="P1571" i="1"/>
  <c r="Q1571" i="1" s="1"/>
  <c r="P1572" i="1"/>
  <c r="Q1572" i="1" s="1"/>
  <c r="P1573" i="1"/>
  <c r="Q1573" i="1" s="1"/>
  <c r="P1574" i="1"/>
  <c r="Q1574" i="1" s="1"/>
  <c r="P1575" i="1"/>
  <c r="Q1575" i="1" s="1"/>
  <c r="P1576" i="1"/>
  <c r="Q1576" i="1" s="1"/>
  <c r="P1577" i="1"/>
  <c r="Q1577" i="1" s="1"/>
  <c r="P1578" i="1"/>
  <c r="Q1578" i="1" s="1"/>
  <c r="P1579" i="1"/>
  <c r="Q1579" i="1" s="1"/>
  <c r="P1580" i="1"/>
  <c r="Q1580" i="1" s="1"/>
  <c r="P1581" i="1"/>
  <c r="Q1581" i="1" s="1"/>
  <c r="P1582" i="1"/>
  <c r="Q1582" i="1" s="1"/>
  <c r="P1583" i="1"/>
  <c r="Q1583" i="1" s="1"/>
  <c r="P1584" i="1"/>
  <c r="Q1584" i="1" s="1"/>
  <c r="P1585" i="1"/>
  <c r="Q1585" i="1" s="1"/>
  <c r="P1586" i="1"/>
  <c r="Q1586" i="1" s="1"/>
  <c r="P1587" i="1"/>
  <c r="Q1587" i="1" s="1"/>
  <c r="P1588" i="1"/>
  <c r="Q1588" i="1" s="1"/>
  <c r="P1589" i="1"/>
  <c r="Q1589" i="1" s="1"/>
  <c r="P1590" i="1"/>
  <c r="Q1590" i="1" s="1"/>
  <c r="P1591" i="1"/>
  <c r="Q1591" i="1" s="1"/>
  <c r="P1592" i="1"/>
  <c r="Q1592" i="1" s="1"/>
  <c r="P1593" i="1"/>
  <c r="Q1593" i="1" s="1"/>
  <c r="P1594" i="1"/>
  <c r="Q1594" i="1" s="1"/>
  <c r="P1595" i="1"/>
  <c r="Q1595" i="1" s="1"/>
  <c r="P1596" i="1"/>
  <c r="Q1596" i="1" s="1"/>
  <c r="P1597" i="1"/>
  <c r="Q1597" i="1" s="1"/>
  <c r="P1598" i="1"/>
  <c r="Q1598" i="1" s="1"/>
  <c r="P1599" i="1"/>
  <c r="Q1599" i="1" s="1"/>
  <c r="P1600" i="1"/>
  <c r="Q1600" i="1" s="1"/>
  <c r="P1601" i="1"/>
  <c r="Q1601" i="1" s="1"/>
  <c r="P1602" i="1"/>
  <c r="Q1602" i="1" s="1"/>
  <c r="P1603" i="1"/>
  <c r="Q1603" i="1" s="1"/>
  <c r="P1604" i="1"/>
  <c r="Q1604" i="1" s="1"/>
  <c r="P1605" i="1"/>
  <c r="Q1605" i="1" s="1"/>
  <c r="P1606" i="1"/>
  <c r="Q1606" i="1" s="1"/>
  <c r="P1607" i="1"/>
  <c r="Q1607" i="1" s="1"/>
  <c r="P1608" i="1"/>
  <c r="Q1608" i="1" s="1"/>
  <c r="P1609" i="1"/>
  <c r="Q1609" i="1" s="1"/>
  <c r="P1610" i="1"/>
  <c r="Q1610" i="1" s="1"/>
  <c r="P1611" i="1"/>
  <c r="Q1611" i="1" s="1"/>
  <c r="P1612" i="1"/>
  <c r="Q1612" i="1" s="1"/>
  <c r="P1613" i="1"/>
  <c r="Q1613" i="1" s="1"/>
  <c r="P1614" i="1"/>
  <c r="Q1614" i="1" s="1"/>
  <c r="P1615" i="1"/>
  <c r="Q1615" i="1" s="1"/>
  <c r="P1616" i="1"/>
  <c r="Q1616" i="1" s="1"/>
  <c r="P1617" i="1"/>
  <c r="Q1617" i="1" s="1"/>
  <c r="P1618" i="1"/>
  <c r="Q1618" i="1" s="1"/>
  <c r="P1619" i="1"/>
  <c r="Q1619" i="1" s="1"/>
  <c r="P1620" i="1"/>
  <c r="Q1620" i="1" s="1"/>
  <c r="P1621" i="1"/>
  <c r="Q1621" i="1" s="1"/>
  <c r="P1622" i="1"/>
  <c r="Q1622" i="1" s="1"/>
  <c r="P1623" i="1"/>
  <c r="Q1623" i="1" s="1"/>
  <c r="P1624" i="1"/>
  <c r="Q1624" i="1" s="1"/>
  <c r="P1625" i="1"/>
  <c r="Q1625" i="1" s="1"/>
  <c r="P1626" i="1"/>
  <c r="Q1626" i="1" s="1"/>
  <c r="P1627" i="1"/>
  <c r="Q1627" i="1" s="1"/>
  <c r="P1628" i="1"/>
  <c r="Q1628" i="1" s="1"/>
  <c r="P1629" i="1"/>
  <c r="Q1629" i="1" s="1"/>
  <c r="P1630" i="1"/>
  <c r="Q1630" i="1" s="1"/>
  <c r="P1631" i="1"/>
  <c r="Q1631" i="1" s="1"/>
  <c r="P1632" i="1"/>
  <c r="Q1632" i="1" s="1"/>
  <c r="P1633" i="1"/>
  <c r="Q1633" i="1" s="1"/>
  <c r="P1634" i="1"/>
  <c r="Q1634" i="1" s="1"/>
  <c r="P1635" i="1"/>
  <c r="Q1635" i="1" s="1"/>
  <c r="P1636" i="1"/>
  <c r="Q1636" i="1" s="1"/>
  <c r="P1637" i="1"/>
  <c r="Q1637" i="1" s="1"/>
  <c r="P1638" i="1"/>
  <c r="Q1638" i="1" s="1"/>
  <c r="P1639" i="1"/>
  <c r="Q1639" i="1" s="1"/>
  <c r="P1640" i="1"/>
  <c r="Q1640" i="1" s="1"/>
  <c r="P1641" i="1"/>
  <c r="Q1641" i="1" s="1"/>
  <c r="P1642" i="1"/>
  <c r="Q1642" i="1" s="1"/>
  <c r="P1643" i="1"/>
  <c r="Q1643" i="1" s="1"/>
  <c r="P1644" i="1"/>
  <c r="Q1644" i="1" s="1"/>
  <c r="P1645" i="1"/>
  <c r="Q1645" i="1" s="1"/>
  <c r="P1646" i="1"/>
  <c r="Q1646" i="1" s="1"/>
  <c r="P1647" i="1"/>
  <c r="Q1647" i="1" s="1"/>
  <c r="P1648" i="1"/>
  <c r="Q1648" i="1" s="1"/>
  <c r="P1649" i="1"/>
  <c r="Q1649" i="1" s="1"/>
  <c r="P1650" i="1"/>
  <c r="Q1650" i="1" s="1"/>
  <c r="P1651" i="1"/>
  <c r="Q1651" i="1" s="1"/>
  <c r="P1652" i="1"/>
  <c r="Q1652" i="1" s="1"/>
  <c r="P1653" i="1"/>
  <c r="Q1653" i="1" s="1"/>
  <c r="P1654" i="1"/>
  <c r="Q1654" i="1" s="1"/>
  <c r="P1655" i="1"/>
  <c r="Q1655" i="1" s="1"/>
  <c r="P1656" i="1"/>
  <c r="Q1656" i="1" s="1"/>
  <c r="P1657" i="1"/>
  <c r="Q1657" i="1" s="1"/>
  <c r="P1658" i="1"/>
  <c r="Q1658" i="1" s="1"/>
  <c r="P1659" i="1"/>
  <c r="Q1659" i="1" s="1"/>
  <c r="P1660" i="1"/>
  <c r="Q1660" i="1" s="1"/>
  <c r="P1661" i="1"/>
  <c r="Q1661" i="1" s="1"/>
  <c r="P1662" i="1"/>
  <c r="Q1662" i="1" s="1"/>
  <c r="P1663" i="1"/>
  <c r="Q1663" i="1" s="1"/>
  <c r="P1664" i="1"/>
  <c r="Q1664" i="1" s="1"/>
  <c r="P1665" i="1"/>
  <c r="Q1665" i="1" s="1"/>
  <c r="P1666" i="1"/>
  <c r="Q1666" i="1" s="1"/>
  <c r="P1667" i="1"/>
  <c r="Q1667" i="1" s="1"/>
  <c r="P1668" i="1"/>
  <c r="Q1668" i="1" s="1"/>
  <c r="P1669" i="1"/>
  <c r="Q1669" i="1" s="1"/>
  <c r="P1670" i="1"/>
  <c r="Q1670" i="1" s="1"/>
  <c r="P1671" i="1"/>
  <c r="Q1671" i="1" s="1"/>
  <c r="P1672" i="1"/>
  <c r="Q1672" i="1" s="1"/>
  <c r="P1673" i="1"/>
  <c r="Q1673" i="1" s="1"/>
  <c r="P1674" i="1"/>
  <c r="Q1674" i="1" s="1"/>
  <c r="P1675" i="1"/>
  <c r="Q1675" i="1" s="1"/>
  <c r="P1676" i="1"/>
  <c r="Q1676" i="1" s="1"/>
  <c r="P1677" i="1"/>
  <c r="Q1677" i="1" s="1"/>
  <c r="P1678" i="1"/>
  <c r="Q1678" i="1" s="1"/>
  <c r="P1679" i="1"/>
  <c r="Q1679" i="1" s="1"/>
  <c r="P1680" i="1"/>
  <c r="Q1680" i="1" s="1"/>
  <c r="P1681" i="1"/>
  <c r="Q1681" i="1" s="1"/>
  <c r="P1682" i="1"/>
  <c r="Q1682" i="1" s="1"/>
  <c r="P1683" i="1"/>
  <c r="Q1683" i="1" s="1"/>
  <c r="P1684" i="1"/>
  <c r="Q1684" i="1" s="1"/>
  <c r="P1685" i="1"/>
  <c r="Q1685" i="1" s="1"/>
  <c r="P1686" i="1"/>
  <c r="Q1686" i="1" s="1"/>
  <c r="P1687" i="1"/>
  <c r="Q1687" i="1" s="1"/>
  <c r="P1688" i="1"/>
  <c r="Q1688" i="1" s="1"/>
  <c r="P1689" i="1"/>
  <c r="Q1689" i="1" s="1"/>
  <c r="P1690" i="1"/>
  <c r="Q1690" i="1" s="1"/>
  <c r="P1691" i="1"/>
  <c r="Q1691" i="1" s="1"/>
  <c r="P1692" i="1"/>
  <c r="Q1692" i="1" s="1"/>
  <c r="P1693" i="1"/>
  <c r="Q1693" i="1" s="1"/>
  <c r="P1694" i="1"/>
  <c r="Q1694" i="1" s="1"/>
  <c r="P1695" i="1"/>
  <c r="Q1695" i="1" s="1"/>
  <c r="P1696" i="1"/>
  <c r="Q1696" i="1" s="1"/>
  <c r="P1697" i="1"/>
  <c r="Q1697" i="1" s="1"/>
  <c r="P1698" i="1"/>
  <c r="Q1698" i="1" s="1"/>
  <c r="P1699" i="1"/>
  <c r="Q1699" i="1" s="1"/>
  <c r="P1700" i="1"/>
  <c r="Q1700" i="1" s="1"/>
  <c r="P1701" i="1"/>
  <c r="Q1701" i="1" s="1"/>
  <c r="P1702" i="1"/>
  <c r="Q1702" i="1" s="1"/>
  <c r="P1703" i="1"/>
  <c r="Q1703" i="1" s="1"/>
  <c r="P1704" i="1"/>
  <c r="Q1704" i="1" s="1"/>
  <c r="P1705" i="1"/>
  <c r="Q1705" i="1" s="1"/>
  <c r="P1706" i="1"/>
  <c r="Q1706" i="1" s="1"/>
  <c r="P1707" i="1"/>
  <c r="Q1707" i="1" s="1"/>
  <c r="P1708" i="1"/>
  <c r="Q1708" i="1" s="1"/>
  <c r="P1709" i="1"/>
  <c r="Q1709" i="1" s="1"/>
  <c r="P1710" i="1"/>
  <c r="Q1710" i="1" s="1"/>
  <c r="P1711" i="1"/>
  <c r="Q1711" i="1" s="1"/>
  <c r="P1712" i="1"/>
  <c r="Q1712" i="1" s="1"/>
  <c r="P1713" i="1"/>
  <c r="Q1713" i="1" s="1"/>
  <c r="P1714" i="1"/>
  <c r="Q1714" i="1" s="1"/>
  <c r="P1715" i="1"/>
  <c r="Q1715" i="1" s="1"/>
  <c r="P1716" i="1"/>
  <c r="Q1716" i="1" s="1"/>
  <c r="P1717" i="1"/>
  <c r="Q1717" i="1" s="1"/>
  <c r="P1718" i="1"/>
  <c r="Q1718" i="1" s="1"/>
  <c r="P1719" i="1"/>
  <c r="Q1719" i="1" s="1"/>
  <c r="P1720" i="1"/>
  <c r="Q1720" i="1" s="1"/>
  <c r="P1721" i="1"/>
  <c r="Q1721" i="1" s="1"/>
  <c r="P1722" i="1"/>
  <c r="Q1722" i="1" s="1"/>
  <c r="P1723" i="1"/>
  <c r="Q1723" i="1" s="1"/>
  <c r="P1724" i="1"/>
  <c r="Q1724" i="1" s="1"/>
  <c r="P1725" i="1"/>
  <c r="Q1725" i="1" s="1"/>
  <c r="P1726" i="1"/>
  <c r="Q1726" i="1" s="1"/>
  <c r="P1727" i="1"/>
  <c r="Q1727" i="1" s="1"/>
  <c r="P1728" i="1"/>
  <c r="Q1728" i="1" s="1"/>
  <c r="P1729" i="1"/>
  <c r="Q1729" i="1" s="1"/>
  <c r="P1730" i="1"/>
  <c r="Q1730" i="1" s="1"/>
  <c r="P1731" i="1"/>
  <c r="Q1731" i="1" s="1"/>
  <c r="P1732" i="1"/>
  <c r="Q1732" i="1" s="1"/>
  <c r="P1733" i="1"/>
  <c r="Q1733" i="1" s="1"/>
  <c r="P1734" i="1"/>
  <c r="Q1734" i="1" s="1"/>
  <c r="P1735" i="1"/>
  <c r="Q1735" i="1" s="1"/>
  <c r="P1736" i="1"/>
  <c r="Q1736" i="1" s="1"/>
  <c r="P1737" i="1"/>
  <c r="Q1737" i="1" s="1"/>
  <c r="P1738" i="1"/>
  <c r="Q1738" i="1" s="1"/>
  <c r="P1739" i="1"/>
  <c r="Q1739" i="1" s="1"/>
  <c r="P1740" i="1"/>
  <c r="Q1740" i="1" s="1"/>
  <c r="P1741" i="1"/>
  <c r="Q1741" i="1" s="1"/>
  <c r="P1742" i="1"/>
  <c r="Q1742" i="1" s="1"/>
  <c r="P1743" i="1"/>
  <c r="Q1743" i="1" s="1"/>
  <c r="P1744" i="1"/>
  <c r="Q1744" i="1" s="1"/>
  <c r="P1745" i="1"/>
  <c r="Q1745" i="1" s="1"/>
  <c r="P1746" i="1"/>
  <c r="Q1746" i="1" s="1"/>
  <c r="P1747" i="1"/>
  <c r="Q1747" i="1" s="1"/>
  <c r="P1748" i="1"/>
  <c r="Q1748" i="1" s="1"/>
  <c r="P1749" i="1"/>
  <c r="Q1749" i="1" s="1"/>
  <c r="P1750" i="1"/>
  <c r="Q1750" i="1" s="1"/>
  <c r="P1751" i="1"/>
  <c r="Q1751" i="1" s="1"/>
  <c r="P1752" i="1"/>
  <c r="Q1752" i="1" s="1"/>
  <c r="P1753" i="1"/>
  <c r="Q1753" i="1" s="1"/>
  <c r="P1754" i="1"/>
  <c r="Q1754" i="1" s="1"/>
  <c r="P1755" i="1"/>
  <c r="Q1755" i="1" s="1"/>
  <c r="P1756" i="1"/>
  <c r="Q1756" i="1" s="1"/>
  <c r="P1757" i="1"/>
  <c r="Q1757" i="1" s="1"/>
  <c r="P1758" i="1"/>
  <c r="Q1758" i="1" s="1"/>
  <c r="P1759" i="1"/>
  <c r="Q1759" i="1" s="1"/>
  <c r="P1760" i="1"/>
  <c r="Q1760" i="1" s="1"/>
  <c r="P1761" i="1"/>
  <c r="Q1761" i="1" s="1"/>
  <c r="P1762" i="1"/>
  <c r="Q1762" i="1" s="1"/>
  <c r="P1763" i="1"/>
  <c r="Q1763" i="1" s="1"/>
  <c r="P1764" i="1"/>
  <c r="Q1764" i="1" s="1"/>
  <c r="P1765" i="1"/>
  <c r="Q1765" i="1" s="1"/>
  <c r="P1766" i="1"/>
  <c r="Q1766" i="1" s="1"/>
  <c r="P1767" i="1"/>
  <c r="Q1767" i="1" s="1"/>
  <c r="P1768" i="1"/>
  <c r="Q1768" i="1" s="1"/>
  <c r="P1769" i="1"/>
  <c r="Q1769" i="1" s="1"/>
  <c r="P1770" i="1"/>
  <c r="Q1770" i="1" s="1"/>
  <c r="P1771" i="1"/>
  <c r="Q1771" i="1" s="1"/>
  <c r="P1772" i="1"/>
  <c r="Q1772" i="1" s="1"/>
  <c r="P1773" i="1"/>
  <c r="Q1773" i="1" s="1"/>
  <c r="P1774" i="1"/>
  <c r="Q1774" i="1" s="1"/>
  <c r="P1775" i="1"/>
  <c r="Q1775" i="1" s="1"/>
  <c r="P1776" i="1"/>
  <c r="Q1776" i="1" s="1"/>
  <c r="P1777" i="1"/>
  <c r="Q1777" i="1" s="1"/>
  <c r="P1778" i="1"/>
  <c r="Q1778" i="1" s="1"/>
  <c r="P1779" i="1"/>
  <c r="Q1779" i="1" s="1"/>
  <c r="P1780" i="1"/>
  <c r="Q1780" i="1" s="1"/>
  <c r="P1781" i="1"/>
  <c r="Q1781" i="1" s="1"/>
  <c r="P1782" i="1"/>
  <c r="Q1782" i="1" s="1"/>
  <c r="P1783" i="1"/>
  <c r="Q1783" i="1" s="1"/>
  <c r="P1784" i="1"/>
  <c r="Q1784" i="1" s="1"/>
  <c r="P1785" i="1"/>
  <c r="Q1785" i="1" s="1"/>
  <c r="P1786" i="1"/>
  <c r="Q1786" i="1" s="1"/>
  <c r="P1787" i="1"/>
  <c r="Q1787" i="1" s="1"/>
  <c r="P1788" i="1"/>
  <c r="Q1788" i="1" s="1"/>
  <c r="P1789" i="1"/>
  <c r="Q1789" i="1" s="1"/>
  <c r="P1790" i="1"/>
  <c r="Q1790" i="1" s="1"/>
  <c r="P1791" i="1"/>
  <c r="Q1791" i="1" s="1"/>
  <c r="P1792" i="1"/>
  <c r="Q1792" i="1" s="1"/>
  <c r="P1793" i="1"/>
  <c r="Q1793" i="1" s="1"/>
  <c r="P1794" i="1"/>
  <c r="Q1794" i="1" s="1"/>
  <c r="P1795" i="1"/>
  <c r="Q1795" i="1" s="1"/>
  <c r="P1796" i="1"/>
  <c r="Q1796" i="1" s="1"/>
  <c r="P1797" i="1"/>
  <c r="Q1797" i="1" s="1"/>
  <c r="P1798" i="1"/>
  <c r="Q1798" i="1" s="1"/>
  <c r="P1799" i="1"/>
  <c r="Q1799" i="1" s="1"/>
  <c r="P1800" i="1"/>
  <c r="Q1800" i="1" s="1"/>
  <c r="P1801" i="1"/>
  <c r="Q1801" i="1" s="1"/>
  <c r="P1802" i="1"/>
  <c r="Q1802" i="1" s="1"/>
  <c r="P1803" i="1"/>
  <c r="Q1803" i="1" s="1"/>
  <c r="P1804" i="1"/>
  <c r="Q1804" i="1" s="1"/>
  <c r="P1805" i="1"/>
  <c r="Q1805" i="1" s="1"/>
  <c r="P1806" i="1"/>
  <c r="Q1806" i="1" s="1"/>
  <c r="P1807" i="1"/>
  <c r="Q1807" i="1" s="1"/>
  <c r="P1808" i="1"/>
  <c r="Q1808" i="1" s="1"/>
  <c r="P1809" i="1"/>
  <c r="Q1809" i="1" s="1"/>
  <c r="P1810" i="1"/>
  <c r="Q1810" i="1" s="1"/>
  <c r="P1811" i="1"/>
  <c r="Q1811" i="1" s="1"/>
  <c r="P1812" i="1"/>
  <c r="Q1812" i="1" s="1"/>
  <c r="P1813" i="1"/>
  <c r="Q1813" i="1" s="1"/>
  <c r="P1814" i="1"/>
  <c r="Q1814" i="1" s="1"/>
  <c r="P1815" i="1"/>
  <c r="Q1815" i="1" s="1"/>
  <c r="P1816" i="1"/>
  <c r="Q1816" i="1" s="1"/>
  <c r="P1817" i="1"/>
  <c r="Q1817" i="1" s="1"/>
  <c r="P1818" i="1"/>
  <c r="Q1818" i="1" s="1"/>
  <c r="P1819" i="1"/>
  <c r="Q1819" i="1" s="1"/>
  <c r="P1820" i="1"/>
  <c r="Q1820" i="1" s="1"/>
  <c r="P1821" i="1"/>
  <c r="Q1821" i="1" s="1"/>
  <c r="P1822" i="1"/>
  <c r="Q1822" i="1" s="1"/>
  <c r="P1823" i="1"/>
  <c r="Q1823" i="1" s="1"/>
  <c r="P1824" i="1"/>
  <c r="Q1824" i="1" s="1"/>
  <c r="P1825" i="1"/>
  <c r="Q1825" i="1" s="1"/>
  <c r="P1826" i="1"/>
  <c r="Q1826" i="1" s="1"/>
  <c r="P1827" i="1"/>
  <c r="Q1827" i="1" s="1"/>
  <c r="P1828" i="1"/>
  <c r="Q1828" i="1" s="1"/>
  <c r="P1829" i="1"/>
  <c r="Q1829" i="1" s="1"/>
  <c r="P1830" i="1"/>
  <c r="Q1830" i="1" s="1"/>
  <c r="P1831" i="1"/>
  <c r="Q1831" i="1" s="1"/>
  <c r="P1832" i="1"/>
  <c r="Q1832" i="1" s="1"/>
  <c r="P1833" i="1"/>
  <c r="Q1833" i="1" s="1"/>
  <c r="P1834" i="1"/>
  <c r="Q1834" i="1" s="1"/>
  <c r="P1835" i="1"/>
  <c r="Q1835" i="1" s="1"/>
  <c r="P1836" i="1"/>
  <c r="Q1836" i="1" s="1"/>
  <c r="P1837" i="1"/>
  <c r="Q1837" i="1" s="1"/>
  <c r="P1838" i="1"/>
  <c r="Q1838" i="1" s="1"/>
  <c r="P1839" i="1"/>
  <c r="Q1839" i="1" s="1"/>
  <c r="P1840" i="1"/>
  <c r="Q1840" i="1" s="1"/>
  <c r="P1841" i="1"/>
  <c r="Q1841" i="1" s="1"/>
  <c r="P1842" i="1"/>
  <c r="Q1842" i="1" s="1"/>
  <c r="P1843" i="1"/>
  <c r="Q1843" i="1" s="1"/>
  <c r="P1844" i="1"/>
  <c r="Q1844" i="1" s="1"/>
  <c r="P1845" i="1"/>
  <c r="Q1845" i="1" s="1"/>
  <c r="P1846" i="1"/>
  <c r="Q1846" i="1" s="1"/>
  <c r="P1847" i="1"/>
  <c r="Q1847" i="1" s="1"/>
  <c r="P1848" i="1"/>
  <c r="Q1848" i="1" s="1"/>
  <c r="P1849" i="1"/>
  <c r="Q1849" i="1" s="1"/>
  <c r="P1850" i="1"/>
  <c r="Q1850" i="1" s="1"/>
  <c r="P1851" i="1"/>
  <c r="Q1851" i="1" s="1"/>
  <c r="P1852" i="1"/>
  <c r="Q1852" i="1" s="1"/>
  <c r="P1853" i="1"/>
  <c r="Q1853" i="1" s="1"/>
  <c r="P1854" i="1"/>
  <c r="Q1854" i="1" s="1"/>
  <c r="P1855" i="1"/>
  <c r="Q1855" i="1" s="1"/>
  <c r="P1856" i="1"/>
  <c r="Q1856" i="1" s="1"/>
  <c r="P1857" i="1"/>
  <c r="Q1857" i="1" s="1"/>
  <c r="P1858" i="1"/>
  <c r="Q1858" i="1" s="1"/>
  <c r="P1859" i="1"/>
  <c r="Q1859" i="1" s="1"/>
  <c r="P1860" i="1"/>
  <c r="Q1860" i="1" s="1"/>
  <c r="P1861" i="1"/>
  <c r="Q1861" i="1" s="1"/>
  <c r="P1862" i="1"/>
  <c r="Q1862" i="1" s="1"/>
  <c r="P1863" i="1"/>
  <c r="Q1863" i="1" s="1"/>
  <c r="P1864" i="1"/>
  <c r="Q1864" i="1" s="1"/>
  <c r="P1865" i="1"/>
  <c r="Q1865" i="1" s="1"/>
  <c r="P1866" i="1"/>
  <c r="Q1866" i="1" s="1"/>
  <c r="P1867" i="1"/>
  <c r="Q1867" i="1" s="1"/>
  <c r="P1868" i="1"/>
  <c r="Q1868" i="1" s="1"/>
  <c r="P1869" i="1"/>
  <c r="Q1869" i="1" s="1"/>
  <c r="P1870" i="1"/>
  <c r="Q1870" i="1" s="1"/>
  <c r="P1871" i="1"/>
  <c r="Q1871" i="1" s="1"/>
  <c r="P1872" i="1"/>
  <c r="Q1872" i="1" s="1"/>
  <c r="P1873" i="1"/>
  <c r="Q1873" i="1" s="1"/>
  <c r="P1874" i="1"/>
  <c r="Q1874" i="1" s="1"/>
  <c r="P1875" i="1"/>
  <c r="Q1875" i="1" s="1"/>
  <c r="P1876" i="1"/>
  <c r="Q1876" i="1" s="1"/>
  <c r="P1877" i="1"/>
  <c r="Q1877" i="1" s="1"/>
  <c r="P1878" i="1"/>
  <c r="Q1878" i="1" s="1"/>
  <c r="P1879" i="1"/>
  <c r="Q1879" i="1" s="1"/>
  <c r="P1880" i="1"/>
  <c r="Q1880" i="1" s="1"/>
  <c r="P1881" i="1"/>
  <c r="Q1881" i="1" s="1"/>
  <c r="P1882" i="1"/>
  <c r="Q1882" i="1" s="1"/>
  <c r="P1883" i="1"/>
  <c r="Q1883" i="1" s="1"/>
  <c r="P1884" i="1"/>
  <c r="Q1884" i="1" s="1"/>
  <c r="P1885" i="1"/>
  <c r="Q1885" i="1" s="1"/>
  <c r="P1886" i="1"/>
  <c r="Q1886" i="1" s="1"/>
  <c r="P1887" i="1"/>
  <c r="Q1887" i="1" s="1"/>
  <c r="P1888" i="1"/>
  <c r="Q1888" i="1" s="1"/>
  <c r="P1889" i="1"/>
  <c r="Q1889" i="1" s="1"/>
  <c r="P1890" i="1"/>
  <c r="Q1890" i="1" s="1"/>
  <c r="P1891" i="1"/>
  <c r="Q1891" i="1" s="1"/>
  <c r="P1892" i="1"/>
  <c r="Q1892" i="1" s="1"/>
  <c r="P1893" i="1"/>
  <c r="Q1893" i="1" s="1"/>
  <c r="P1894" i="1"/>
  <c r="Q1894" i="1" s="1"/>
  <c r="P1895" i="1"/>
  <c r="Q1895" i="1" s="1"/>
  <c r="P1896" i="1"/>
  <c r="Q1896" i="1" s="1"/>
  <c r="P1897" i="1"/>
  <c r="Q1897" i="1" s="1"/>
  <c r="P1898" i="1"/>
  <c r="Q1898" i="1" s="1"/>
  <c r="P1899" i="1"/>
  <c r="Q1899" i="1" s="1"/>
  <c r="P1900" i="1"/>
  <c r="Q1900" i="1" s="1"/>
  <c r="P1901" i="1"/>
  <c r="Q1901" i="1" s="1"/>
  <c r="P1902" i="1"/>
  <c r="Q1902" i="1" s="1"/>
  <c r="P1903" i="1"/>
  <c r="Q1903" i="1" s="1"/>
  <c r="P1904" i="1"/>
  <c r="Q1904" i="1" s="1"/>
  <c r="P1905" i="1"/>
  <c r="Q1905" i="1" s="1"/>
  <c r="P1906" i="1"/>
  <c r="Q1906" i="1" s="1"/>
  <c r="P1907" i="1"/>
  <c r="Q1907" i="1" s="1"/>
  <c r="P1908" i="1"/>
  <c r="Q1908" i="1" s="1"/>
  <c r="P1909" i="1"/>
  <c r="Q1909" i="1" s="1"/>
  <c r="P1910" i="1"/>
  <c r="Q1910" i="1" s="1"/>
  <c r="P1911" i="1"/>
  <c r="Q1911" i="1" s="1"/>
  <c r="P1912" i="1"/>
  <c r="Q1912" i="1" s="1"/>
  <c r="P1913" i="1"/>
  <c r="Q1913" i="1" s="1"/>
  <c r="P1914" i="1"/>
  <c r="Q1914" i="1" s="1"/>
  <c r="P1915" i="1"/>
  <c r="Q1915" i="1" s="1"/>
  <c r="P1916" i="1"/>
  <c r="Q1916" i="1" s="1"/>
  <c r="P1917" i="1"/>
  <c r="Q1917" i="1" s="1"/>
  <c r="P1918" i="1"/>
  <c r="Q1918" i="1" s="1"/>
  <c r="P1919" i="1"/>
  <c r="Q1919" i="1" s="1"/>
  <c r="P1920" i="1"/>
  <c r="Q1920" i="1" s="1"/>
  <c r="P1921" i="1"/>
  <c r="Q1921" i="1" s="1"/>
  <c r="P1922" i="1"/>
  <c r="Q1922" i="1" s="1"/>
  <c r="P1923" i="1"/>
  <c r="Q1923" i="1" s="1"/>
  <c r="P1924" i="1"/>
  <c r="Q1924" i="1" s="1"/>
  <c r="P1925" i="1"/>
  <c r="Q1925" i="1" s="1"/>
  <c r="P1926" i="1"/>
  <c r="Q1926" i="1" s="1"/>
  <c r="P1927" i="1"/>
  <c r="Q1927" i="1" s="1"/>
  <c r="P1928" i="1"/>
  <c r="Q1928" i="1" s="1"/>
  <c r="P1929" i="1"/>
  <c r="Q1929" i="1" s="1"/>
  <c r="P1930" i="1"/>
  <c r="Q1930" i="1" s="1"/>
  <c r="P1931" i="1"/>
  <c r="Q1931" i="1" s="1"/>
  <c r="P1932" i="1"/>
  <c r="Q1932" i="1" s="1"/>
  <c r="P1933" i="1"/>
  <c r="Q1933" i="1" s="1"/>
  <c r="P1934" i="1"/>
  <c r="Q1934" i="1" s="1"/>
  <c r="P1935" i="1"/>
  <c r="Q1935" i="1" s="1"/>
  <c r="P1936" i="1"/>
  <c r="Q1936" i="1" s="1"/>
  <c r="P1937" i="1"/>
  <c r="Q1937" i="1" s="1"/>
  <c r="P1938" i="1"/>
  <c r="Q1938" i="1" s="1"/>
  <c r="P1939" i="1"/>
  <c r="Q1939" i="1" s="1"/>
  <c r="P1940" i="1"/>
  <c r="Q1940" i="1" s="1"/>
  <c r="P1941" i="1"/>
  <c r="Q1941" i="1" s="1"/>
  <c r="P1942" i="1"/>
  <c r="Q1942" i="1" s="1"/>
  <c r="P1943" i="1"/>
  <c r="Q1943" i="1" s="1"/>
  <c r="P1944" i="1"/>
  <c r="Q1944" i="1" s="1"/>
  <c r="P1945" i="1"/>
  <c r="Q1945" i="1" s="1"/>
  <c r="P1946" i="1"/>
  <c r="Q1946" i="1" s="1"/>
  <c r="P1947" i="1"/>
  <c r="Q1947" i="1" s="1"/>
  <c r="P1948" i="1"/>
  <c r="Q1948" i="1" s="1"/>
  <c r="P1949" i="1"/>
  <c r="Q1949" i="1" s="1"/>
  <c r="P1950" i="1"/>
  <c r="Q1950" i="1" s="1"/>
  <c r="P1951" i="1"/>
  <c r="Q1951" i="1" s="1"/>
  <c r="P1952" i="1"/>
  <c r="Q1952" i="1" s="1"/>
  <c r="P1953" i="1"/>
  <c r="Q1953" i="1" s="1"/>
  <c r="P1954" i="1"/>
  <c r="Q1954" i="1" s="1"/>
  <c r="P1955" i="1"/>
  <c r="Q1955" i="1" s="1"/>
  <c r="P1956" i="1"/>
  <c r="Q1956" i="1" s="1"/>
  <c r="P1957" i="1"/>
  <c r="Q1957" i="1" s="1"/>
  <c r="P1958" i="1"/>
  <c r="Q1958" i="1" s="1"/>
  <c r="P1959" i="1"/>
  <c r="Q1959" i="1" s="1"/>
  <c r="P1960" i="1"/>
  <c r="Q1960" i="1" s="1"/>
  <c r="P1961" i="1"/>
  <c r="Q1961" i="1" s="1"/>
  <c r="P1962" i="1"/>
  <c r="Q1962" i="1" s="1"/>
  <c r="P1963" i="1"/>
  <c r="Q1963" i="1" s="1"/>
  <c r="P1964" i="1"/>
  <c r="Q1964" i="1" s="1"/>
  <c r="P1965" i="1"/>
  <c r="Q1965" i="1" s="1"/>
  <c r="P1966" i="1"/>
  <c r="Q1966" i="1" s="1"/>
  <c r="P1967" i="1"/>
  <c r="Q1967" i="1" s="1"/>
  <c r="P1968" i="1"/>
  <c r="Q1968" i="1" s="1"/>
  <c r="P1969" i="1"/>
  <c r="Q1969" i="1" s="1"/>
  <c r="P1970" i="1"/>
  <c r="Q1970" i="1" s="1"/>
  <c r="P1971" i="1"/>
  <c r="Q1971" i="1" s="1"/>
  <c r="P1972" i="1"/>
  <c r="Q1972" i="1" s="1"/>
  <c r="P1973" i="1"/>
  <c r="Q1973" i="1" s="1"/>
  <c r="P1974" i="1"/>
  <c r="Q1974" i="1" s="1"/>
  <c r="P1975" i="1"/>
  <c r="Q1975" i="1" s="1"/>
  <c r="P1976" i="1"/>
  <c r="Q1976" i="1" s="1"/>
  <c r="P1977" i="1"/>
  <c r="Q1977" i="1" s="1"/>
  <c r="P1978" i="1"/>
  <c r="Q1978" i="1" s="1"/>
  <c r="P1979" i="1"/>
  <c r="Q1979" i="1" s="1"/>
  <c r="P1980" i="1"/>
  <c r="Q1980" i="1" s="1"/>
  <c r="P1981" i="1"/>
  <c r="Q1981" i="1" s="1"/>
  <c r="P1982" i="1"/>
  <c r="Q1982" i="1" s="1"/>
  <c r="P1983" i="1"/>
  <c r="Q1983" i="1" s="1"/>
  <c r="P1984" i="1"/>
  <c r="Q1984" i="1" s="1"/>
  <c r="P1985" i="1"/>
  <c r="Q1985" i="1" s="1"/>
  <c r="P1986" i="1"/>
  <c r="Q1986" i="1" s="1"/>
  <c r="P1987" i="1"/>
  <c r="Q1987" i="1" s="1"/>
  <c r="P1988" i="1"/>
  <c r="Q1988" i="1" s="1"/>
  <c r="P1989" i="1"/>
  <c r="Q1989" i="1" s="1"/>
  <c r="P1990" i="1"/>
  <c r="Q1990" i="1" s="1"/>
  <c r="P1991" i="1"/>
  <c r="Q1991" i="1" s="1"/>
  <c r="P1992" i="1"/>
  <c r="Q1992" i="1" s="1"/>
  <c r="P1993" i="1"/>
  <c r="Q1993" i="1" s="1"/>
  <c r="P1994" i="1"/>
  <c r="Q1994" i="1" s="1"/>
  <c r="P1995" i="1"/>
  <c r="Q1995" i="1" s="1"/>
  <c r="P1996" i="1"/>
  <c r="Q1996" i="1" s="1"/>
  <c r="P1997" i="1"/>
  <c r="Q1997" i="1" s="1"/>
  <c r="P1998" i="1"/>
  <c r="Q1998" i="1" s="1"/>
  <c r="P1999" i="1"/>
  <c r="Q1999" i="1" s="1"/>
  <c r="P2000" i="1"/>
  <c r="Q2000" i="1" s="1"/>
  <c r="P2001" i="1"/>
  <c r="Q2001" i="1" s="1"/>
  <c r="P2002" i="1"/>
  <c r="Q2002" i="1" s="1"/>
  <c r="P2003" i="1"/>
  <c r="Q2003" i="1" s="1"/>
  <c r="P2004" i="1"/>
  <c r="Q2004" i="1" s="1"/>
  <c r="P2005" i="1"/>
  <c r="Q2005" i="1" s="1"/>
  <c r="P2006" i="1"/>
  <c r="Q2006" i="1" s="1"/>
  <c r="P2007" i="1"/>
  <c r="Q2007" i="1" s="1"/>
  <c r="P2008" i="1"/>
  <c r="Q2008" i="1" s="1"/>
  <c r="P2009" i="1"/>
  <c r="Q2009" i="1" s="1"/>
  <c r="P2010" i="1"/>
  <c r="Q2010" i="1" s="1"/>
  <c r="P2011" i="1"/>
  <c r="Q2011" i="1" s="1"/>
  <c r="P2012" i="1"/>
  <c r="Q2012" i="1" s="1"/>
  <c r="P2013" i="1"/>
  <c r="Q2013" i="1" s="1"/>
  <c r="P2014" i="1"/>
  <c r="Q2014" i="1" s="1"/>
  <c r="P2015" i="1"/>
  <c r="Q2015" i="1" s="1"/>
  <c r="P2016" i="1"/>
  <c r="Q2016" i="1" s="1"/>
  <c r="P2017" i="1"/>
  <c r="Q2017" i="1" s="1"/>
  <c r="P2018" i="1"/>
  <c r="Q2018" i="1" s="1"/>
  <c r="P2019" i="1"/>
  <c r="Q2019" i="1" s="1"/>
  <c r="P2020" i="1"/>
  <c r="Q2020" i="1" s="1"/>
  <c r="P2021" i="1"/>
  <c r="Q2021" i="1" s="1"/>
  <c r="P2022" i="1"/>
  <c r="Q2022" i="1" s="1"/>
  <c r="P2023" i="1"/>
  <c r="Q2023" i="1" s="1"/>
  <c r="P2024" i="1"/>
  <c r="Q2024" i="1" s="1"/>
  <c r="P2025" i="1"/>
  <c r="Q2025" i="1" s="1"/>
  <c r="P2026" i="1"/>
  <c r="Q2026" i="1" s="1"/>
  <c r="P2027" i="1"/>
  <c r="Q2027" i="1" s="1"/>
  <c r="P2028" i="1"/>
  <c r="Q2028" i="1" s="1"/>
  <c r="P2029" i="1"/>
  <c r="Q2029" i="1" s="1"/>
  <c r="P2030" i="1"/>
  <c r="Q2030" i="1" s="1"/>
  <c r="P2031" i="1"/>
  <c r="Q2031" i="1" s="1"/>
  <c r="P2032" i="1"/>
  <c r="Q2032" i="1" s="1"/>
  <c r="P2033" i="1"/>
  <c r="Q2033" i="1" s="1"/>
  <c r="P2034" i="1"/>
  <c r="Q2034" i="1" s="1"/>
  <c r="P2035" i="1"/>
  <c r="Q2035" i="1" s="1"/>
  <c r="P2036" i="1"/>
  <c r="Q2036" i="1" s="1"/>
  <c r="P2037" i="1"/>
  <c r="Q2037" i="1" s="1"/>
  <c r="P2038" i="1"/>
  <c r="Q2038" i="1" s="1"/>
  <c r="P2039" i="1"/>
  <c r="Q2039" i="1" s="1"/>
  <c r="P2040" i="1"/>
  <c r="Q2040" i="1" s="1"/>
  <c r="P2041" i="1"/>
  <c r="Q2041" i="1" s="1"/>
  <c r="P2042" i="1"/>
  <c r="Q2042" i="1" s="1"/>
  <c r="P2043" i="1"/>
  <c r="Q2043" i="1" s="1"/>
  <c r="P2044" i="1"/>
  <c r="Q2044" i="1" s="1"/>
  <c r="P2045" i="1"/>
  <c r="Q2045" i="1" s="1"/>
  <c r="P2046" i="1"/>
  <c r="Q2046" i="1" s="1"/>
  <c r="P2047" i="1"/>
  <c r="Q2047" i="1" s="1"/>
  <c r="P2048" i="1"/>
  <c r="Q2048" i="1" s="1"/>
  <c r="P2049" i="1"/>
  <c r="Q2049" i="1" s="1"/>
  <c r="P2050" i="1"/>
  <c r="Q2050" i="1" s="1"/>
  <c r="P2051" i="1"/>
  <c r="Q2051" i="1" s="1"/>
  <c r="P2052" i="1"/>
  <c r="Q2052" i="1" s="1"/>
  <c r="P2053" i="1"/>
  <c r="Q2053" i="1" s="1"/>
  <c r="P2054" i="1"/>
  <c r="Q2054" i="1" s="1"/>
  <c r="P2055" i="1"/>
  <c r="Q2055" i="1" s="1"/>
  <c r="P2056" i="1"/>
  <c r="Q2056" i="1" s="1"/>
  <c r="P2057" i="1"/>
  <c r="Q2057" i="1" s="1"/>
  <c r="P2058" i="1"/>
  <c r="Q2058" i="1" s="1"/>
  <c r="P2059" i="1"/>
  <c r="Q2059" i="1" s="1"/>
  <c r="P2060" i="1"/>
  <c r="Q2060" i="1" s="1"/>
  <c r="P2061" i="1"/>
  <c r="Q2061" i="1" s="1"/>
  <c r="P2062" i="1"/>
  <c r="Q2062" i="1" s="1"/>
  <c r="P2063" i="1"/>
  <c r="Q2063" i="1" s="1"/>
  <c r="P2064" i="1"/>
  <c r="Q2064" i="1" s="1"/>
  <c r="P2065" i="1"/>
  <c r="Q2065" i="1" s="1"/>
  <c r="P2066" i="1"/>
  <c r="Q2066" i="1" s="1"/>
  <c r="P2067" i="1"/>
  <c r="Q2067" i="1" s="1"/>
  <c r="P2068" i="1"/>
  <c r="Q2068" i="1" s="1"/>
  <c r="P2069" i="1"/>
  <c r="Q2069" i="1" s="1"/>
  <c r="P2070" i="1"/>
  <c r="Q2070" i="1" s="1"/>
  <c r="P2071" i="1"/>
  <c r="Q2071" i="1" s="1"/>
  <c r="P2072" i="1"/>
  <c r="Q2072" i="1" s="1"/>
  <c r="P2073" i="1"/>
  <c r="Q2073" i="1" s="1"/>
  <c r="P2074" i="1"/>
  <c r="Q2074" i="1" s="1"/>
  <c r="P2075" i="1"/>
  <c r="Q2075" i="1" s="1"/>
  <c r="P2076" i="1"/>
  <c r="Q2076" i="1" s="1"/>
  <c r="P2077" i="1"/>
  <c r="Q2077" i="1" s="1"/>
  <c r="P2078" i="1"/>
  <c r="Q2078" i="1" s="1"/>
  <c r="P2079" i="1"/>
  <c r="Q2079" i="1" s="1"/>
  <c r="P2080" i="1"/>
  <c r="Q2080" i="1" s="1"/>
  <c r="P2081" i="1"/>
  <c r="Q2081" i="1" s="1"/>
  <c r="P2082" i="1"/>
  <c r="Q2082" i="1" s="1"/>
  <c r="P2083" i="1"/>
  <c r="Q2083" i="1" s="1"/>
  <c r="P2084" i="1"/>
  <c r="Q2084" i="1" s="1"/>
  <c r="P2085" i="1"/>
  <c r="Q2085" i="1" s="1"/>
  <c r="P2086" i="1"/>
  <c r="Q2086" i="1" s="1"/>
  <c r="P2087" i="1"/>
  <c r="Q2087" i="1" s="1"/>
  <c r="P2088" i="1"/>
  <c r="Q2088" i="1" s="1"/>
  <c r="P2089" i="1"/>
  <c r="Q2089" i="1" s="1"/>
  <c r="P2090" i="1"/>
  <c r="Q2090" i="1" s="1"/>
  <c r="P2091" i="1"/>
  <c r="Q2091" i="1" s="1"/>
  <c r="P2092" i="1"/>
  <c r="Q2092" i="1" s="1"/>
  <c r="P2093" i="1"/>
  <c r="Q2093" i="1" s="1"/>
  <c r="P2094" i="1"/>
  <c r="Q2094" i="1" s="1"/>
  <c r="P2095" i="1"/>
  <c r="Q2095" i="1" s="1"/>
  <c r="P2096" i="1"/>
  <c r="Q2096" i="1" s="1"/>
  <c r="P2097" i="1"/>
  <c r="Q2097" i="1" s="1"/>
  <c r="P2098" i="1"/>
  <c r="Q2098" i="1" s="1"/>
  <c r="P2099" i="1"/>
  <c r="Q2099" i="1" s="1"/>
  <c r="P2100" i="1"/>
  <c r="Q2100" i="1" s="1"/>
  <c r="P2101" i="1"/>
  <c r="Q2101" i="1" s="1"/>
  <c r="P2102" i="1"/>
  <c r="Q2102" i="1" s="1"/>
  <c r="P2103" i="1"/>
  <c r="Q2103" i="1" s="1"/>
  <c r="P2104" i="1"/>
  <c r="Q2104" i="1" s="1"/>
  <c r="P2105" i="1"/>
  <c r="Q2105" i="1" s="1"/>
  <c r="P2106" i="1"/>
  <c r="Q2106" i="1" s="1"/>
  <c r="P2107" i="1"/>
  <c r="Q2107" i="1" s="1"/>
  <c r="P2108" i="1"/>
  <c r="Q2108" i="1" s="1"/>
  <c r="P2109" i="1"/>
  <c r="Q2109" i="1" s="1"/>
  <c r="P2110" i="1"/>
  <c r="Q2110" i="1" s="1"/>
  <c r="P2111" i="1"/>
  <c r="Q2111" i="1" s="1"/>
  <c r="P2112" i="1"/>
  <c r="Q2112" i="1" s="1"/>
  <c r="P2113" i="1"/>
  <c r="Q2113" i="1" s="1"/>
  <c r="P2114" i="1"/>
  <c r="Q2114" i="1" s="1"/>
  <c r="P2115" i="1"/>
  <c r="Q2115" i="1" s="1"/>
  <c r="P2116" i="1"/>
  <c r="Q2116" i="1" s="1"/>
  <c r="P2117" i="1"/>
  <c r="Q2117" i="1" s="1"/>
  <c r="P2118" i="1"/>
  <c r="Q2118" i="1" s="1"/>
  <c r="P2119" i="1"/>
  <c r="Q2119" i="1" s="1"/>
  <c r="P2120" i="1"/>
  <c r="Q2120" i="1" s="1"/>
  <c r="P2121" i="1"/>
  <c r="Q2121" i="1" s="1"/>
  <c r="P2122" i="1"/>
  <c r="Q2122" i="1" s="1"/>
  <c r="P2123" i="1"/>
  <c r="Q2123" i="1" s="1"/>
  <c r="P2124" i="1"/>
  <c r="Q2124" i="1" s="1"/>
  <c r="P2125" i="1"/>
  <c r="Q2125" i="1" s="1"/>
  <c r="P2126" i="1"/>
  <c r="Q2126" i="1" s="1"/>
  <c r="P2127" i="1"/>
  <c r="Q2127" i="1" s="1"/>
  <c r="P2128" i="1"/>
  <c r="Q2128" i="1" s="1"/>
  <c r="P2129" i="1"/>
  <c r="Q2129" i="1" s="1"/>
  <c r="P2130" i="1"/>
  <c r="Q2130" i="1" s="1"/>
  <c r="P2131" i="1"/>
  <c r="Q2131" i="1" s="1"/>
  <c r="P2132" i="1"/>
  <c r="Q2132" i="1" s="1"/>
  <c r="P2133" i="1"/>
  <c r="Q2133" i="1" s="1"/>
  <c r="P2134" i="1"/>
  <c r="Q2134" i="1" s="1"/>
  <c r="P2135" i="1"/>
  <c r="Q2135" i="1" s="1"/>
  <c r="P2136" i="1"/>
  <c r="Q2136" i="1" s="1"/>
  <c r="P2137" i="1"/>
  <c r="Q2137" i="1" s="1"/>
  <c r="P2138" i="1"/>
  <c r="Q2138" i="1" s="1"/>
  <c r="P2139" i="1"/>
  <c r="Q2139" i="1" s="1"/>
  <c r="P2140" i="1"/>
  <c r="Q2140" i="1" s="1"/>
  <c r="P2141" i="1"/>
  <c r="Q2141" i="1" s="1"/>
  <c r="P2142" i="1"/>
  <c r="Q2142" i="1" s="1"/>
  <c r="P2143" i="1"/>
  <c r="Q2143" i="1" s="1"/>
  <c r="P2144" i="1"/>
  <c r="Q2144" i="1" s="1"/>
  <c r="P2145" i="1"/>
  <c r="Q2145" i="1" s="1"/>
  <c r="P2146" i="1"/>
  <c r="Q2146" i="1" s="1"/>
  <c r="P2147" i="1"/>
  <c r="Q2147" i="1" s="1"/>
  <c r="P2148" i="1"/>
  <c r="Q2148" i="1" s="1"/>
  <c r="P2149" i="1"/>
  <c r="Q2149" i="1" s="1"/>
  <c r="P2150" i="1"/>
  <c r="Q2150" i="1" s="1"/>
  <c r="P2151" i="1"/>
  <c r="Q2151" i="1" s="1"/>
  <c r="P2152" i="1"/>
  <c r="Q2152" i="1" s="1"/>
  <c r="P2153" i="1"/>
  <c r="Q2153" i="1" s="1"/>
  <c r="P2154" i="1"/>
  <c r="Q2154" i="1" s="1"/>
  <c r="P2155" i="1"/>
  <c r="Q2155" i="1" s="1"/>
  <c r="P2156" i="1"/>
  <c r="Q2156" i="1" s="1"/>
  <c r="P2157" i="1"/>
  <c r="Q2157" i="1" s="1"/>
  <c r="P2158" i="1"/>
  <c r="Q2158" i="1" s="1"/>
  <c r="P2159" i="1"/>
  <c r="Q2159" i="1" s="1"/>
  <c r="P2160" i="1"/>
  <c r="Q2160" i="1" s="1"/>
  <c r="P2161" i="1"/>
  <c r="Q2161" i="1" s="1"/>
  <c r="P2162" i="1"/>
  <c r="Q2162" i="1" s="1"/>
  <c r="P2163" i="1"/>
  <c r="Q2163" i="1" s="1"/>
  <c r="P2164" i="1"/>
  <c r="Q2164" i="1" s="1"/>
  <c r="P2165" i="1"/>
  <c r="Q2165" i="1" s="1"/>
  <c r="P2166" i="1"/>
  <c r="Q2166" i="1" s="1"/>
  <c r="P2167" i="1"/>
  <c r="Q2167" i="1" s="1"/>
  <c r="P2168" i="1"/>
  <c r="Q2168" i="1" s="1"/>
  <c r="P2169" i="1"/>
  <c r="Q2169" i="1" s="1"/>
  <c r="P2170" i="1"/>
  <c r="Q2170" i="1" s="1"/>
  <c r="P2171" i="1"/>
  <c r="Q2171" i="1" s="1"/>
  <c r="P2172" i="1"/>
  <c r="Q2172" i="1" s="1"/>
  <c r="P2173" i="1"/>
  <c r="Q2173" i="1" s="1"/>
  <c r="P2174" i="1"/>
  <c r="Q2174" i="1" s="1"/>
  <c r="P2175" i="1"/>
  <c r="Q2175" i="1" s="1"/>
  <c r="P2176" i="1"/>
  <c r="Q2176" i="1" s="1"/>
  <c r="P2177" i="1"/>
  <c r="Q2177" i="1" s="1"/>
  <c r="P2178" i="1"/>
  <c r="Q2178" i="1" s="1"/>
  <c r="P2179" i="1"/>
  <c r="Q2179" i="1" s="1"/>
  <c r="P2180" i="1"/>
  <c r="Q2180" i="1" s="1"/>
  <c r="P2181" i="1"/>
  <c r="Q2181" i="1" s="1"/>
  <c r="P2182" i="1"/>
  <c r="Q2182" i="1" s="1"/>
  <c r="P2183" i="1"/>
  <c r="Q2183" i="1" s="1"/>
  <c r="P2184" i="1"/>
  <c r="Q2184" i="1" s="1"/>
  <c r="P2185" i="1"/>
  <c r="Q2185" i="1" s="1"/>
  <c r="P2186" i="1"/>
  <c r="Q2186" i="1" s="1"/>
  <c r="P2187" i="1"/>
  <c r="Q2187" i="1" s="1"/>
  <c r="P2188" i="1"/>
  <c r="Q2188" i="1" s="1"/>
  <c r="P2189" i="1"/>
  <c r="Q2189" i="1" s="1"/>
  <c r="P2190" i="1"/>
  <c r="Q2190" i="1" s="1"/>
  <c r="P2191" i="1"/>
  <c r="Q2191" i="1" s="1"/>
  <c r="P2192" i="1"/>
  <c r="Q2192" i="1" s="1"/>
  <c r="P2193" i="1"/>
  <c r="Q2193" i="1" s="1"/>
  <c r="P2194" i="1"/>
  <c r="Q2194" i="1" s="1"/>
  <c r="P2195" i="1"/>
  <c r="Q2195" i="1" s="1"/>
  <c r="P2196" i="1"/>
  <c r="Q2196" i="1" s="1"/>
  <c r="P2197" i="1"/>
  <c r="Q2197" i="1" s="1"/>
  <c r="P2198" i="1"/>
  <c r="Q2198" i="1" s="1"/>
  <c r="P2199" i="1"/>
  <c r="Q2199" i="1" s="1"/>
  <c r="P2200" i="1"/>
  <c r="Q2200" i="1" s="1"/>
  <c r="P2201" i="1"/>
  <c r="Q2201" i="1" s="1"/>
  <c r="P2202" i="1"/>
  <c r="Q2202" i="1" s="1"/>
  <c r="P2203" i="1"/>
  <c r="Q2203" i="1" s="1"/>
  <c r="P2204" i="1"/>
  <c r="Q2204" i="1" s="1"/>
  <c r="P2205" i="1"/>
  <c r="Q2205" i="1" s="1"/>
  <c r="P2206" i="1"/>
  <c r="Q2206" i="1" s="1"/>
  <c r="P2207" i="1"/>
  <c r="Q2207" i="1" s="1"/>
  <c r="P2208" i="1"/>
  <c r="Q2208" i="1" s="1"/>
  <c r="P2209" i="1"/>
  <c r="Q2209" i="1" s="1"/>
  <c r="P2210" i="1"/>
  <c r="Q2210" i="1" s="1"/>
  <c r="P2211" i="1"/>
  <c r="Q2211" i="1" s="1"/>
  <c r="P2212" i="1"/>
  <c r="Q2212" i="1" s="1"/>
  <c r="P2213" i="1"/>
  <c r="Q2213" i="1" s="1"/>
  <c r="P2214" i="1"/>
  <c r="Q2214" i="1" s="1"/>
  <c r="P2215" i="1"/>
  <c r="Q2215" i="1" s="1"/>
  <c r="P2216" i="1"/>
  <c r="Q2216" i="1" s="1"/>
  <c r="P2217" i="1"/>
  <c r="Q2217" i="1" s="1"/>
  <c r="P2218" i="1"/>
  <c r="Q2218" i="1" s="1"/>
  <c r="P2219" i="1"/>
  <c r="Q2219" i="1" s="1"/>
  <c r="P2220" i="1"/>
  <c r="Q2220" i="1" s="1"/>
  <c r="P2221" i="1"/>
  <c r="Q2221" i="1" s="1"/>
  <c r="P2222" i="1"/>
  <c r="Q2222" i="1" s="1"/>
  <c r="P2223" i="1"/>
  <c r="Q2223" i="1" s="1"/>
  <c r="P2224" i="1"/>
  <c r="Q2224" i="1" s="1"/>
  <c r="P2225" i="1"/>
  <c r="Q2225" i="1" s="1"/>
  <c r="P2226" i="1"/>
  <c r="Q2226" i="1" s="1"/>
  <c r="P2227" i="1"/>
  <c r="Q2227" i="1" s="1"/>
  <c r="P2228" i="1"/>
  <c r="Q2228" i="1" s="1"/>
  <c r="P2229" i="1"/>
  <c r="Q2229" i="1" s="1"/>
  <c r="P2230" i="1"/>
  <c r="Q2230" i="1" s="1"/>
  <c r="P2231" i="1"/>
  <c r="Q2231" i="1" s="1"/>
  <c r="P2232" i="1"/>
  <c r="Q2232" i="1" s="1"/>
  <c r="P2233" i="1"/>
  <c r="Q2233" i="1" s="1"/>
  <c r="P2234" i="1"/>
  <c r="Q2234" i="1" s="1"/>
  <c r="P2235" i="1"/>
  <c r="Q2235" i="1" s="1"/>
  <c r="P2236" i="1"/>
  <c r="Q2236" i="1" s="1"/>
  <c r="P2237" i="1"/>
  <c r="Q2237" i="1" s="1"/>
  <c r="P2238" i="1"/>
  <c r="Q2238" i="1" s="1"/>
  <c r="P2239" i="1"/>
  <c r="Q2239" i="1" s="1"/>
  <c r="P2240" i="1"/>
  <c r="Q2240" i="1" s="1"/>
  <c r="P2241" i="1"/>
  <c r="Q2241" i="1" s="1"/>
  <c r="P2242" i="1"/>
  <c r="Q2242" i="1" s="1"/>
  <c r="P2243" i="1"/>
  <c r="Q2243" i="1" s="1"/>
  <c r="P2244" i="1"/>
  <c r="Q2244" i="1" s="1"/>
  <c r="P2245" i="1"/>
  <c r="Q2245" i="1" s="1"/>
  <c r="P2246" i="1"/>
  <c r="Q2246" i="1" s="1"/>
  <c r="P2247" i="1"/>
  <c r="Q2247" i="1" s="1"/>
  <c r="P2248" i="1"/>
  <c r="Q2248" i="1" s="1"/>
  <c r="P2249" i="1"/>
  <c r="Q2249" i="1" s="1"/>
  <c r="P2250" i="1"/>
  <c r="Q2250" i="1" s="1"/>
  <c r="P2251" i="1"/>
  <c r="Q2251" i="1" s="1"/>
  <c r="P2252" i="1"/>
  <c r="Q2252" i="1" s="1"/>
  <c r="P2253" i="1"/>
  <c r="Q2253" i="1" s="1"/>
  <c r="P2254" i="1"/>
  <c r="Q2254" i="1" s="1"/>
  <c r="P2255" i="1"/>
  <c r="Q2255" i="1" s="1"/>
  <c r="P2256" i="1"/>
  <c r="Q2256" i="1" s="1"/>
  <c r="P2257" i="1"/>
  <c r="Q2257" i="1" s="1"/>
  <c r="P2258" i="1"/>
  <c r="Q2258" i="1" s="1"/>
  <c r="P2259" i="1"/>
  <c r="Q2259" i="1" s="1"/>
  <c r="P2260" i="1"/>
  <c r="Q2260" i="1" s="1"/>
  <c r="P2261" i="1"/>
  <c r="Q2261" i="1" s="1"/>
  <c r="P2262" i="1"/>
  <c r="Q2262" i="1" s="1"/>
  <c r="P2263" i="1"/>
  <c r="Q2263" i="1" s="1"/>
  <c r="P2264" i="1"/>
  <c r="Q2264" i="1" s="1"/>
  <c r="P2265" i="1"/>
  <c r="Q2265" i="1" s="1"/>
  <c r="P2266" i="1"/>
  <c r="Q2266" i="1" s="1"/>
  <c r="P2267" i="1"/>
  <c r="Q2267" i="1" s="1"/>
  <c r="P2268" i="1"/>
  <c r="Q2268" i="1" s="1"/>
  <c r="P2269" i="1"/>
  <c r="Q2269" i="1" s="1"/>
  <c r="P2270" i="1"/>
  <c r="Q2270" i="1" s="1"/>
  <c r="P2271" i="1"/>
  <c r="Q2271" i="1" s="1"/>
  <c r="P2272" i="1"/>
  <c r="Q2272" i="1" s="1"/>
  <c r="P2273" i="1"/>
  <c r="Q2273" i="1" s="1"/>
  <c r="P2274" i="1"/>
  <c r="Q2274" i="1" s="1"/>
  <c r="P2275" i="1"/>
  <c r="Q2275" i="1" s="1"/>
  <c r="P2276" i="1"/>
  <c r="Q2276" i="1" s="1"/>
  <c r="P2277" i="1"/>
  <c r="Q2277" i="1" s="1"/>
  <c r="P2278" i="1"/>
  <c r="Q2278" i="1" s="1"/>
  <c r="P2279" i="1"/>
  <c r="Q2279" i="1" s="1"/>
  <c r="P2280" i="1"/>
  <c r="Q2280" i="1" s="1"/>
  <c r="P2281" i="1"/>
  <c r="Q2281" i="1" s="1"/>
  <c r="P2282" i="1"/>
  <c r="Q2282" i="1" s="1"/>
  <c r="P2283" i="1"/>
  <c r="Q2283" i="1" s="1"/>
  <c r="P2284" i="1"/>
  <c r="Q2284" i="1" s="1"/>
  <c r="P2285" i="1"/>
  <c r="Q2285" i="1" s="1"/>
  <c r="P2286" i="1"/>
  <c r="Q2286" i="1" s="1"/>
  <c r="P2287" i="1"/>
  <c r="Q2287" i="1" s="1"/>
  <c r="P2288" i="1"/>
  <c r="Q2288" i="1" s="1"/>
  <c r="P2289" i="1"/>
  <c r="Q2289" i="1" s="1"/>
  <c r="P2290" i="1"/>
  <c r="Q2290" i="1" s="1"/>
  <c r="P2291" i="1"/>
  <c r="Q2291" i="1" s="1"/>
  <c r="P2292" i="1"/>
  <c r="Q2292" i="1" s="1"/>
  <c r="P2293" i="1"/>
  <c r="Q2293" i="1" s="1"/>
  <c r="P2294" i="1"/>
  <c r="Q2294" i="1" s="1"/>
  <c r="P2295" i="1"/>
  <c r="Q2295" i="1" s="1"/>
  <c r="P2296" i="1"/>
  <c r="Q2296" i="1" s="1"/>
  <c r="P2297" i="1"/>
  <c r="Q2297" i="1" s="1"/>
  <c r="P2298" i="1"/>
  <c r="Q2298" i="1" s="1"/>
  <c r="P2299" i="1"/>
  <c r="Q2299" i="1" s="1"/>
  <c r="P2300" i="1"/>
  <c r="Q2300" i="1" s="1"/>
  <c r="P2301" i="1"/>
  <c r="Q2301" i="1" s="1"/>
  <c r="P2302" i="1"/>
  <c r="Q2302" i="1" s="1"/>
  <c r="P2303" i="1"/>
  <c r="Q2303" i="1" s="1"/>
  <c r="P2304" i="1"/>
  <c r="Q2304" i="1" s="1"/>
  <c r="P2305" i="1"/>
  <c r="Q2305" i="1" s="1"/>
  <c r="P2306" i="1"/>
  <c r="Q2306" i="1" s="1"/>
  <c r="P2307" i="1"/>
  <c r="Q2307" i="1" s="1"/>
  <c r="P2308" i="1"/>
  <c r="Q2308" i="1" s="1"/>
  <c r="P2309" i="1"/>
  <c r="Q2309" i="1" s="1"/>
  <c r="P2310" i="1"/>
  <c r="Q2310" i="1" s="1"/>
  <c r="P2311" i="1"/>
  <c r="Q2311" i="1" s="1"/>
  <c r="P2312" i="1"/>
  <c r="Q2312" i="1" s="1"/>
  <c r="P2313" i="1"/>
  <c r="Q2313" i="1" s="1"/>
  <c r="P2314" i="1"/>
  <c r="Q2314" i="1" s="1"/>
  <c r="P2315" i="1"/>
  <c r="Q2315" i="1" s="1"/>
  <c r="P2316" i="1"/>
  <c r="Q2316" i="1" s="1"/>
  <c r="P2317" i="1"/>
  <c r="Q2317" i="1" s="1"/>
  <c r="P2318" i="1"/>
  <c r="Q2318" i="1" s="1"/>
  <c r="P2319" i="1"/>
  <c r="Q2319" i="1" s="1"/>
  <c r="P2320" i="1"/>
  <c r="Q2320" i="1" s="1"/>
  <c r="P2321" i="1"/>
  <c r="Q2321" i="1" s="1"/>
  <c r="P2322" i="1"/>
  <c r="Q2322" i="1" s="1"/>
  <c r="P2323" i="1"/>
  <c r="Q2323" i="1" s="1"/>
  <c r="P2324" i="1"/>
  <c r="Q2324" i="1" s="1"/>
  <c r="P2325" i="1"/>
  <c r="Q2325" i="1" s="1"/>
  <c r="P2326" i="1"/>
  <c r="Q2326" i="1" s="1"/>
  <c r="P2327" i="1"/>
  <c r="Q2327" i="1" s="1"/>
  <c r="P2328" i="1"/>
  <c r="Q2328" i="1" s="1"/>
  <c r="P2329" i="1"/>
  <c r="Q2329" i="1" s="1"/>
  <c r="P2330" i="1"/>
  <c r="Q2330" i="1" s="1"/>
  <c r="P2331" i="1"/>
  <c r="Q2331" i="1" s="1"/>
  <c r="P2332" i="1"/>
  <c r="Q2332" i="1" s="1"/>
  <c r="P2333" i="1"/>
  <c r="Q2333" i="1" s="1"/>
  <c r="P2334" i="1"/>
  <c r="Q2334" i="1" s="1"/>
  <c r="P2335" i="1"/>
  <c r="Q2335" i="1" s="1"/>
  <c r="P2336" i="1"/>
  <c r="Q2336" i="1" s="1"/>
  <c r="P2337" i="1"/>
  <c r="Q2337" i="1" s="1"/>
  <c r="P2338" i="1"/>
  <c r="Q2338" i="1" s="1"/>
  <c r="P2339" i="1"/>
  <c r="Q2339" i="1" s="1"/>
  <c r="P2340" i="1"/>
  <c r="Q2340" i="1" s="1"/>
  <c r="P2341" i="1"/>
  <c r="Q2341" i="1" s="1"/>
  <c r="P2342" i="1"/>
  <c r="Q2342" i="1" s="1"/>
  <c r="P2343" i="1"/>
  <c r="Q2343" i="1" s="1"/>
  <c r="P2344" i="1"/>
  <c r="Q2344" i="1" s="1"/>
  <c r="P2345" i="1"/>
  <c r="Q2345" i="1" s="1"/>
  <c r="P2346" i="1"/>
  <c r="Q2346" i="1" s="1"/>
  <c r="P2347" i="1"/>
  <c r="Q2347" i="1" s="1"/>
  <c r="P2348" i="1"/>
  <c r="Q2348" i="1" s="1"/>
  <c r="P2349" i="1"/>
  <c r="Q2349" i="1" s="1"/>
  <c r="P2350" i="1"/>
  <c r="Q2350" i="1" s="1"/>
  <c r="P2351" i="1"/>
  <c r="Q2351" i="1" s="1"/>
  <c r="P2352" i="1"/>
  <c r="Q2352" i="1" s="1"/>
  <c r="P2353" i="1"/>
  <c r="Q2353" i="1" s="1"/>
  <c r="P2354" i="1"/>
  <c r="Q2354" i="1" s="1"/>
  <c r="P2355" i="1"/>
  <c r="Q2355" i="1" s="1"/>
  <c r="P2356" i="1"/>
  <c r="Q2356" i="1" s="1"/>
  <c r="P2357" i="1"/>
  <c r="Q2357" i="1" s="1"/>
  <c r="P2358" i="1"/>
  <c r="Q2358" i="1" s="1"/>
  <c r="P2359" i="1"/>
  <c r="Q2359" i="1" s="1"/>
  <c r="P2360" i="1"/>
  <c r="Q2360" i="1" s="1"/>
  <c r="P2361" i="1"/>
  <c r="Q2361" i="1" s="1"/>
  <c r="P2362" i="1"/>
  <c r="Q2362" i="1" s="1"/>
  <c r="P2363" i="1"/>
  <c r="Q2363" i="1" s="1"/>
  <c r="P2364" i="1"/>
  <c r="Q2364" i="1" s="1"/>
  <c r="P2365" i="1"/>
  <c r="Q2365" i="1" s="1"/>
  <c r="P2366" i="1"/>
  <c r="Q2366" i="1" s="1"/>
  <c r="P2367" i="1"/>
  <c r="Q2367" i="1" s="1"/>
  <c r="P2368" i="1"/>
  <c r="Q2368" i="1" s="1"/>
  <c r="P2369" i="1"/>
  <c r="Q2369" i="1" s="1"/>
  <c r="P2370" i="1"/>
  <c r="Q2370" i="1" s="1"/>
  <c r="P2371" i="1"/>
  <c r="Q2371" i="1" s="1"/>
  <c r="P2372" i="1"/>
  <c r="Q2372" i="1" s="1"/>
  <c r="P2373" i="1"/>
  <c r="Q2373" i="1" s="1"/>
  <c r="P2374" i="1"/>
  <c r="Q2374" i="1" s="1"/>
  <c r="P2375" i="1"/>
  <c r="Q2375" i="1" s="1"/>
  <c r="P2376" i="1"/>
  <c r="Q2376" i="1" s="1"/>
  <c r="P2377" i="1"/>
  <c r="Q2377" i="1" s="1"/>
  <c r="P2378" i="1"/>
  <c r="Q2378" i="1" s="1"/>
  <c r="P2379" i="1"/>
  <c r="Q2379" i="1" s="1"/>
  <c r="P2380" i="1"/>
  <c r="Q2380" i="1" s="1"/>
  <c r="P2381" i="1"/>
  <c r="Q2381" i="1" s="1"/>
  <c r="P2382" i="1"/>
  <c r="Q2382" i="1" s="1"/>
  <c r="P2383" i="1"/>
  <c r="Q2383" i="1" s="1"/>
  <c r="P2384" i="1"/>
  <c r="Q2384" i="1" s="1"/>
  <c r="P2385" i="1"/>
  <c r="Q2385" i="1" s="1"/>
  <c r="P2386" i="1"/>
  <c r="Q2386" i="1" s="1"/>
  <c r="P2387" i="1"/>
  <c r="Q2387" i="1" s="1"/>
  <c r="P2388" i="1"/>
  <c r="Q2388" i="1" s="1"/>
  <c r="P2389" i="1"/>
  <c r="Q2389" i="1" s="1"/>
  <c r="P2390" i="1"/>
  <c r="Q2390" i="1" s="1"/>
  <c r="P2391" i="1"/>
  <c r="Q2391" i="1" s="1"/>
  <c r="P2392" i="1"/>
  <c r="Q2392" i="1" s="1"/>
  <c r="P2393" i="1"/>
  <c r="Q2393" i="1" s="1"/>
  <c r="P2394" i="1"/>
  <c r="Q2394" i="1" s="1"/>
  <c r="P2395" i="1"/>
  <c r="Q2395" i="1" s="1"/>
  <c r="P2396" i="1"/>
  <c r="Q2396" i="1" s="1"/>
  <c r="P2397" i="1"/>
  <c r="Q2397" i="1" s="1"/>
  <c r="P2398" i="1"/>
  <c r="Q2398" i="1" s="1"/>
  <c r="P2399" i="1"/>
  <c r="Q2399" i="1" s="1"/>
  <c r="P2400" i="1"/>
  <c r="Q2400" i="1" s="1"/>
  <c r="P2401" i="1"/>
  <c r="Q2401" i="1" s="1"/>
  <c r="P2402" i="1"/>
  <c r="Q2402" i="1" s="1"/>
  <c r="P2403" i="1"/>
  <c r="Q2403" i="1" s="1"/>
  <c r="P2404" i="1"/>
  <c r="Q2404" i="1" s="1"/>
  <c r="P2405" i="1"/>
  <c r="Q2405" i="1" s="1"/>
  <c r="P2406" i="1"/>
  <c r="Q2406" i="1" s="1"/>
  <c r="P2407" i="1"/>
  <c r="Q2407" i="1" s="1"/>
  <c r="P2408" i="1"/>
  <c r="Q2408" i="1" s="1"/>
  <c r="P2409" i="1"/>
  <c r="Q2409" i="1" s="1"/>
  <c r="P2410" i="1"/>
  <c r="Q2410" i="1" s="1"/>
  <c r="P2411" i="1"/>
  <c r="Q2411" i="1" s="1"/>
  <c r="P2412" i="1"/>
  <c r="Q2412" i="1" s="1"/>
  <c r="P2413" i="1"/>
  <c r="Q2413" i="1" s="1"/>
  <c r="P2414" i="1"/>
  <c r="Q2414" i="1" s="1"/>
  <c r="P2415" i="1"/>
  <c r="Q2415" i="1" s="1"/>
  <c r="P2416" i="1"/>
  <c r="Q2416" i="1" s="1"/>
  <c r="P2417" i="1"/>
  <c r="Q2417" i="1" s="1"/>
  <c r="P2418" i="1"/>
  <c r="Q2418" i="1" s="1"/>
  <c r="P2419" i="1"/>
  <c r="Q2419" i="1" s="1"/>
  <c r="P2420" i="1"/>
  <c r="Q2420" i="1" s="1"/>
  <c r="P2421" i="1"/>
  <c r="Q2421" i="1" s="1"/>
  <c r="P2422" i="1"/>
  <c r="Q2422" i="1" s="1"/>
  <c r="P2423" i="1"/>
  <c r="Q2423" i="1" s="1"/>
  <c r="P2424" i="1"/>
  <c r="Q2424" i="1" s="1"/>
  <c r="P2425" i="1"/>
  <c r="Q2425" i="1" s="1"/>
  <c r="P2426" i="1"/>
  <c r="Q2426" i="1" s="1"/>
  <c r="P2427" i="1"/>
  <c r="Q2427" i="1" s="1"/>
  <c r="P2428" i="1"/>
  <c r="Q2428" i="1" s="1"/>
  <c r="P2429" i="1"/>
  <c r="Q2429" i="1" s="1"/>
  <c r="P2430" i="1"/>
  <c r="Q2430" i="1" s="1"/>
  <c r="P2431" i="1"/>
  <c r="Q2431" i="1" s="1"/>
  <c r="P2432" i="1"/>
  <c r="Q2432" i="1" s="1"/>
  <c r="P2433" i="1"/>
  <c r="Q2433" i="1" s="1"/>
  <c r="P2434" i="1"/>
  <c r="Q2434" i="1" s="1"/>
  <c r="P2435" i="1"/>
  <c r="Q2435" i="1" s="1"/>
  <c r="P2436" i="1"/>
  <c r="Q2436" i="1" s="1"/>
  <c r="P2437" i="1"/>
  <c r="Q2437" i="1" s="1"/>
  <c r="P2438" i="1"/>
  <c r="Q2438" i="1" s="1"/>
  <c r="P2439" i="1"/>
  <c r="Q2439" i="1" s="1"/>
  <c r="P2440" i="1"/>
  <c r="Q2440" i="1" s="1"/>
  <c r="P2441" i="1"/>
  <c r="Q2441" i="1" s="1"/>
  <c r="P2442" i="1"/>
  <c r="Q2442" i="1" s="1"/>
  <c r="P2443" i="1"/>
  <c r="Q2443" i="1" s="1"/>
  <c r="P2444" i="1"/>
  <c r="Q2444" i="1" s="1"/>
  <c r="P2445" i="1"/>
  <c r="Q2445" i="1" s="1"/>
  <c r="P2446" i="1"/>
  <c r="Q2446" i="1" s="1"/>
  <c r="P2447" i="1"/>
  <c r="Q2447" i="1" s="1"/>
  <c r="P2448" i="1"/>
  <c r="Q2448" i="1" s="1"/>
  <c r="P2449" i="1"/>
  <c r="Q2449" i="1" s="1"/>
  <c r="P2450" i="1"/>
  <c r="Q2450" i="1" s="1"/>
  <c r="P2451" i="1"/>
  <c r="Q2451" i="1" s="1"/>
  <c r="P2452" i="1"/>
  <c r="Q2452" i="1" s="1"/>
  <c r="P2453" i="1"/>
  <c r="Q2453" i="1" s="1"/>
  <c r="P2454" i="1"/>
  <c r="Q2454" i="1" s="1"/>
  <c r="P2455" i="1"/>
  <c r="Q2455" i="1" s="1"/>
  <c r="P2456" i="1"/>
  <c r="Q2456" i="1" s="1"/>
  <c r="P2457" i="1"/>
  <c r="Q2457" i="1" s="1"/>
  <c r="P2458" i="1"/>
  <c r="Q2458" i="1" s="1"/>
  <c r="P2459" i="1"/>
  <c r="Q2459" i="1" s="1"/>
  <c r="P2460" i="1"/>
  <c r="Q2460" i="1" s="1"/>
  <c r="P2461" i="1"/>
  <c r="Q2461" i="1" s="1"/>
  <c r="P2462" i="1"/>
  <c r="Q2462" i="1" s="1"/>
  <c r="P2463" i="1"/>
  <c r="Q2463" i="1" s="1"/>
  <c r="P2464" i="1"/>
  <c r="Q2464" i="1" s="1"/>
  <c r="P2465" i="1"/>
  <c r="Q2465" i="1" s="1"/>
  <c r="P2466" i="1"/>
  <c r="Q2466" i="1" s="1"/>
  <c r="P2467" i="1"/>
  <c r="Q2467" i="1" s="1"/>
  <c r="P2468" i="1"/>
  <c r="Q2468" i="1" s="1"/>
  <c r="P2469" i="1"/>
  <c r="Q2469" i="1" s="1"/>
  <c r="P2470" i="1"/>
  <c r="Q2470" i="1" s="1"/>
  <c r="P2471" i="1"/>
  <c r="Q2471" i="1" s="1"/>
  <c r="P2472" i="1"/>
  <c r="Q2472" i="1" s="1"/>
  <c r="P2473" i="1"/>
  <c r="Q2473" i="1" s="1"/>
  <c r="P2474" i="1"/>
  <c r="Q2474" i="1" s="1"/>
  <c r="P2475" i="1"/>
  <c r="Q2475" i="1" s="1"/>
  <c r="P2476" i="1"/>
  <c r="Q2476" i="1" s="1"/>
  <c r="P2477" i="1"/>
  <c r="Q2477" i="1" s="1"/>
  <c r="P2478" i="1"/>
  <c r="Q2478" i="1" s="1"/>
  <c r="P2479" i="1"/>
  <c r="Q2479" i="1" s="1"/>
  <c r="P2480" i="1"/>
  <c r="Q2480" i="1" s="1"/>
  <c r="P2481" i="1"/>
  <c r="Q2481" i="1" s="1"/>
  <c r="P2482" i="1"/>
  <c r="Q2482" i="1" s="1"/>
  <c r="P2483" i="1"/>
  <c r="Q2483" i="1" s="1"/>
  <c r="P2484" i="1"/>
  <c r="Q2484" i="1" s="1"/>
  <c r="P2485" i="1"/>
  <c r="Q2485" i="1" s="1"/>
  <c r="P2486" i="1"/>
  <c r="Q2486" i="1" s="1"/>
  <c r="P2487" i="1"/>
  <c r="Q2487" i="1" s="1"/>
  <c r="P2488" i="1"/>
  <c r="Q2488" i="1" s="1"/>
  <c r="P2489" i="1"/>
  <c r="Q2489" i="1" s="1"/>
  <c r="P2490" i="1"/>
  <c r="Q2490" i="1" s="1"/>
  <c r="P2491" i="1"/>
  <c r="Q2491" i="1" s="1"/>
  <c r="P2492" i="1"/>
  <c r="Q2492" i="1" s="1"/>
  <c r="P2493" i="1"/>
  <c r="Q2493" i="1" s="1"/>
  <c r="P2494" i="1"/>
  <c r="Q2494" i="1" s="1"/>
  <c r="P2495" i="1"/>
  <c r="Q2495" i="1" s="1"/>
  <c r="P2496" i="1"/>
  <c r="Q2496" i="1" s="1"/>
  <c r="P2497" i="1"/>
  <c r="Q2497" i="1" s="1"/>
  <c r="P2498" i="1"/>
  <c r="Q2498" i="1" s="1"/>
  <c r="P2499" i="1"/>
  <c r="Q2499" i="1" s="1"/>
  <c r="P2500" i="1"/>
  <c r="Q2500" i="1" s="1"/>
  <c r="P2501" i="1"/>
  <c r="Q2501" i="1" s="1"/>
  <c r="P2502" i="1"/>
  <c r="Q2502" i="1" s="1"/>
  <c r="P2503" i="1"/>
  <c r="Q2503" i="1" s="1"/>
  <c r="P2504" i="1"/>
  <c r="Q2504" i="1" s="1"/>
  <c r="P2505" i="1"/>
  <c r="Q2505" i="1" s="1"/>
  <c r="P2506" i="1"/>
  <c r="Q2506" i="1" s="1"/>
  <c r="P2507" i="1"/>
  <c r="Q2507" i="1" s="1"/>
  <c r="P2508" i="1"/>
  <c r="Q2508" i="1" s="1"/>
  <c r="P2509" i="1"/>
  <c r="Q2509" i="1" s="1"/>
  <c r="P2510" i="1"/>
  <c r="Q2510" i="1" s="1"/>
  <c r="P2511" i="1"/>
  <c r="Q2511" i="1" s="1"/>
  <c r="P2512" i="1"/>
  <c r="Q2512" i="1" s="1"/>
  <c r="P2513" i="1"/>
  <c r="Q2513" i="1" s="1"/>
  <c r="P2514" i="1"/>
  <c r="Q2514" i="1" s="1"/>
  <c r="P2515" i="1"/>
  <c r="Q2515" i="1" s="1"/>
  <c r="P2516" i="1"/>
  <c r="Q2516" i="1" s="1"/>
  <c r="P2517" i="1"/>
  <c r="Q2517" i="1" s="1"/>
  <c r="P2518" i="1"/>
  <c r="Q2518" i="1" s="1"/>
  <c r="P2519" i="1"/>
  <c r="Q2519" i="1" s="1"/>
  <c r="P2520" i="1"/>
  <c r="Q2520" i="1" s="1"/>
  <c r="P2521" i="1"/>
  <c r="Q2521" i="1" s="1"/>
  <c r="P2522" i="1"/>
  <c r="Q2522" i="1" s="1"/>
  <c r="P2523" i="1"/>
  <c r="Q2523" i="1" s="1"/>
  <c r="P2524" i="1"/>
  <c r="Q2524" i="1" s="1"/>
  <c r="P2525" i="1"/>
  <c r="Q2525" i="1" s="1"/>
  <c r="P2526" i="1"/>
  <c r="Q2526" i="1" s="1"/>
  <c r="P2527" i="1"/>
  <c r="Q2527" i="1" s="1"/>
  <c r="P2528" i="1"/>
  <c r="Q2528" i="1" s="1"/>
  <c r="P2529" i="1"/>
  <c r="Q2529" i="1" s="1"/>
  <c r="P2530" i="1"/>
  <c r="Q2530" i="1" s="1"/>
  <c r="P2531" i="1"/>
  <c r="Q2531" i="1" s="1"/>
  <c r="P2532" i="1"/>
  <c r="Q2532" i="1" s="1"/>
  <c r="P2533" i="1"/>
  <c r="Q2533" i="1" s="1"/>
  <c r="P2534" i="1"/>
  <c r="Q2534" i="1" s="1"/>
  <c r="P2535" i="1"/>
  <c r="Q2535" i="1" s="1"/>
  <c r="P2536" i="1"/>
  <c r="Q2536" i="1" s="1"/>
  <c r="P2537" i="1"/>
  <c r="Q2537" i="1" s="1"/>
  <c r="P2538" i="1"/>
  <c r="Q2538" i="1" s="1"/>
  <c r="P2539" i="1"/>
  <c r="Q2539" i="1" s="1"/>
  <c r="P2540" i="1"/>
  <c r="Q2540" i="1" s="1"/>
  <c r="P2541" i="1"/>
  <c r="Q2541" i="1" s="1"/>
  <c r="P2542" i="1"/>
  <c r="Q2542" i="1" s="1"/>
  <c r="P2543" i="1"/>
  <c r="Q2543" i="1" s="1"/>
  <c r="P2544" i="1"/>
  <c r="Q2544" i="1" s="1"/>
  <c r="P2545" i="1"/>
  <c r="Q2545" i="1" s="1"/>
  <c r="P2546" i="1"/>
  <c r="Q2546" i="1" s="1"/>
  <c r="P2547" i="1"/>
  <c r="Q2547" i="1" s="1"/>
  <c r="P2548" i="1"/>
  <c r="Q2548" i="1" s="1"/>
  <c r="P2549" i="1"/>
  <c r="Q2549" i="1" s="1"/>
  <c r="P2550" i="1"/>
  <c r="Q2550" i="1" s="1"/>
  <c r="P2551" i="1"/>
  <c r="Q2551" i="1" s="1"/>
  <c r="P2552" i="1"/>
  <c r="Q2552" i="1" s="1"/>
  <c r="P2553" i="1"/>
  <c r="Q2553" i="1" s="1"/>
  <c r="P2554" i="1"/>
  <c r="Q2554" i="1" s="1"/>
  <c r="P2555" i="1"/>
  <c r="Q2555" i="1" s="1"/>
  <c r="P2556" i="1"/>
  <c r="Q2556" i="1" s="1"/>
  <c r="P2557" i="1"/>
  <c r="Q2557" i="1" s="1"/>
  <c r="P2558" i="1"/>
  <c r="Q2558" i="1" s="1"/>
  <c r="P2559" i="1"/>
  <c r="Q2559" i="1" s="1"/>
  <c r="P2560" i="1"/>
  <c r="Q2560" i="1" s="1"/>
  <c r="P2561" i="1"/>
  <c r="Q2561" i="1" s="1"/>
  <c r="P2562" i="1"/>
  <c r="Q2562" i="1" s="1"/>
  <c r="P2563" i="1"/>
  <c r="Q2563" i="1" s="1"/>
  <c r="P2564" i="1"/>
  <c r="Q2564" i="1" s="1"/>
  <c r="P2565" i="1"/>
  <c r="Q2565" i="1" s="1"/>
  <c r="P2566" i="1"/>
  <c r="Q2566" i="1" s="1"/>
  <c r="P2567" i="1"/>
  <c r="Q2567" i="1" s="1"/>
  <c r="P2568" i="1"/>
  <c r="Q2568" i="1" s="1"/>
  <c r="P2569" i="1"/>
  <c r="Q2569" i="1" s="1"/>
  <c r="P2570" i="1"/>
  <c r="Q2570" i="1" s="1"/>
  <c r="P2571" i="1"/>
  <c r="Q2571" i="1" s="1"/>
  <c r="P2572" i="1"/>
  <c r="Q2572" i="1" s="1"/>
  <c r="P2573" i="1"/>
  <c r="Q2573" i="1" s="1"/>
  <c r="P2574" i="1"/>
  <c r="Q2574" i="1" s="1"/>
  <c r="P2575" i="1"/>
  <c r="Q2575" i="1" s="1"/>
  <c r="P2576" i="1"/>
  <c r="Q2576" i="1" s="1"/>
  <c r="P2577" i="1"/>
  <c r="Q2577" i="1" s="1"/>
  <c r="P2578" i="1"/>
  <c r="Q2578" i="1" s="1"/>
  <c r="P2579" i="1"/>
  <c r="Q2579" i="1" s="1"/>
  <c r="P2580" i="1"/>
  <c r="Q2580" i="1" s="1"/>
  <c r="P2581" i="1"/>
  <c r="Q2581" i="1" s="1"/>
  <c r="P2582" i="1"/>
  <c r="Q2582" i="1" s="1"/>
  <c r="P2583" i="1"/>
  <c r="Q2583" i="1" s="1"/>
  <c r="P2584" i="1"/>
  <c r="Q2584" i="1" s="1"/>
  <c r="P2585" i="1"/>
  <c r="Q2585" i="1" s="1"/>
  <c r="P2586" i="1"/>
  <c r="Q2586" i="1" s="1"/>
  <c r="P2587" i="1"/>
  <c r="Q2587" i="1" s="1"/>
  <c r="P2588" i="1"/>
  <c r="Q2588" i="1" s="1"/>
  <c r="P2589" i="1"/>
  <c r="Q2589" i="1" s="1"/>
  <c r="P2590" i="1"/>
  <c r="Q2590" i="1" s="1"/>
  <c r="P2591" i="1"/>
  <c r="Q2591" i="1" s="1"/>
  <c r="P2592" i="1"/>
  <c r="Q2592" i="1" s="1"/>
  <c r="P2593" i="1"/>
  <c r="Q2593" i="1" s="1"/>
  <c r="P2594" i="1"/>
  <c r="Q2594" i="1" s="1"/>
  <c r="P2595" i="1"/>
  <c r="Q2595" i="1" s="1"/>
  <c r="P2596" i="1"/>
  <c r="Q2596" i="1" s="1"/>
  <c r="P2597" i="1"/>
  <c r="Q2597" i="1" s="1"/>
  <c r="P2598" i="1"/>
  <c r="Q2598" i="1" s="1"/>
  <c r="P2599" i="1"/>
  <c r="Q2599" i="1" s="1"/>
  <c r="P2600" i="1"/>
  <c r="Q2600" i="1" s="1"/>
  <c r="P2601" i="1"/>
  <c r="Q2601" i="1" s="1"/>
  <c r="P2602" i="1"/>
  <c r="Q2602" i="1" s="1"/>
  <c r="P2603" i="1"/>
  <c r="Q2603" i="1" s="1"/>
  <c r="P2604" i="1"/>
  <c r="Q2604" i="1" s="1"/>
  <c r="P2605" i="1"/>
  <c r="Q2605" i="1" s="1"/>
  <c r="P2606" i="1"/>
  <c r="Q2606" i="1" s="1"/>
  <c r="P2607" i="1"/>
  <c r="Q2607" i="1" s="1"/>
  <c r="P2608" i="1"/>
  <c r="Q2608" i="1" s="1"/>
  <c r="P2609" i="1"/>
  <c r="Q2609" i="1" s="1"/>
  <c r="P2610" i="1"/>
  <c r="Q2610" i="1" s="1"/>
  <c r="P2611" i="1"/>
  <c r="Q2611" i="1" s="1"/>
  <c r="P2612" i="1"/>
  <c r="Q2612" i="1" s="1"/>
  <c r="P2613" i="1"/>
  <c r="Q2613" i="1" s="1"/>
  <c r="P2614" i="1"/>
  <c r="Q2614" i="1" s="1"/>
  <c r="P2615" i="1"/>
  <c r="Q2615" i="1" s="1"/>
  <c r="P2616" i="1"/>
  <c r="Q2616" i="1" s="1"/>
  <c r="P2617" i="1"/>
  <c r="Q2617" i="1" s="1"/>
  <c r="P2618" i="1"/>
  <c r="Q2618" i="1" s="1"/>
  <c r="P2619" i="1"/>
  <c r="Q2619" i="1" s="1"/>
  <c r="P2620" i="1"/>
  <c r="Q2620" i="1" s="1"/>
  <c r="P2621" i="1"/>
  <c r="Q2621" i="1" s="1"/>
  <c r="P2622" i="1"/>
  <c r="Q2622" i="1" s="1"/>
  <c r="P2623" i="1"/>
  <c r="Q2623" i="1" s="1"/>
  <c r="P2624" i="1"/>
  <c r="Q2624" i="1" s="1"/>
  <c r="P2625" i="1"/>
  <c r="Q2625" i="1" s="1"/>
  <c r="P2626" i="1"/>
  <c r="Q2626" i="1" s="1"/>
  <c r="P2627" i="1"/>
  <c r="Q2627" i="1" s="1"/>
  <c r="P2628" i="1"/>
  <c r="Q2628" i="1" s="1"/>
  <c r="P2629" i="1"/>
  <c r="Q2629" i="1" s="1"/>
  <c r="P2630" i="1"/>
  <c r="Q2630" i="1" s="1"/>
  <c r="P2631" i="1"/>
  <c r="Q2631" i="1" s="1"/>
  <c r="P2632" i="1"/>
  <c r="Q2632" i="1" s="1"/>
  <c r="P2633" i="1"/>
  <c r="Q2633" i="1" s="1"/>
  <c r="P2634" i="1"/>
  <c r="Q2634" i="1" s="1"/>
  <c r="P2635" i="1"/>
  <c r="Q2635" i="1" s="1"/>
  <c r="P2636" i="1"/>
  <c r="Q2636" i="1" s="1"/>
  <c r="P2637" i="1"/>
  <c r="Q2637" i="1" s="1"/>
  <c r="P2638" i="1"/>
  <c r="Q2638" i="1" s="1"/>
  <c r="P2639" i="1"/>
  <c r="Q2639" i="1" s="1"/>
  <c r="P2640" i="1"/>
  <c r="Q2640" i="1" s="1"/>
  <c r="P2641" i="1"/>
  <c r="Q2641" i="1" s="1"/>
  <c r="P2642" i="1"/>
  <c r="Q2642" i="1" s="1"/>
  <c r="P2643" i="1"/>
  <c r="Q2643" i="1" s="1"/>
  <c r="P2644" i="1"/>
  <c r="Q2644" i="1" s="1"/>
  <c r="P2645" i="1"/>
  <c r="Q2645" i="1" s="1"/>
  <c r="P2646" i="1"/>
  <c r="Q2646" i="1" s="1"/>
  <c r="P2647" i="1"/>
  <c r="Q2647" i="1" s="1"/>
  <c r="P2648" i="1"/>
  <c r="Q2648" i="1" s="1"/>
  <c r="P2649" i="1"/>
  <c r="Q2649" i="1" s="1"/>
  <c r="P2650" i="1"/>
  <c r="Q2650" i="1" s="1"/>
  <c r="P2651" i="1"/>
  <c r="Q2651" i="1" s="1"/>
  <c r="P2652" i="1"/>
  <c r="Q2652" i="1" s="1"/>
  <c r="P2653" i="1"/>
  <c r="Q2653" i="1" s="1"/>
  <c r="P2654" i="1"/>
  <c r="Q2654" i="1" s="1"/>
  <c r="P2655" i="1"/>
  <c r="Q2655" i="1" s="1"/>
  <c r="P2656" i="1"/>
  <c r="Q2656" i="1" s="1"/>
  <c r="P2657" i="1"/>
  <c r="Q2657" i="1" s="1"/>
  <c r="P2658" i="1"/>
  <c r="Q2658" i="1" s="1"/>
  <c r="P2659" i="1"/>
  <c r="Q2659" i="1" s="1"/>
  <c r="P2660" i="1"/>
  <c r="Q2660" i="1" s="1"/>
  <c r="P2661" i="1"/>
  <c r="Q2661" i="1" s="1"/>
  <c r="P2662" i="1"/>
  <c r="Q2662" i="1" s="1"/>
  <c r="P2663" i="1"/>
  <c r="Q2663" i="1" s="1"/>
  <c r="P2664" i="1"/>
  <c r="Q2664" i="1" s="1"/>
  <c r="P2665" i="1"/>
  <c r="Q2665" i="1" s="1"/>
  <c r="P2666" i="1"/>
  <c r="Q2666" i="1" s="1"/>
  <c r="P2667" i="1"/>
  <c r="Q2667" i="1" s="1"/>
  <c r="P2668" i="1"/>
  <c r="Q2668" i="1" s="1"/>
  <c r="P2669" i="1"/>
  <c r="Q2669" i="1" s="1"/>
  <c r="P2670" i="1"/>
  <c r="Q2670" i="1" s="1"/>
  <c r="P2671" i="1"/>
  <c r="Q2671" i="1" s="1"/>
  <c r="P2672" i="1"/>
  <c r="Q2672" i="1" s="1"/>
  <c r="P2673" i="1"/>
  <c r="Q2673" i="1" s="1"/>
  <c r="P2674" i="1"/>
  <c r="Q2674" i="1" s="1"/>
  <c r="P2675" i="1"/>
  <c r="Q2675" i="1" s="1"/>
  <c r="P2676" i="1"/>
  <c r="Q2676" i="1" s="1"/>
  <c r="P2677" i="1"/>
  <c r="Q2677" i="1" s="1"/>
  <c r="P2678" i="1"/>
  <c r="Q2678" i="1" s="1"/>
  <c r="P2679" i="1"/>
  <c r="Q2679" i="1" s="1"/>
  <c r="P2680" i="1"/>
  <c r="Q2680" i="1" s="1"/>
  <c r="P2681" i="1"/>
  <c r="Q2681" i="1" s="1"/>
  <c r="P2682" i="1"/>
  <c r="Q2682" i="1" s="1"/>
  <c r="P2683" i="1"/>
  <c r="Q2683" i="1" s="1"/>
  <c r="P2684" i="1"/>
  <c r="Q2684" i="1" s="1"/>
  <c r="P2685" i="1"/>
  <c r="Q2685" i="1" s="1"/>
  <c r="P2686" i="1"/>
  <c r="Q2686" i="1" s="1"/>
  <c r="P2687" i="1"/>
  <c r="Q2687" i="1" s="1"/>
  <c r="P2688" i="1"/>
  <c r="Q2688" i="1" s="1"/>
  <c r="P2689" i="1"/>
  <c r="Q2689" i="1" s="1"/>
  <c r="P2690" i="1"/>
  <c r="Q2690" i="1" s="1"/>
  <c r="P2691" i="1"/>
  <c r="Q2691" i="1" s="1"/>
  <c r="P2692" i="1"/>
  <c r="Q2692" i="1" s="1"/>
  <c r="P2693" i="1"/>
  <c r="Q2693" i="1" s="1"/>
  <c r="P2694" i="1"/>
  <c r="Q2694" i="1" s="1"/>
  <c r="P2695" i="1"/>
  <c r="Q2695" i="1" s="1"/>
  <c r="P2696" i="1"/>
  <c r="Q2696" i="1" s="1"/>
  <c r="P2697" i="1"/>
  <c r="Q2697" i="1" s="1"/>
  <c r="P2698" i="1"/>
  <c r="Q2698" i="1" s="1"/>
  <c r="P2699" i="1"/>
  <c r="Q2699" i="1" s="1"/>
  <c r="P2700" i="1"/>
  <c r="Q2700" i="1" s="1"/>
  <c r="P2701" i="1"/>
  <c r="Q2701" i="1" s="1"/>
  <c r="P2702" i="1"/>
  <c r="Q2702" i="1" s="1"/>
  <c r="P2703" i="1"/>
  <c r="Q2703" i="1" s="1"/>
  <c r="P2704" i="1"/>
  <c r="Q2704" i="1" s="1"/>
  <c r="P2705" i="1"/>
  <c r="Q2705" i="1" s="1"/>
  <c r="P2706" i="1"/>
  <c r="Q2706" i="1" s="1"/>
  <c r="P2707" i="1"/>
  <c r="Q2707" i="1" s="1"/>
  <c r="P2708" i="1"/>
  <c r="Q2708" i="1" s="1"/>
  <c r="P2709" i="1"/>
  <c r="Q2709" i="1" s="1"/>
  <c r="P2710" i="1"/>
  <c r="Q2710" i="1" s="1"/>
  <c r="P2711" i="1"/>
  <c r="Q2711" i="1" s="1"/>
  <c r="P2712" i="1"/>
  <c r="Q2712" i="1" s="1"/>
  <c r="P2713" i="1"/>
  <c r="Q2713" i="1" s="1"/>
  <c r="P2714" i="1"/>
  <c r="Q2714" i="1" s="1"/>
  <c r="P2715" i="1"/>
  <c r="Q2715" i="1" s="1"/>
  <c r="P2716" i="1"/>
  <c r="Q2716" i="1" s="1"/>
  <c r="P2717" i="1"/>
  <c r="Q2717" i="1" s="1"/>
  <c r="P2718" i="1"/>
  <c r="Q2718" i="1" s="1"/>
  <c r="P2719" i="1"/>
  <c r="Q2719" i="1" s="1"/>
  <c r="P2720" i="1"/>
  <c r="Q2720" i="1" s="1"/>
  <c r="P2721" i="1"/>
  <c r="Q2721" i="1" s="1"/>
  <c r="P2722" i="1"/>
  <c r="Q2722" i="1" s="1"/>
  <c r="P2723" i="1"/>
  <c r="Q2723" i="1" s="1"/>
  <c r="P2724" i="1"/>
  <c r="Q2724" i="1" s="1"/>
  <c r="P2725" i="1"/>
  <c r="Q2725" i="1" s="1"/>
  <c r="P2726" i="1"/>
  <c r="Q2726" i="1" s="1"/>
  <c r="P2727" i="1"/>
  <c r="Q2727" i="1" s="1"/>
  <c r="P2728" i="1"/>
  <c r="Q2728" i="1" s="1"/>
  <c r="P2729" i="1"/>
  <c r="Q2729" i="1" s="1"/>
  <c r="P2730" i="1"/>
  <c r="Q2730" i="1" s="1"/>
  <c r="P2731" i="1"/>
  <c r="Q2731" i="1" s="1"/>
  <c r="P2732" i="1"/>
  <c r="Q2732" i="1" s="1"/>
  <c r="P2733" i="1"/>
  <c r="Q2733" i="1" s="1"/>
  <c r="P2734" i="1"/>
  <c r="Q2734" i="1" s="1"/>
  <c r="P2735" i="1"/>
  <c r="Q2735" i="1" s="1"/>
  <c r="P2736" i="1"/>
  <c r="Q2736" i="1" s="1"/>
  <c r="P2737" i="1"/>
  <c r="Q2737" i="1" s="1"/>
  <c r="P2738" i="1"/>
  <c r="Q2738" i="1" s="1"/>
  <c r="P2739" i="1"/>
  <c r="Q2739" i="1" s="1"/>
  <c r="P2740" i="1"/>
  <c r="Q2740" i="1" s="1"/>
  <c r="P2741" i="1"/>
  <c r="Q2741" i="1" s="1"/>
  <c r="P2742" i="1"/>
  <c r="Q2742" i="1" s="1"/>
  <c r="P2743" i="1"/>
  <c r="Q2743" i="1" s="1"/>
  <c r="P2744" i="1"/>
  <c r="Q2744" i="1" s="1"/>
  <c r="P2745" i="1"/>
  <c r="Q2745" i="1" s="1"/>
  <c r="P2746" i="1"/>
  <c r="Q2746" i="1" s="1"/>
  <c r="P2747" i="1"/>
  <c r="Q2747" i="1" s="1"/>
  <c r="P2748" i="1"/>
  <c r="Q2748" i="1" s="1"/>
  <c r="P2749" i="1"/>
  <c r="Q2749" i="1" s="1"/>
  <c r="P2750" i="1"/>
  <c r="Q2750" i="1" s="1"/>
  <c r="P2751" i="1"/>
  <c r="Q2751" i="1" s="1"/>
  <c r="P2752" i="1"/>
  <c r="Q2752" i="1" s="1"/>
  <c r="P2753" i="1"/>
  <c r="Q2753" i="1" s="1"/>
  <c r="P2754" i="1"/>
  <c r="Q2754" i="1" s="1"/>
  <c r="P2755" i="1"/>
  <c r="Q2755" i="1" s="1"/>
  <c r="P2756" i="1"/>
  <c r="Q2756" i="1" s="1"/>
  <c r="P2757" i="1"/>
  <c r="Q2757" i="1" s="1"/>
  <c r="P2758" i="1"/>
  <c r="Q2758" i="1" s="1"/>
  <c r="P2759" i="1"/>
  <c r="Q2759" i="1" s="1"/>
  <c r="P2760" i="1"/>
  <c r="Q2760" i="1" s="1"/>
  <c r="P2761" i="1"/>
  <c r="Q2761" i="1" s="1"/>
  <c r="P2762" i="1"/>
  <c r="Q2762" i="1" s="1"/>
  <c r="P2763" i="1"/>
  <c r="Q2763" i="1" s="1"/>
  <c r="P2764" i="1"/>
  <c r="Q2764" i="1" s="1"/>
  <c r="P2765" i="1"/>
  <c r="Q2765" i="1" s="1"/>
  <c r="P2766" i="1"/>
  <c r="Q2766" i="1" s="1"/>
  <c r="P2767" i="1"/>
  <c r="Q2767" i="1" s="1"/>
  <c r="P2768" i="1"/>
  <c r="Q2768" i="1" s="1"/>
  <c r="P2769" i="1"/>
  <c r="Q2769" i="1" s="1"/>
  <c r="P2770" i="1"/>
  <c r="Q2770" i="1" s="1"/>
  <c r="P2771" i="1"/>
  <c r="Q2771" i="1" s="1"/>
  <c r="P2772" i="1"/>
  <c r="Q2772" i="1" s="1"/>
  <c r="P2773" i="1"/>
  <c r="Q2773" i="1" s="1"/>
  <c r="P2774" i="1"/>
  <c r="Q2774" i="1" s="1"/>
  <c r="P2775" i="1"/>
  <c r="Q2775" i="1" s="1"/>
  <c r="P2776" i="1"/>
  <c r="Q2776" i="1" s="1"/>
  <c r="P2777" i="1"/>
  <c r="Q2777" i="1" s="1"/>
  <c r="P2778" i="1"/>
  <c r="Q2778" i="1" s="1"/>
  <c r="P2779" i="1"/>
  <c r="Q2779" i="1" s="1"/>
  <c r="P2780" i="1"/>
  <c r="Q2780" i="1" s="1"/>
  <c r="P2781" i="1"/>
  <c r="Q2781" i="1" s="1"/>
  <c r="P2782" i="1"/>
  <c r="Q2782" i="1" s="1"/>
  <c r="P2783" i="1"/>
  <c r="Q2783" i="1" s="1"/>
  <c r="P2784" i="1"/>
  <c r="Q2784" i="1" s="1"/>
  <c r="P2785" i="1"/>
  <c r="Q2785" i="1" s="1"/>
  <c r="P2786" i="1"/>
  <c r="Q2786" i="1" s="1"/>
  <c r="P2787" i="1"/>
  <c r="Q2787" i="1" s="1"/>
  <c r="P2788" i="1"/>
  <c r="Q2788" i="1" s="1"/>
  <c r="P2789" i="1"/>
  <c r="Q2789" i="1" s="1"/>
  <c r="P2790" i="1"/>
  <c r="Q2790" i="1" s="1"/>
  <c r="P2791" i="1"/>
  <c r="Q2791" i="1" s="1"/>
  <c r="P2792" i="1"/>
  <c r="Q2792" i="1" s="1"/>
  <c r="P2793" i="1"/>
  <c r="Q2793" i="1" s="1"/>
  <c r="P2794" i="1"/>
  <c r="Q2794" i="1" s="1"/>
  <c r="P2795" i="1"/>
  <c r="Q2795" i="1" s="1"/>
  <c r="P2796" i="1"/>
  <c r="Q2796" i="1" s="1"/>
  <c r="P2797" i="1"/>
  <c r="Q2797" i="1" s="1"/>
  <c r="P2798" i="1"/>
  <c r="Q2798" i="1" s="1"/>
  <c r="P2799" i="1"/>
  <c r="Q2799" i="1" s="1"/>
  <c r="P2800" i="1"/>
  <c r="Q2800" i="1" s="1"/>
  <c r="P2801" i="1"/>
  <c r="Q2801" i="1" s="1"/>
  <c r="P2802" i="1"/>
  <c r="Q2802" i="1" s="1"/>
  <c r="P2803" i="1"/>
  <c r="Q2803" i="1" s="1"/>
  <c r="P2804" i="1"/>
  <c r="Q2804" i="1" s="1"/>
  <c r="P2805" i="1"/>
  <c r="Q2805" i="1" s="1"/>
  <c r="P2806" i="1"/>
  <c r="Q2806" i="1" s="1"/>
  <c r="P2807" i="1"/>
  <c r="Q2807" i="1" s="1"/>
  <c r="P2808" i="1"/>
  <c r="Q2808" i="1" s="1"/>
  <c r="P2809" i="1"/>
  <c r="Q2809" i="1" s="1"/>
  <c r="P2810" i="1"/>
  <c r="Q2810" i="1" s="1"/>
  <c r="P2811" i="1"/>
  <c r="Q2811" i="1" s="1"/>
  <c r="P2812" i="1"/>
  <c r="Q2812" i="1" s="1"/>
  <c r="P2813" i="1"/>
  <c r="Q2813" i="1" s="1"/>
  <c r="P2814" i="1"/>
  <c r="Q2814" i="1" s="1"/>
  <c r="P2815" i="1"/>
  <c r="Q2815" i="1" s="1"/>
  <c r="P2816" i="1"/>
  <c r="Q2816" i="1" s="1"/>
  <c r="P2817" i="1"/>
  <c r="Q2817" i="1" s="1"/>
  <c r="P2818" i="1"/>
  <c r="Q2818" i="1" s="1"/>
  <c r="P2819" i="1"/>
  <c r="Q2819" i="1" s="1"/>
  <c r="P2820" i="1"/>
  <c r="Q2820" i="1" s="1"/>
  <c r="P2821" i="1"/>
  <c r="Q2821" i="1" s="1"/>
  <c r="P2822" i="1"/>
  <c r="Q2822" i="1" s="1"/>
  <c r="P2823" i="1"/>
  <c r="Q2823" i="1" s="1"/>
  <c r="P2824" i="1"/>
  <c r="Q2824" i="1" s="1"/>
  <c r="P2825" i="1"/>
  <c r="Q2825" i="1" s="1"/>
  <c r="P2826" i="1"/>
  <c r="Q2826" i="1" s="1"/>
  <c r="P2827" i="1"/>
  <c r="Q2827" i="1" s="1"/>
  <c r="P2828" i="1"/>
  <c r="Q2828" i="1" s="1"/>
  <c r="P2829" i="1"/>
  <c r="Q2829" i="1" s="1"/>
  <c r="P2830" i="1"/>
  <c r="Q2830" i="1" s="1"/>
  <c r="P2831" i="1"/>
  <c r="Q2831" i="1" s="1"/>
  <c r="P2832" i="1"/>
  <c r="Q2832" i="1" s="1"/>
  <c r="P2833" i="1"/>
  <c r="Q2833" i="1" s="1"/>
  <c r="P2834" i="1"/>
  <c r="Q2834" i="1" s="1"/>
  <c r="P2835" i="1"/>
  <c r="Q2835" i="1" s="1"/>
  <c r="P2836" i="1"/>
  <c r="Q2836" i="1" s="1"/>
  <c r="P2837" i="1"/>
  <c r="Q2837" i="1" s="1"/>
  <c r="P2838" i="1"/>
  <c r="Q2838" i="1" s="1"/>
  <c r="P2839" i="1"/>
  <c r="Q2839" i="1" s="1"/>
  <c r="P2840" i="1"/>
  <c r="Q2840" i="1" s="1"/>
  <c r="P2841" i="1"/>
  <c r="Q2841" i="1" s="1"/>
  <c r="P2842" i="1"/>
  <c r="Q2842" i="1" s="1"/>
  <c r="P2843" i="1"/>
  <c r="Q2843" i="1" s="1"/>
  <c r="P2844" i="1"/>
  <c r="Q2844" i="1" s="1"/>
  <c r="P2845" i="1"/>
  <c r="Q2845" i="1" s="1"/>
  <c r="P2846" i="1"/>
  <c r="Q2846" i="1" s="1"/>
  <c r="P2847" i="1"/>
  <c r="Q2847" i="1" s="1"/>
  <c r="P2848" i="1"/>
  <c r="Q2848" i="1" s="1"/>
  <c r="P2849" i="1"/>
  <c r="Q2849" i="1" s="1"/>
  <c r="P2850" i="1"/>
  <c r="Q2850" i="1" s="1"/>
  <c r="P2851" i="1"/>
  <c r="Q2851" i="1" s="1"/>
  <c r="P2852" i="1"/>
  <c r="Q2852" i="1" s="1"/>
  <c r="P2853" i="1"/>
  <c r="Q2853" i="1" s="1"/>
  <c r="P2854" i="1"/>
  <c r="Q2854" i="1" s="1"/>
  <c r="P2855" i="1"/>
  <c r="Q2855" i="1" s="1"/>
  <c r="P2856" i="1"/>
  <c r="Q2856" i="1" s="1"/>
  <c r="P2857" i="1"/>
  <c r="Q2857" i="1" s="1"/>
  <c r="P2858" i="1"/>
  <c r="Q2858" i="1" s="1"/>
  <c r="P2859" i="1"/>
  <c r="Q2859" i="1" s="1"/>
  <c r="P2860" i="1"/>
  <c r="Q2860" i="1" s="1"/>
  <c r="P2861" i="1"/>
  <c r="Q2861" i="1" s="1"/>
  <c r="P2862" i="1"/>
  <c r="Q2862" i="1" s="1"/>
  <c r="P2863" i="1"/>
  <c r="Q2863" i="1" s="1"/>
  <c r="P2864" i="1"/>
  <c r="Q2864" i="1" s="1"/>
  <c r="P2865" i="1"/>
  <c r="Q2865" i="1" s="1"/>
  <c r="P2866" i="1"/>
  <c r="Q2866" i="1" s="1"/>
  <c r="P2867" i="1"/>
  <c r="Q2867" i="1" s="1"/>
  <c r="P2868" i="1"/>
  <c r="Q2868" i="1" s="1"/>
  <c r="P2869" i="1"/>
  <c r="Q2869" i="1" s="1"/>
  <c r="P2870" i="1"/>
  <c r="Q2870" i="1" s="1"/>
  <c r="P2871" i="1"/>
  <c r="Q2871" i="1" s="1"/>
  <c r="P2872" i="1"/>
  <c r="Q2872" i="1" s="1"/>
  <c r="P2873" i="1"/>
  <c r="Q2873" i="1" s="1"/>
  <c r="P2874" i="1"/>
  <c r="Q2874" i="1" s="1"/>
  <c r="P2875" i="1"/>
  <c r="Q2875" i="1" s="1"/>
  <c r="P2876" i="1"/>
  <c r="Q2876" i="1" s="1"/>
  <c r="P2877" i="1"/>
  <c r="Q2877" i="1" s="1"/>
  <c r="P2878" i="1"/>
  <c r="Q2878" i="1" s="1"/>
  <c r="P2879" i="1"/>
  <c r="Q2879" i="1" s="1"/>
  <c r="P2880" i="1"/>
  <c r="Q2880" i="1" s="1"/>
  <c r="P2881" i="1"/>
  <c r="Q2881" i="1" s="1"/>
  <c r="P2882" i="1"/>
  <c r="Q2882" i="1" s="1"/>
  <c r="P2883" i="1"/>
  <c r="Q2883" i="1" s="1"/>
  <c r="P2884" i="1"/>
  <c r="Q2884" i="1" s="1"/>
  <c r="P2885" i="1"/>
  <c r="Q2885" i="1" s="1"/>
  <c r="P2886" i="1"/>
  <c r="Q2886" i="1" s="1"/>
  <c r="P2887" i="1"/>
  <c r="Q2887" i="1" s="1"/>
  <c r="P2888" i="1"/>
  <c r="Q2888" i="1" s="1"/>
  <c r="P2889" i="1"/>
  <c r="Q2889" i="1" s="1"/>
  <c r="P2890" i="1"/>
  <c r="Q2890" i="1" s="1"/>
  <c r="P2891" i="1"/>
  <c r="Q2891" i="1" s="1"/>
  <c r="P2892" i="1"/>
  <c r="Q2892" i="1" s="1"/>
  <c r="P2893" i="1"/>
  <c r="Q2893" i="1" s="1"/>
  <c r="P2894" i="1"/>
  <c r="Q2894" i="1" s="1"/>
  <c r="P2895" i="1"/>
  <c r="Q2895" i="1" s="1"/>
  <c r="P2896" i="1"/>
  <c r="Q2896" i="1" s="1"/>
  <c r="P2897" i="1"/>
  <c r="Q2897" i="1" s="1"/>
  <c r="P2898" i="1"/>
  <c r="Q2898" i="1" s="1"/>
  <c r="P2899" i="1"/>
  <c r="Q2899" i="1" s="1"/>
  <c r="P2900" i="1"/>
  <c r="Q2900" i="1" s="1"/>
  <c r="P2901" i="1"/>
  <c r="Q2901" i="1" s="1"/>
  <c r="P2902" i="1"/>
  <c r="Q2902" i="1" s="1"/>
  <c r="P2903" i="1"/>
  <c r="Q2903" i="1" s="1"/>
  <c r="P2904" i="1"/>
  <c r="Q2904" i="1" s="1"/>
  <c r="P2905" i="1"/>
  <c r="Q2905" i="1" s="1"/>
  <c r="P2906" i="1"/>
  <c r="Q2906" i="1" s="1"/>
  <c r="P2907" i="1"/>
  <c r="Q2907" i="1" s="1"/>
  <c r="P2908" i="1"/>
  <c r="Q2908" i="1" s="1"/>
  <c r="P2909" i="1"/>
  <c r="Q2909" i="1" s="1"/>
  <c r="P2910" i="1"/>
  <c r="Q2910" i="1" s="1"/>
  <c r="P2911" i="1"/>
  <c r="Q2911" i="1" s="1"/>
  <c r="P2912" i="1"/>
  <c r="Q2912" i="1" s="1"/>
  <c r="P2913" i="1"/>
  <c r="Q2913" i="1" s="1"/>
  <c r="P2914" i="1"/>
  <c r="Q2914" i="1" s="1"/>
  <c r="P2915" i="1"/>
  <c r="Q2915" i="1" s="1"/>
  <c r="P2916" i="1"/>
  <c r="Q2916" i="1" s="1"/>
  <c r="P2917" i="1"/>
  <c r="Q2917" i="1" s="1"/>
  <c r="P2918" i="1"/>
  <c r="Q2918" i="1" s="1"/>
  <c r="P2919" i="1"/>
  <c r="Q2919" i="1" s="1"/>
  <c r="P2920" i="1"/>
  <c r="Q2920" i="1" s="1"/>
  <c r="P2921" i="1"/>
  <c r="Q2921" i="1" s="1"/>
  <c r="P2922" i="1"/>
  <c r="Q2922" i="1" s="1"/>
  <c r="P2923" i="1"/>
  <c r="Q2923" i="1" s="1"/>
  <c r="P2924" i="1"/>
  <c r="Q2924" i="1" s="1"/>
  <c r="P2925" i="1"/>
  <c r="Q2925" i="1" s="1"/>
  <c r="P2926" i="1"/>
  <c r="Q2926" i="1" s="1"/>
  <c r="P2927" i="1"/>
  <c r="Q2927" i="1" s="1"/>
  <c r="P2928" i="1"/>
  <c r="Q2928" i="1" s="1"/>
  <c r="P2929" i="1"/>
  <c r="Q2929" i="1" s="1"/>
  <c r="P2930" i="1"/>
  <c r="Q2930" i="1" s="1"/>
  <c r="P2931" i="1"/>
  <c r="Q2931" i="1" s="1"/>
  <c r="P2932" i="1"/>
  <c r="Q2932" i="1" s="1"/>
  <c r="P2933" i="1"/>
  <c r="Q2933" i="1" s="1"/>
  <c r="P2934" i="1"/>
  <c r="Q2934" i="1" s="1"/>
  <c r="P2935" i="1"/>
  <c r="Q2935" i="1" s="1"/>
  <c r="P2936" i="1"/>
  <c r="Q2936" i="1" s="1"/>
  <c r="P2937" i="1"/>
  <c r="Q2937" i="1" s="1"/>
  <c r="P2938" i="1"/>
  <c r="Q2938" i="1" s="1"/>
  <c r="P2939" i="1"/>
  <c r="Q2939" i="1" s="1"/>
  <c r="P2940" i="1"/>
  <c r="Q2940" i="1" s="1"/>
  <c r="P2941" i="1"/>
  <c r="Q2941" i="1" s="1"/>
  <c r="P2942" i="1"/>
  <c r="Q2942" i="1" s="1"/>
  <c r="P2943" i="1"/>
  <c r="Q2943" i="1" s="1"/>
  <c r="P2944" i="1"/>
  <c r="Q2944" i="1" s="1"/>
  <c r="P2945" i="1"/>
  <c r="Q2945" i="1" s="1"/>
  <c r="P2946" i="1"/>
  <c r="Q2946" i="1" s="1"/>
  <c r="P2947" i="1"/>
  <c r="Q2947" i="1" s="1"/>
  <c r="P2948" i="1"/>
  <c r="Q2948" i="1" s="1"/>
  <c r="P2949" i="1"/>
  <c r="Q2949" i="1" s="1"/>
  <c r="P2950" i="1"/>
  <c r="Q2950" i="1" s="1"/>
  <c r="P2951" i="1"/>
  <c r="Q2951" i="1" s="1"/>
  <c r="P2952" i="1"/>
  <c r="Q2952" i="1" s="1"/>
  <c r="P2953" i="1"/>
  <c r="Q2953" i="1" s="1"/>
  <c r="P2954" i="1"/>
  <c r="Q2954" i="1" s="1"/>
  <c r="P2955" i="1"/>
  <c r="Q2955" i="1" s="1"/>
  <c r="P2956" i="1"/>
  <c r="Q2956" i="1" s="1"/>
  <c r="P2957" i="1"/>
  <c r="Q2957" i="1" s="1"/>
  <c r="P2958" i="1"/>
  <c r="Q2958" i="1" s="1"/>
  <c r="P2959" i="1"/>
  <c r="Q2959" i="1" s="1"/>
  <c r="P2960" i="1"/>
  <c r="Q2960" i="1" s="1"/>
  <c r="P2961" i="1"/>
  <c r="Q2961" i="1" s="1"/>
  <c r="P2962" i="1"/>
  <c r="Q2962" i="1" s="1"/>
  <c r="P2963" i="1"/>
  <c r="Q2963" i="1" s="1"/>
  <c r="P2964" i="1"/>
  <c r="Q2964" i="1" s="1"/>
  <c r="P2965" i="1"/>
  <c r="Q2965" i="1" s="1"/>
  <c r="P2966" i="1"/>
  <c r="Q2966" i="1" s="1"/>
  <c r="P2967" i="1"/>
  <c r="Q2967" i="1" s="1"/>
  <c r="P2968" i="1"/>
  <c r="Q2968" i="1" s="1"/>
  <c r="P2969" i="1"/>
  <c r="Q2969" i="1" s="1"/>
  <c r="P2970" i="1"/>
  <c r="Q2970" i="1" s="1"/>
  <c r="P2971" i="1"/>
  <c r="Q2971" i="1" s="1"/>
  <c r="P2972" i="1"/>
  <c r="Q2972" i="1" s="1"/>
  <c r="P2973" i="1"/>
  <c r="Q2973" i="1" s="1"/>
  <c r="P2974" i="1"/>
  <c r="Q2974" i="1" s="1"/>
  <c r="P2975" i="1"/>
  <c r="Q2975" i="1" s="1"/>
  <c r="P2976" i="1"/>
  <c r="Q2976" i="1" s="1"/>
  <c r="P2977" i="1"/>
  <c r="Q2977" i="1" s="1"/>
  <c r="P2978" i="1"/>
  <c r="Q2978" i="1" s="1"/>
  <c r="P2979" i="1"/>
  <c r="Q2979" i="1" s="1"/>
  <c r="P2980" i="1"/>
  <c r="Q2980" i="1" s="1"/>
  <c r="P2981" i="1"/>
  <c r="Q2981" i="1" s="1"/>
  <c r="P2982" i="1"/>
  <c r="Q2982" i="1" s="1"/>
  <c r="P2983" i="1"/>
  <c r="Q2983" i="1" s="1"/>
  <c r="P2984" i="1"/>
  <c r="Q2984" i="1" s="1"/>
  <c r="P2985" i="1"/>
  <c r="Q2985" i="1" s="1"/>
  <c r="P2986" i="1"/>
  <c r="Q2986" i="1" s="1"/>
  <c r="P2987" i="1"/>
  <c r="Q2987" i="1" s="1"/>
  <c r="P2988" i="1"/>
  <c r="Q2988" i="1" s="1"/>
  <c r="P2989" i="1"/>
  <c r="Q2989" i="1" s="1"/>
  <c r="P2990" i="1"/>
  <c r="Q2990" i="1" s="1"/>
  <c r="P2991" i="1"/>
  <c r="Q2991" i="1" s="1"/>
  <c r="P2992" i="1"/>
  <c r="Q2992" i="1" s="1"/>
  <c r="P2993" i="1"/>
  <c r="Q2993" i="1" s="1"/>
  <c r="P2994" i="1"/>
  <c r="Q2994" i="1" s="1"/>
  <c r="P2995" i="1"/>
  <c r="Q2995" i="1" s="1"/>
  <c r="P2996" i="1"/>
  <c r="Q2996" i="1" s="1"/>
  <c r="P2997" i="1"/>
  <c r="Q2997" i="1" s="1"/>
  <c r="P2998" i="1"/>
  <c r="Q2998" i="1" s="1"/>
  <c r="P2999" i="1"/>
  <c r="Q2999" i="1" s="1"/>
  <c r="P3000" i="1"/>
  <c r="Q3000" i="1" s="1"/>
  <c r="P3001" i="1"/>
  <c r="Q3001" i="1" s="1"/>
  <c r="P3002" i="1"/>
  <c r="Q3002" i="1" s="1"/>
  <c r="P3003" i="1"/>
  <c r="Q3003" i="1" s="1"/>
  <c r="P3004" i="1"/>
  <c r="Q3004" i="1" s="1"/>
  <c r="P3005" i="1"/>
  <c r="Q3005" i="1" s="1"/>
  <c r="P3006" i="1"/>
  <c r="Q3006" i="1" s="1"/>
  <c r="P3007" i="1"/>
  <c r="Q3007" i="1" s="1"/>
  <c r="P3008" i="1"/>
  <c r="Q3008" i="1" s="1"/>
  <c r="P3009" i="1"/>
  <c r="Q3009" i="1" s="1"/>
  <c r="P3010" i="1"/>
  <c r="Q3010" i="1" s="1"/>
  <c r="P3011" i="1"/>
  <c r="Q3011" i="1" s="1"/>
  <c r="P3012" i="1"/>
  <c r="Q3012" i="1" s="1"/>
  <c r="P3013" i="1"/>
  <c r="Q3013" i="1" s="1"/>
  <c r="P3014" i="1"/>
  <c r="Q3014" i="1" s="1"/>
  <c r="P3015" i="1"/>
  <c r="Q3015" i="1" s="1"/>
  <c r="P3016" i="1"/>
  <c r="Q3016" i="1" s="1"/>
  <c r="P3017" i="1"/>
  <c r="Q3017" i="1" s="1"/>
  <c r="P3018" i="1"/>
  <c r="Q3018" i="1" s="1"/>
  <c r="P3019" i="1"/>
  <c r="Q3019" i="1" s="1"/>
  <c r="P3020" i="1"/>
  <c r="Q3020" i="1" s="1"/>
  <c r="P3021" i="1"/>
  <c r="Q3021" i="1" s="1"/>
  <c r="P3022" i="1"/>
  <c r="Q3022" i="1" s="1"/>
  <c r="P3023" i="1"/>
  <c r="Q3023" i="1" s="1"/>
  <c r="P3024" i="1"/>
  <c r="Q3024" i="1" s="1"/>
  <c r="P3025" i="1"/>
  <c r="Q3025" i="1" s="1"/>
  <c r="P3026" i="1"/>
  <c r="Q3026" i="1" s="1"/>
  <c r="P3027" i="1"/>
  <c r="Q3027" i="1" s="1"/>
  <c r="P3028" i="1"/>
  <c r="Q3028" i="1" s="1"/>
  <c r="P3029" i="1"/>
  <c r="Q3029" i="1" s="1"/>
  <c r="P3030" i="1"/>
  <c r="Q3030" i="1" s="1"/>
  <c r="P3031" i="1"/>
  <c r="Q3031" i="1" s="1"/>
  <c r="P3032" i="1"/>
  <c r="Q3032" i="1" s="1"/>
  <c r="P3033" i="1"/>
  <c r="Q3033" i="1" s="1"/>
  <c r="P3034" i="1"/>
  <c r="Q3034" i="1" s="1"/>
  <c r="P3035" i="1"/>
  <c r="Q3035" i="1" s="1"/>
  <c r="P3036" i="1"/>
  <c r="Q3036" i="1" s="1"/>
  <c r="P3037" i="1"/>
  <c r="Q3037" i="1" s="1"/>
  <c r="P3038" i="1"/>
  <c r="Q3038" i="1" s="1"/>
  <c r="P3039" i="1"/>
  <c r="Q3039" i="1" s="1"/>
  <c r="P3040" i="1"/>
  <c r="Q3040" i="1" s="1"/>
  <c r="P3041" i="1"/>
  <c r="Q3041" i="1" s="1"/>
  <c r="P3042" i="1"/>
  <c r="Q3042" i="1" s="1"/>
  <c r="P3043" i="1"/>
  <c r="Q3043" i="1" s="1"/>
  <c r="P3044" i="1"/>
  <c r="Q3044" i="1" s="1"/>
  <c r="P3045" i="1"/>
  <c r="Q3045" i="1" s="1"/>
  <c r="P3046" i="1"/>
  <c r="Q3046" i="1" s="1"/>
  <c r="P3047" i="1"/>
  <c r="Q3047" i="1" s="1"/>
  <c r="P3048" i="1"/>
  <c r="Q3048" i="1" s="1"/>
  <c r="P3049" i="1"/>
  <c r="Q3049" i="1" s="1"/>
  <c r="P3050" i="1"/>
  <c r="Q3050" i="1" s="1"/>
  <c r="P3051" i="1"/>
  <c r="Q3051" i="1" s="1"/>
  <c r="P3052" i="1"/>
  <c r="Q3052" i="1" s="1"/>
  <c r="P3053" i="1"/>
  <c r="Q3053" i="1" s="1"/>
  <c r="P3054" i="1"/>
  <c r="Q3054" i="1" s="1"/>
  <c r="P3055" i="1"/>
  <c r="Q3055" i="1" s="1"/>
  <c r="P3056" i="1"/>
  <c r="Q3056" i="1" s="1"/>
  <c r="P3057" i="1"/>
  <c r="Q3057" i="1" s="1"/>
  <c r="P3058" i="1"/>
  <c r="Q3058" i="1" s="1"/>
  <c r="P3059" i="1"/>
  <c r="Q3059" i="1" s="1"/>
  <c r="P3060" i="1"/>
  <c r="Q3060" i="1" s="1"/>
  <c r="P3061" i="1"/>
  <c r="Q3061" i="1" s="1"/>
  <c r="P3062" i="1"/>
  <c r="Q3062" i="1" s="1"/>
  <c r="P3063" i="1"/>
  <c r="Q3063" i="1" s="1"/>
  <c r="P3064" i="1"/>
  <c r="Q3064" i="1" s="1"/>
  <c r="P3065" i="1"/>
  <c r="Q3065" i="1" s="1"/>
  <c r="P3066" i="1"/>
  <c r="Q3066" i="1" s="1"/>
  <c r="P3067" i="1"/>
  <c r="Q3067" i="1" s="1"/>
  <c r="P3068" i="1"/>
  <c r="Q3068" i="1" s="1"/>
  <c r="P3069" i="1"/>
  <c r="Q3069" i="1" s="1"/>
  <c r="P3070" i="1"/>
  <c r="Q3070" i="1" s="1"/>
  <c r="P3071" i="1"/>
  <c r="Q3071" i="1" s="1"/>
  <c r="P3072" i="1"/>
  <c r="Q3072" i="1" s="1"/>
  <c r="P3073" i="1"/>
  <c r="Q3073" i="1" s="1"/>
  <c r="P3074" i="1"/>
  <c r="Q3074" i="1" s="1"/>
  <c r="P3075" i="1"/>
  <c r="Q3075" i="1" s="1"/>
  <c r="P3076" i="1"/>
  <c r="Q3076" i="1" s="1"/>
  <c r="P3077" i="1"/>
  <c r="Q3077" i="1" s="1"/>
  <c r="P3078" i="1"/>
  <c r="Q3078" i="1" s="1"/>
  <c r="P3079" i="1"/>
  <c r="Q3079" i="1" s="1"/>
  <c r="P3080" i="1"/>
  <c r="Q3080" i="1" s="1"/>
  <c r="P3081" i="1"/>
  <c r="Q3081" i="1" s="1"/>
  <c r="P3082" i="1"/>
  <c r="Q3082" i="1" s="1"/>
  <c r="P3083" i="1"/>
  <c r="Q3083" i="1" s="1"/>
  <c r="P3084" i="1"/>
  <c r="Q3084" i="1" s="1"/>
  <c r="P3085" i="1"/>
  <c r="Q3085" i="1" s="1"/>
  <c r="P3086" i="1"/>
  <c r="Q3086" i="1" s="1"/>
  <c r="P3087" i="1"/>
  <c r="Q3087" i="1" s="1"/>
  <c r="P3088" i="1"/>
  <c r="Q3088" i="1" s="1"/>
  <c r="P3089" i="1"/>
  <c r="Q3089" i="1" s="1"/>
  <c r="P3090" i="1"/>
  <c r="Q3090" i="1" s="1"/>
  <c r="P3091" i="1"/>
  <c r="Q3091" i="1" s="1"/>
  <c r="P3092" i="1"/>
  <c r="Q3092" i="1" s="1"/>
  <c r="P3093" i="1"/>
  <c r="Q3093" i="1" s="1"/>
  <c r="P3094" i="1"/>
  <c r="Q3094" i="1" s="1"/>
  <c r="P3095" i="1"/>
  <c r="Q3095" i="1" s="1"/>
  <c r="P3096" i="1"/>
  <c r="Q3096" i="1" s="1"/>
  <c r="P3097" i="1"/>
  <c r="Q3097" i="1" s="1"/>
  <c r="P3098" i="1"/>
  <c r="Q3098" i="1" s="1"/>
  <c r="P3099" i="1"/>
  <c r="Q3099" i="1" s="1"/>
  <c r="P3100" i="1"/>
  <c r="Q3100" i="1" s="1"/>
  <c r="P3101" i="1"/>
  <c r="Q3101" i="1" s="1"/>
  <c r="P3102" i="1"/>
  <c r="Q3102" i="1" s="1"/>
  <c r="P3103" i="1"/>
  <c r="Q3103" i="1" s="1"/>
  <c r="P3104" i="1"/>
  <c r="Q3104" i="1" s="1"/>
  <c r="P3105" i="1"/>
  <c r="Q3105" i="1" s="1"/>
  <c r="P3106" i="1"/>
  <c r="Q3106" i="1" s="1"/>
  <c r="P3107" i="1"/>
  <c r="Q3107" i="1" s="1"/>
  <c r="P3108" i="1"/>
  <c r="Q3108" i="1" s="1"/>
  <c r="P3109" i="1"/>
  <c r="Q3109" i="1" s="1"/>
  <c r="P3110" i="1"/>
  <c r="Q3110" i="1" s="1"/>
  <c r="P3111" i="1"/>
  <c r="Q3111" i="1" s="1"/>
  <c r="P3112" i="1"/>
  <c r="Q3112" i="1" s="1"/>
  <c r="P3113" i="1"/>
  <c r="Q3113" i="1" s="1"/>
  <c r="P3114" i="1"/>
  <c r="Q3114" i="1" s="1"/>
  <c r="P3115" i="1"/>
  <c r="Q3115" i="1" s="1"/>
  <c r="P3116" i="1"/>
  <c r="Q3116" i="1" s="1"/>
  <c r="P3117" i="1"/>
  <c r="Q3117" i="1" s="1"/>
  <c r="P3118" i="1"/>
  <c r="Q3118" i="1" s="1"/>
  <c r="P3119" i="1"/>
  <c r="Q3119" i="1" s="1"/>
  <c r="P3120" i="1"/>
  <c r="Q3120" i="1" s="1"/>
  <c r="P3121" i="1"/>
  <c r="Q3121" i="1" s="1"/>
  <c r="P3122" i="1"/>
  <c r="Q3122" i="1" s="1"/>
  <c r="P3123" i="1"/>
  <c r="Q3123" i="1" s="1"/>
  <c r="P3124" i="1"/>
  <c r="Q3124" i="1" s="1"/>
  <c r="P3125" i="1"/>
  <c r="Q3125" i="1" s="1"/>
  <c r="P3126" i="1"/>
  <c r="Q3126" i="1" s="1"/>
  <c r="P3127" i="1"/>
  <c r="Q3127" i="1" s="1"/>
  <c r="P3128" i="1"/>
  <c r="Q3128" i="1" s="1"/>
  <c r="P3129" i="1"/>
  <c r="Q3129" i="1" s="1"/>
  <c r="P3130" i="1"/>
  <c r="Q3130" i="1" s="1"/>
  <c r="P3131" i="1"/>
  <c r="Q3131" i="1" s="1"/>
  <c r="P3132" i="1"/>
  <c r="Q3132" i="1" s="1"/>
  <c r="P3133" i="1"/>
  <c r="Q3133" i="1" s="1"/>
  <c r="P3134" i="1"/>
  <c r="Q3134" i="1" s="1"/>
  <c r="P3135" i="1"/>
  <c r="Q3135" i="1" s="1"/>
  <c r="P3136" i="1"/>
  <c r="Q3136" i="1" s="1"/>
  <c r="P3137" i="1"/>
  <c r="Q3137" i="1" s="1"/>
  <c r="P3138" i="1"/>
  <c r="Q3138" i="1" s="1"/>
  <c r="P3139" i="1"/>
  <c r="Q3139" i="1" s="1"/>
  <c r="P3140" i="1"/>
  <c r="Q3140" i="1" s="1"/>
  <c r="P3141" i="1"/>
  <c r="Q3141" i="1" s="1"/>
  <c r="P3142" i="1"/>
  <c r="Q3142" i="1" s="1"/>
  <c r="P3143" i="1"/>
  <c r="Q3143" i="1" s="1"/>
  <c r="P3144" i="1"/>
  <c r="Q3144" i="1" s="1"/>
  <c r="P3145" i="1"/>
  <c r="Q3145" i="1" s="1"/>
  <c r="P3146" i="1"/>
  <c r="Q3146" i="1" s="1"/>
  <c r="P3147" i="1"/>
  <c r="Q3147" i="1" s="1"/>
  <c r="P3148" i="1"/>
  <c r="Q3148" i="1" s="1"/>
  <c r="P3149" i="1"/>
  <c r="Q3149" i="1" s="1"/>
  <c r="P3150" i="1"/>
  <c r="Q3150" i="1" s="1"/>
  <c r="P3151" i="1"/>
  <c r="Q3151" i="1" s="1"/>
</calcChain>
</file>

<file path=xl/sharedStrings.xml><?xml version="1.0" encoding="utf-8"?>
<sst xmlns="http://schemas.openxmlformats.org/spreadsheetml/2006/main" count="3193" uniqueCount="3179">
  <si>
    <t>Call  Failure</t>
  </si>
  <si>
    <t>Complains</t>
  </si>
  <si>
    <t>Subscription  Length</t>
  </si>
  <si>
    <t>Charge  Amount</t>
  </si>
  <si>
    <t>Seconds of Use</t>
  </si>
  <si>
    <t>Frequency of use</t>
  </si>
  <si>
    <t>Frequency of SMS</t>
  </si>
  <si>
    <t>Distinct Called Numbers</t>
  </si>
  <si>
    <t>Age Group</t>
  </si>
  <si>
    <t>Tariff Plan</t>
  </si>
  <si>
    <t>Status</t>
  </si>
  <si>
    <t>Age</t>
  </si>
  <si>
    <t>Customer Value</t>
  </si>
  <si>
    <t>Churn</t>
  </si>
  <si>
    <t>CustomerID</t>
  </si>
  <si>
    <t>Fraud_Score</t>
  </si>
  <si>
    <t>Risk_Caregory</t>
  </si>
  <si>
    <t>Revenue_Efficiency</t>
  </si>
  <si>
    <t>Row Labels</t>
  </si>
  <si>
    <t>High Risk</t>
  </si>
  <si>
    <t>Low Risk</t>
  </si>
  <si>
    <t>Medium Risk</t>
  </si>
  <si>
    <t>Grand Total</t>
  </si>
  <si>
    <t>ID-1</t>
  </si>
  <si>
    <t>ID-2</t>
  </si>
  <si>
    <t>ID-3</t>
  </si>
  <si>
    <t>ID-4</t>
  </si>
  <si>
    <t>ID-5</t>
  </si>
  <si>
    <t>ID-6</t>
  </si>
  <si>
    <t>ID-7</t>
  </si>
  <si>
    <t>ID-8</t>
  </si>
  <si>
    <t>ID-9</t>
  </si>
  <si>
    <t>ID-10</t>
  </si>
  <si>
    <t>ID-11</t>
  </si>
  <si>
    <t>ID-12</t>
  </si>
  <si>
    <t>ID-13</t>
  </si>
  <si>
    <t>ID-14</t>
  </si>
  <si>
    <t>ID-15</t>
  </si>
  <si>
    <t>ID-16</t>
  </si>
  <si>
    <t>ID-17</t>
  </si>
  <si>
    <t>ID-18</t>
  </si>
  <si>
    <t>ID-19</t>
  </si>
  <si>
    <t>ID-20</t>
  </si>
  <si>
    <t>ID-21</t>
  </si>
  <si>
    <t>ID-22</t>
  </si>
  <si>
    <t>ID-23</t>
  </si>
  <si>
    <t>ID-24</t>
  </si>
  <si>
    <t>ID-25</t>
  </si>
  <si>
    <t>ID-26</t>
  </si>
  <si>
    <t>ID-27</t>
  </si>
  <si>
    <t>ID-28</t>
  </si>
  <si>
    <t>ID-29</t>
  </si>
  <si>
    <t>ID-30</t>
  </si>
  <si>
    <t>ID-31</t>
  </si>
  <si>
    <t>ID-32</t>
  </si>
  <si>
    <t>ID-33</t>
  </si>
  <si>
    <t>ID-34</t>
  </si>
  <si>
    <t>ID-35</t>
  </si>
  <si>
    <t>ID-36</t>
  </si>
  <si>
    <t>ID-37</t>
  </si>
  <si>
    <t>ID-38</t>
  </si>
  <si>
    <t>ID-39</t>
  </si>
  <si>
    <t>ID-40</t>
  </si>
  <si>
    <t>ID-41</t>
  </si>
  <si>
    <t>ID-42</t>
  </si>
  <si>
    <t>ID-43</t>
  </si>
  <si>
    <t>ID-44</t>
  </si>
  <si>
    <t>ID-45</t>
  </si>
  <si>
    <t>ID-46</t>
  </si>
  <si>
    <t>ID-47</t>
  </si>
  <si>
    <t>ID-48</t>
  </si>
  <si>
    <t>ID-49</t>
  </si>
  <si>
    <t>ID-50</t>
  </si>
  <si>
    <t>ID-51</t>
  </si>
  <si>
    <t>ID-52</t>
  </si>
  <si>
    <t>ID-53</t>
  </si>
  <si>
    <t>ID-54</t>
  </si>
  <si>
    <t>ID-55</t>
  </si>
  <si>
    <t>ID-56</t>
  </si>
  <si>
    <t>ID-57</t>
  </si>
  <si>
    <t>ID-58</t>
  </si>
  <si>
    <t>ID-59</t>
  </si>
  <si>
    <t>ID-60</t>
  </si>
  <si>
    <t>ID-61</t>
  </si>
  <si>
    <t>ID-62</t>
  </si>
  <si>
    <t>ID-63</t>
  </si>
  <si>
    <t>ID-64</t>
  </si>
  <si>
    <t>ID-65</t>
  </si>
  <si>
    <t>ID-66</t>
  </si>
  <si>
    <t>ID-67</t>
  </si>
  <si>
    <t>ID-68</t>
  </si>
  <si>
    <t>ID-69</t>
  </si>
  <si>
    <t>ID-70</t>
  </si>
  <si>
    <t>ID-71</t>
  </si>
  <si>
    <t>ID-72</t>
  </si>
  <si>
    <t>ID-73</t>
  </si>
  <si>
    <t>ID-74</t>
  </si>
  <si>
    <t>ID-75</t>
  </si>
  <si>
    <t>ID-76</t>
  </si>
  <si>
    <t>ID-77</t>
  </si>
  <si>
    <t>ID-78</t>
  </si>
  <si>
    <t>ID-79</t>
  </si>
  <si>
    <t>ID-80</t>
  </si>
  <si>
    <t>ID-81</t>
  </si>
  <si>
    <t>ID-82</t>
  </si>
  <si>
    <t>ID-83</t>
  </si>
  <si>
    <t>ID-84</t>
  </si>
  <si>
    <t>ID-85</t>
  </si>
  <si>
    <t>ID-86</t>
  </si>
  <si>
    <t>ID-87</t>
  </si>
  <si>
    <t>ID-88</t>
  </si>
  <si>
    <t>ID-89</t>
  </si>
  <si>
    <t>ID-90</t>
  </si>
  <si>
    <t>ID-91</t>
  </si>
  <si>
    <t>ID-92</t>
  </si>
  <si>
    <t>ID-93</t>
  </si>
  <si>
    <t>ID-94</t>
  </si>
  <si>
    <t>ID-95</t>
  </si>
  <si>
    <t>ID-96</t>
  </si>
  <si>
    <t>ID-97</t>
  </si>
  <si>
    <t>ID-98</t>
  </si>
  <si>
    <t>ID-99</t>
  </si>
  <si>
    <t>ID-100</t>
  </si>
  <si>
    <t>ID-101</t>
  </si>
  <si>
    <t>ID-102</t>
  </si>
  <si>
    <t>ID-103</t>
  </si>
  <si>
    <t>ID-104</t>
  </si>
  <si>
    <t>ID-105</t>
  </si>
  <si>
    <t>ID-106</t>
  </si>
  <si>
    <t>ID-107</t>
  </si>
  <si>
    <t>ID-108</t>
  </si>
  <si>
    <t>ID-109</t>
  </si>
  <si>
    <t>ID-110</t>
  </si>
  <si>
    <t>ID-111</t>
  </si>
  <si>
    <t>ID-112</t>
  </si>
  <si>
    <t>ID-113</t>
  </si>
  <si>
    <t>ID-114</t>
  </si>
  <si>
    <t>ID-115</t>
  </si>
  <si>
    <t>ID-116</t>
  </si>
  <si>
    <t>ID-117</t>
  </si>
  <si>
    <t>ID-118</t>
  </si>
  <si>
    <t>ID-119</t>
  </si>
  <si>
    <t>ID-120</t>
  </si>
  <si>
    <t>ID-121</t>
  </si>
  <si>
    <t>ID-122</t>
  </si>
  <si>
    <t>ID-123</t>
  </si>
  <si>
    <t>ID-124</t>
  </si>
  <si>
    <t>ID-125</t>
  </si>
  <si>
    <t>ID-126</t>
  </si>
  <si>
    <t>ID-127</t>
  </si>
  <si>
    <t>ID-128</t>
  </si>
  <si>
    <t>ID-129</t>
  </si>
  <si>
    <t>ID-130</t>
  </si>
  <si>
    <t>ID-131</t>
  </si>
  <si>
    <t>ID-132</t>
  </si>
  <si>
    <t>ID-133</t>
  </si>
  <si>
    <t>ID-134</t>
  </si>
  <si>
    <t>ID-135</t>
  </si>
  <si>
    <t>ID-136</t>
  </si>
  <si>
    <t>ID-137</t>
  </si>
  <si>
    <t>ID-138</t>
  </si>
  <si>
    <t>ID-139</t>
  </si>
  <si>
    <t>ID-140</t>
  </si>
  <si>
    <t>ID-141</t>
  </si>
  <si>
    <t>ID-142</t>
  </si>
  <si>
    <t>ID-143</t>
  </si>
  <si>
    <t>ID-144</t>
  </si>
  <si>
    <t>ID-145</t>
  </si>
  <si>
    <t>ID-146</t>
  </si>
  <si>
    <t>ID-147</t>
  </si>
  <si>
    <t>ID-148</t>
  </si>
  <si>
    <t>ID-149</t>
  </si>
  <si>
    <t>ID-150</t>
  </si>
  <si>
    <t>ID-151</t>
  </si>
  <si>
    <t>ID-152</t>
  </si>
  <si>
    <t>ID-153</t>
  </si>
  <si>
    <t>ID-154</t>
  </si>
  <si>
    <t>ID-155</t>
  </si>
  <si>
    <t>ID-156</t>
  </si>
  <si>
    <t>ID-157</t>
  </si>
  <si>
    <t>ID-158</t>
  </si>
  <si>
    <t>ID-159</t>
  </si>
  <si>
    <t>ID-160</t>
  </si>
  <si>
    <t>ID-161</t>
  </si>
  <si>
    <t>ID-162</t>
  </si>
  <si>
    <t>ID-163</t>
  </si>
  <si>
    <t>ID-164</t>
  </si>
  <si>
    <t>ID-165</t>
  </si>
  <si>
    <t>ID-166</t>
  </si>
  <si>
    <t>ID-167</t>
  </si>
  <si>
    <t>ID-168</t>
  </si>
  <si>
    <t>ID-169</t>
  </si>
  <si>
    <t>ID-170</t>
  </si>
  <si>
    <t>ID-171</t>
  </si>
  <si>
    <t>ID-172</t>
  </si>
  <si>
    <t>ID-173</t>
  </si>
  <si>
    <t>ID-174</t>
  </si>
  <si>
    <t>ID-175</t>
  </si>
  <si>
    <t>ID-176</t>
  </si>
  <si>
    <t>ID-177</t>
  </si>
  <si>
    <t>ID-178</t>
  </si>
  <si>
    <t>ID-179</t>
  </si>
  <si>
    <t>ID-180</t>
  </si>
  <si>
    <t>ID-181</t>
  </si>
  <si>
    <t>ID-182</t>
  </si>
  <si>
    <t>ID-183</t>
  </si>
  <si>
    <t>ID-184</t>
  </si>
  <si>
    <t>ID-185</t>
  </si>
  <si>
    <t>ID-186</t>
  </si>
  <si>
    <t>ID-187</t>
  </si>
  <si>
    <t>ID-188</t>
  </si>
  <si>
    <t>ID-189</t>
  </si>
  <si>
    <t>ID-190</t>
  </si>
  <si>
    <t>ID-191</t>
  </si>
  <si>
    <t>ID-192</t>
  </si>
  <si>
    <t>ID-193</t>
  </si>
  <si>
    <t>ID-194</t>
  </si>
  <si>
    <t>ID-195</t>
  </si>
  <si>
    <t>ID-196</t>
  </si>
  <si>
    <t>ID-197</t>
  </si>
  <si>
    <t>ID-198</t>
  </si>
  <si>
    <t>ID-199</t>
  </si>
  <si>
    <t>ID-200</t>
  </si>
  <si>
    <t>ID-201</t>
  </si>
  <si>
    <t>ID-202</t>
  </si>
  <si>
    <t>ID-203</t>
  </si>
  <si>
    <t>ID-204</t>
  </si>
  <si>
    <t>ID-205</t>
  </si>
  <si>
    <t>ID-206</t>
  </si>
  <si>
    <t>ID-207</t>
  </si>
  <si>
    <t>ID-208</t>
  </si>
  <si>
    <t>ID-209</t>
  </si>
  <si>
    <t>ID-210</t>
  </si>
  <si>
    <t>ID-211</t>
  </si>
  <si>
    <t>ID-212</t>
  </si>
  <si>
    <t>ID-213</t>
  </si>
  <si>
    <t>ID-214</t>
  </si>
  <si>
    <t>ID-215</t>
  </si>
  <si>
    <t>ID-216</t>
  </si>
  <si>
    <t>ID-217</t>
  </si>
  <si>
    <t>ID-218</t>
  </si>
  <si>
    <t>ID-219</t>
  </si>
  <si>
    <t>ID-220</t>
  </si>
  <si>
    <t>ID-221</t>
  </si>
  <si>
    <t>ID-222</t>
  </si>
  <si>
    <t>ID-223</t>
  </si>
  <si>
    <t>ID-224</t>
  </si>
  <si>
    <t>ID-225</t>
  </si>
  <si>
    <t>ID-226</t>
  </si>
  <si>
    <t>ID-227</t>
  </si>
  <si>
    <t>ID-228</t>
  </si>
  <si>
    <t>ID-229</t>
  </si>
  <si>
    <t>ID-230</t>
  </si>
  <si>
    <t>ID-231</t>
  </si>
  <si>
    <t>ID-232</t>
  </si>
  <si>
    <t>ID-233</t>
  </si>
  <si>
    <t>ID-234</t>
  </si>
  <si>
    <t>ID-235</t>
  </si>
  <si>
    <t>ID-236</t>
  </si>
  <si>
    <t>ID-237</t>
  </si>
  <si>
    <t>ID-238</t>
  </si>
  <si>
    <t>ID-239</t>
  </si>
  <si>
    <t>ID-240</t>
  </si>
  <si>
    <t>ID-241</t>
  </si>
  <si>
    <t>ID-242</t>
  </si>
  <si>
    <t>ID-243</t>
  </si>
  <si>
    <t>ID-244</t>
  </si>
  <si>
    <t>ID-245</t>
  </si>
  <si>
    <t>ID-246</t>
  </si>
  <si>
    <t>ID-247</t>
  </si>
  <si>
    <t>ID-248</t>
  </si>
  <si>
    <t>ID-249</t>
  </si>
  <si>
    <t>ID-250</t>
  </si>
  <si>
    <t>ID-251</t>
  </si>
  <si>
    <t>ID-252</t>
  </si>
  <si>
    <t>ID-253</t>
  </si>
  <si>
    <t>ID-254</t>
  </si>
  <si>
    <t>ID-255</t>
  </si>
  <si>
    <t>ID-256</t>
  </si>
  <si>
    <t>ID-257</t>
  </si>
  <si>
    <t>ID-258</t>
  </si>
  <si>
    <t>ID-259</t>
  </si>
  <si>
    <t>ID-260</t>
  </si>
  <si>
    <t>ID-261</t>
  </si>
  <si>
    <t>ID-262</t>
  </si>
  <si>
    <t>ID-263</t>
  </si>
  <si>
    <t>ID-264</t>
  </si>
  <si>
    <t>ID-265</t>
  </si>
  <si>
    <t>ID-266</t>
  </si>
  <si>
    <t>ID-267</t>
  </si>
  <si>
    <t>ID-268</t>
  </si>
  <si>
    <t>ID-269</t>
  </si>
  <si>
    <t>ID-270</t>
  </si>
  <si>
    <t>ID-271</t>
  </si>
  <si>
    <t>ID-272</t>
  </si>
  <si>
    <t>ID-273</t>
  </si>
  <si>
    <t>ID-274</t>
  </si>
  <si>
    <t>ID-275</t>
  </si>
  <si>
    <t>ID-276</t>
  </si>
  <si>
    <t>ID-277</t>
  </si>
  <si>
    <t>ID-278</t>
  </si>
  <si>
    <t>ID-279</t>
  </si>
  <si>
    <t>ID-280</t>
  </si>
  <si>
    <t>ID-281</t>
  </si>
  <si>
    <t>ID-282</t>
  </si>
  <si>
    <t>ID-283</t>
  </si>
  <si>
    <t>ID-284</t>
  </si>
  <si>
    <t>ID-285</t>
  </si>
  <si>
    <t>ID-286</t>
  </si>
  <si>
    <t>ID-287</t>
  </si>
  <si>
    <t>ID-288</t>
  </si>
  <si>
    <t>ID-289</t>
  </si>
  <si>
    <t>ID-290</t>
  </si>
  <si>
    <t>ID-291</t>
  </si>
  <si>
    <t>ID-292</t>
  </si>
  <si>
    <t>ID-293</t>
  </si>
  <si>
    <t>ID-294</t>
  </si>
  <si>
    <t>ID-295</t>
  </si>
  <si>
    <t>ID-296</t>
  </si>
  <si>
    <t>ID-297</t>
  </si>
  <si>
    <t>ID-298</t>
  </si>
  <si>
    <t>ID-299</t>
  </si>
  <si>
    <t>ID-300</t>
  </si>
  <si>
    <t>ID-301</t>
  </si>
  <si>
    <t>ID-302</t>
  </si>
  <si>
    <t>ID-303</t>
  </si>
  <si>
    <t>ID-304</t>
  </si>
  <si>
    <t>ID-305</t>
  </si>
  <si>
    <t>ID-306</t>
  </si>
  <si>
    <t>ID-307</t>
  </si>
  <si>
    <t>ID-308</t>
  </si>
  <si>
    <t>ID-309</t>
  </si>
  <si>
    <t>ID-310</t>
  </si>
  <si>
    <t>ID-311</t>
  </si>
  <si>
    <t>ID-312</t>
  </si>
  <si>
    <t>ID-313</t>
  </si>
  <si>
    <t>ID-314</t>
  </si>
  <si>
    <t>ID-315</t>
  </si>
  <si>
    <t>ID-316</t>
  </si>
  <si>
    <t>ID-317</t>
  </si>
  <si>
    <t>ID-318</t>
  </si>
  <si>
    <t>ID-319</t>
  </si>
  <si>
    <t>ID-320</t>
  </si>
  <si>
    <t>ID-321</t>
  </si>
  <si>
    <t>ID-322</t>
  </si>
  <si>
    <t>ID-323</t>
  </si>
  <si>
    <t>ID-324</t>
  </si>
  <si>
    <t>ID-325</t>
  </si>
  <si>
    <t>ID-326</t>
  </si>
  <si>
    <t>ID-327</t>
  </si>
  <si>
    <t>ID-328</t>
  </si>
  <si>
    <t>ID-329</t>
  </si>
  <si>
    <t>ID-330</t>
  </si>
  <si>
    <t>ID-331</t>
  </si>
  <si>
    <t>ID-332</t>
  </si>
  <si>
    <t>ID-333</t>
  </si>
  <si>
    <t>ID-334</t>
  </si>
  <si>
    <t>ID-335</t>
  </si>
  <si>
    <t>ID-336</t>
  </si>
  <si>
    <t>ID-337</t>
  </si>
  <si>
    <t>ID-338</t>
  </si>
  <si>
    <t>ID-339</t>
  </si>
  <si>
    <t>ID-340</t>
  </si>
  <si>
    <t>ID-341</t>
  </si>
  <si>
    <t>ID-342</t>
  </si>
  <si>
    <t>ID-343</t>
  </si>
  <si>
    <t>ID-344</t>
  </si>
  <si>
    <t>ID-345</t>
  </si>
  <si>
    <t>ID-346</t>
  </si>
  <si>
    <t>ID-347</t>
  </si>
  <si>
    <t>ID-348</t>
  </si>
  <si>
    <t>ID-349</t>
  </si>
  <si>
    <t>ID-350</t>
  </si>
  <si>
    <t>ID-351</t>
  </si>
  <si>
    <t>ID-352</t>
  </si>
  <si>
    <t>ID-353</t>
  </si>
  <si>
    <t>ID-354</t>
  </si>
  <si>
    <t>ID-355</t>
  </si>
  <si>
    <t>ID-356</t>
  </si>
  <si>
    <t>ID-357</t>
  </si>
  <si>
    <t>ID-358</t>
  </si>
  <si>
    <t>ID-359</t>
  </si>
  <si>
    <t>ID-360</t>
  </si>
  <si>
    <t>ID-361</t>
  </si>
  <si>
    <t>ID-362</t>
  </si>
  <si>
    <t>ID-363</t>
  </si>
  <si>
    <t>ID-364</t>
  </si>
  <si>
    <t>ID-365</t>
  </si>
  <si>
    <t>ID-366</t>
  </si>
  <si>
    <t>ID-367</t>
  </si>
  <si>
    <t>ID-368</t>
  </si>
  <si>
    <t>ID-369</t>
  </si>
  <si>
    <t>ID-370</t>
  </si>
  <si>
    <t>ID-371</t>
  </si>
  <si>
    <t>ID-372</t>
  </si>
  <si>
    <t>ID-373</t>
  </si>
  <si>
    <t>ID-374</t>
  </si>
  <si>
    <t>ID-375</t>
  </si>
  <si>
    <t>ID-376</t>
  </si>
  <si>
    <t>ID-377</t>
  </si>
  <si>
    <t>ID-378</t>
  </si>
  <si>
    <t>ID-379</t>
  </si>
  <si>
    <t>ID-380</t>
  </si>
  <si>
    <t>ID-381</t>
  </si>
  <si>
    <t>ID-382</t>
  </si>
  <si>
    <t>ID-383</t>
  </si>
  <si>
    <t>ID-384</t>
  </si>
  <si>
    <t>ID-385</t>
  </si>
  <si>
    <t>ID-386</t>
  </si>
  <si>
    <t>ID-387</t>
  </si>
  <si>
    <t>ID-388</t>
  </si>
  <si>
    <t>ID-389</t>
  </si>
  <si>
    <t>ID-390</t>
  </si>
  <si>
    <t>ID-391</t>
  </si>
  <si>
    <t>ID-392</t>
  </si>
  <si>
    <t>ID-393</t>
  </si>
  <si>
    <t>ID-394</t>
  </si>
  <si>
    <t>ID-395</t>
  </si>
  <si>
    <t>ID-396</t>
  </si>
  <si>
    <t>ID-397</t>
  </si>
  <si>
    <t>ID-398</t>
  </si>
  <si>
    <t>ID-399</t>
  </si>
  <si>
    <t>ID-400</t>
  </si>
  <si>
    <t>ID-401</t>
  </si>
  <si>
    <t>ID-402</t>
  </si>
  <si>
    <t>ID-403</t>
  </si>
  <si>
    <t>ID-404</t>
  </si>
  <si>
    <t>ID-405</t>
  </si>
  <si>
    <t>ID-406</t>
  </si>
  <si>
    <t>ID-407</t>
  </si>
  <si>
    <t>ID-408</t>
  </si>
  <si>
    <t>ID-409</t>
  </si>
  <si>
    <t>ID-410</t>
  </si>
  <si>
    <t>ID-411</t>
  </si>
  <si>
    <t>ID-412</t>
  </si>
  <si>
    <t>ID-413</t>
  </si>
  <si>
    <t>ID-414</t>
  </si>
  <si>
    <t>ID-415</t>
  </si>
  <si>
    <t>ID-416</t>
  </si>
  <si>
    <t>ID-417</t>
  </si>
  <si>
    <t>ID-418</t>
  </si>
  <si>
    <t>ID-419</t>
  </si>
  <si>
    <t>ID-420</t>
  </si>
  <si>
    <t>ID-421</t>
  </si>
  <si>
    <t>ID-422</t>
  </si>
  <si>
    <t>ID-423</t>
  </si>
  <si>
    <t>ID-424</t>
  </si>
  <si>
    <t>ID-425</t>
  </si>
  <si>
    <t>ID-426</t>
  </si>
  <si>
    <t>ID-427</t>
  </si>
  <si>
    <t>ID-428</t>
  </si>
  <si>
    <t>ID-429</t>
  </si>
  <si>
    <t>ID-430</t>
  </si>
  <si>
    <t>ID-431</t>
  </si>
  <si>
    <t>ID-432</t>
  </si>
  <si>
    <t>ID-433</t>
  </si>
  <si>
    <t>ID-434</t>
  </si>
  <si>
    <t>ID-435</t>
  </si>
  <si>
    <t>ID-436</t>
  </si>
  <si>
    <t>ID-437</t>
  </si>
  <si>
    <t>ID-438</t>
  </si>
  <si>
    <t>ID-439</t>
  </si>
  <si>
    <t>ID-440</t>
  </si>
  <si>
    <t>ID-441</t>
  </si>
  <si>
    <t>ID-442</t>
  </si>
  <si>
    <t>ID-443</t>
  </si>
  <si>
    <t>ID-444</t>
  </si>
  <si>
    <t>ID-445</t>
  </si>
  <si>
    <t>ID-446</t>
  </si>
  <si>
    <t>ID-447</t>
  </si>
  <si>
    <t>ID-448</t>
  </si>
  <si>
    <t>ID-449</t>
  </si>
  <si>
    <t>ID-450</t>
  </si>
  <si>
    <t>ID-451</t>
  </si>
  <si>
    <t>ID-452</t>
  </si>
  <si>
    <t>ID-453</t>
  </si>
  <si>
    <t>ID-454</t>
  </si>
  <si>
    <t>ID-455</t>
  </si>
  <si>
    <t>ID-456</t>
  </si>
  <si>
    <t>ID-457</t>
  </si>
  <si>
    <t>ID-458</t>
  </si>
  <si>
    <t>ID-459</t>
  </si>
  <si>
    <t>ID-460</t>
  </si>
  <si>
    <t>ID-461</t>
  </si>
  <si>
    <t>ID-462</t>
  </si>
  <si>
    <t>ID-463</t>
  </si>
  <si>
    <t>ID-464</t>
  </si>
  <si>
    <t>ID-465</t>
  </si>
  <si>
    <t>ID-466</t>
  </si>
  <si>
    <t>ID-467</t>
  </si>
  <si>
    <t>ID-468</t>
  </si>
  <si>
    <t>ID-469</t>
  </si>
  <si>
    <t>ID-470</t>
  </si>
  <si>
    <t>ID-471</t>
  </si>
  <si>
    <t>ID-472</t>
  </si>
  <si>
    <t>ID-473</t>
  </si>
  <si>
    <t>ID-474</t>
  </si>
  <si>
    <t>ID-475</t>
  </si>
  <si>
    <t>ID-476</t>
  </si>
  <si>
    <t>ID-477</t>
  </si>
  <si>
    <t>ID-478</t>
  </si>
  <si>
    <t>ID-479</t>
  </si>
  <si>
    <t>ID-480</t>
  </si>
  <si>
    <t>ID-481</t>
  </si>
  <si>
    <t>ID-482</t>
  </si>
  <si>
    <t>ID-483</t>
  </si>
  <si>
    <t>ID-484</t>
  </si>
  <si>
    <t>ID-485</t>
  </si>
  <si>
    <t>ID-486</t>
  </si>
  <si>
    <t>ID-487</t>
  </si>
  <si>
    <t>ID-488</t>
  </si>
  <si>
    <t>ID-489</t>
  </si>
  <si>
    <t>ID-490</t>
  </si>
  <si>
    <t>ID-491</t>
  </si>
  <si>
    <t>ID-492</t>
  </si>
  <si>
    <t>ID-493</t>
  </si>
  <si>
    <t>ID-494</t>
  </si>
  <si>
    <t>ID-495</t>
  </si>
  <si>
    <t>ID-496</t>
  </si>
  <si>
    <t>ID-497</t>
  </si>
  <si>
    <t>ID-498</t>
  </si>
  <si>
    <t>ID-499</t>
  </si>
  <si>
    <t>ID-500</t>
  </si>
  <si>
    <t>ID-501</t>
  </si>
  <si>
    <t>ID-502</t>
  </si>
  <si>
    <t>ID-503</t>
  </si>
  <si>
    <t>ID-504</t>
  </si>
  <si>
    <t>ID-505</t>
  </si>
  <si>
    <t>ID-506</t>
  </si>
  <si>
    <t>ID-507</t>
  </si>
  <si>
    <t>ID-508</t>
  </si>
  <si>
    <t>ID-509</t>
  </si>
  <si>
    <t>ID-510</t>
  </si>
  <si>
    <t>ID-511</t>
  </si>
  <si>
    <t>ID-512</t>
  </si>
  <si>
    <t>ID-513</t>
  </si>
  <si>
    <t>ID-514</t>
  </si>
  <si>
    <t>ID-515</t>
  </si>
  <si>
    <t>ID-516</t>
  </si>
  <si>
    <t>ID-517</t>
  </si>
  <si>
    <t>ID-518</t>
  </si>
  <si>
    <t>ID-519</t>
  </si>
  <si>
    <t>ID-520</t>
  </si>
  <si>
    <t>ID-521</t>
  </si>
  <si>
    <t>ID-522</t>
  </si>
  <si>
    <t>ID-523</t>
  </si>
  <si>
    <t>ID-524</t>
  </si>
  <si>
    <t>ID-525</t>
  </si>
  <si>
    <t>ID-526</t>
  </si>
  <si>
    <t>ID-527</t>
  </si>
  <si>
    <t>ID-528</t>
  </si>
  <si>
    <t>ID-529</t>
  </si>
  <si>
    <t>ID-530</t>
  </si>
  <si>
    <t>ID-531</t>
  </si>
  <si>
    <t>ID-532</t>
  </si>
  <si>
    <t>ID-533</t>
  </si>
  <si>
    <t>ID-534</t>
  </si>
  <si>
    <t>ID-535</t>
  </si>
  <si>
    <t>ID-536</t>
  </si>
  <si>
    <t>ID-537</t>
  </si>
  <si>
    <t>ID-538</t>
  </si>
  <si>
    <t>ID-539</t>
  </si>
  <si>
    <t>ID-540</t>
  </si>
  <si>
    <t>ID-541</t>
  </si>
  <si>
    <t>ID-542</t>
  </si>
  <si>
    <t>ID-543</t>
  </si>
  <si>
    <t>ID-544</t>
  </si>
  <si>
    <t>ID-545</t>
  </si>
  <si>
    <t>ID-546</t>
  </si>
  <si>
    <t>ID-547</t>
  </si>
  <si>
    <t>ID-548</t>
  </si>
  <si>
    <t>ID-549</t>
  </si>
  <si>
    <t>ID-550</t>
  </si>
  <si>
    <t>ID-551</t>
  </si>
  <si>
    <t>ID-552</t>
  </si>
  <si>
    <t>ID-553</t>
  </si>
  <si>
    <t>ID-554</t>
  </si>
  <si>
    <t>ID-555</t>
  </si>
  <si>
    <t>ID-556</t>
  </si>
  <si>
    <t>ID-557</t>
  </si>
  <si>
    <t>ID-558</t>
  </si>
  <si>
    <t>ID-559</t>
  </si>
  <si>
    <t>ID-560</t>
  </si>
  <si>
    <t>ID-561</t>
  </si>
  <si>
    <t>ID-562</t>
  </si>
  <si>
    <t>ID-563</t>
  </si>
  <si>
    <t>ID-564</t>
  </si>
  <si>
    <t>ID-565</t>
  </si>
  <si>
    <t>ID-566</t>
  </si>
  <si>
    <t>ID-567</t>
  </si>
  <si>
    <t>ID-568</t>
  </si>
  <si>
    <t>ID-569</t>
  </si>
  <si>
    <t>ID-570</t>
  </si>
  <si>
    <t>ID-571</t>
  </si>
  <si>
    <t>ID-572</t>
  </si>
  <si>
    <t>ID-573</t>
  </si>
  <si>
    <t>ID-574</t>
  </si>
  <si>
    <t>ID-575</t>
  </si>
  <si>
    <t>ID-576</t>
  </si>
  <si>
    <t>ID-577</t>
  </si>
  <si>
    <t>ID-578</t>
  </si>
  <si>
    <t>ID-579</t>
  </si>
  <si>
    <t>ID-580</t>
  </si>
  <si>
    <t>ID-581</t>
  </si>
  <si>
    <t>ID-582</t>
  </si>
  <si>
    <t>ID-583</t>
  </si>
  <si>
    <t>ID-584</t>
  </si>
  <si>
    <t>ID-585</t>
  </si>
  <si>
    <t>ID-586</t>
  </si>
  <si>
    <t>ID-587</t>
  </si>
  <si>
    <t>ID-588</t>
  </si>
  <si>
    <t>ID-589</t>
  </si>
  <si>
    <t>ID-590</t>
  </si>
  <si>
    <t>ID-591</t>
  </si>
  <si>
    <t>ID-592</t>
  </si>
  <si>
    <t>ID-593</t>
  </si>
  <si>
    <t>ID-594</t>
  </si>
  <si>
    <t>ID-595</t>
  </si>
  <si>
    <t>ID-596</t>
  </si>
  <si>
    <t>ID-597</t>
  </si>
  <si>
    <t>ID-598</t>
  </si>
  <si>
    <t>ID-599</t>
  </si>
  <si>
    <t>ID-600</t>
  </si>
  <si>
    <t>ID-601</t>
  </si>
  <si>
    <t>ID-602</t>
  </si>
  <si>
    <t>ID-603</t>
  </si>
  <si>
    <t>ID-604</t>
  </si>
  <si>
    <t>ID-605</t>
  </si>
  <si>
    <t>ID-606</t>
  </si>
  <si>
    <t>ID-607</t>
  </si>
  <si>
    <t>ID-608</t>
  </si>
  <si>
    <t>ID-609</t>
  </si>
  <si>
    <t>ID-610</t>
  </si>
  <si>
    <t>ID-611</t>
  </si>
  <si>
    <t>ID-612</t>
  </si>
  <si>
    <t>ID-613</t>
  </si>
  <si>
    <t>ID-614</t>
  </si>
  <si>
    <t>ID-615</t>
  </si>
  <si>
    <t>ID-616</t>
  </si>
  <si>
    <t>ID-617</t>
  </si>
  <si>
    <t>ID-618</t>
  </si>
  <si>
    <t>ID-619</t>
  </si>
  <si>
    <t>ID-620</t>
  </si>
  <si>
    <t>ID-621</t>
  </si>
  <si>
    <t>ID-622</t>
  </si>
  <si>
    <t>ID-623</t>
  </si>
  <si>
    <t>ID-624</t>
  </si>
  <si>
    <t>ID-625</t>
  </si>
  <si>
    <t>ID-626</t>
  </si>
  <si>
    <t>ID-627</t>
  </si>
  <si>
    <t>ID-628</t>
  </si>
  <si>
    <t>ID-629</t>
  </si>
  <si>
    <t>ID-630</t>
  </si>
  <si>
    <t>ID-631</t>
  </si>
  <si>
    <t>ID-632</t>
  </si>
  <si>
    <t>ID-633</t>
  </si>
  <si>
    <t>ID-634</t>
  </si>
  <si>
    <t>ID-635</t>
  </si>
  <si>
    <t>ID-636</t>
  </si>
  <si>
    <t>ID-637</t>
  </si>
  <si>
    <t>ID-638</t>
  </si>
  <si>
    <t>ID-639</t>
  </si>
  <si>
    <t>ID-640</t>
  </si>
  <si>
    <t>ID-641</t>
  </si>
  <si>
    <t>ID-642</t>
  </si>
  <si>
    <t>ID-643</t>
  </si>
  <si>
    <t>ID-644</t>
  </si>
  <si>
    <t>ID-645</t>
  </si>
  <si>
    <t>ID-646</t>
  </si>
  <si>
    <t>ID-647</t>
  </si>
  <si>
    <t>ID-648</t>
  </si>
  <si>
    <t>ID-649</t>
  </si>
  <si>
    <t>ID-650</t>
  </si>
  <si>
    <t>ID-651</t>
  </si>
  <si>
    <t>ID-652</t>
  </si>
  <si>
    <t>ID-653</t>
  </si>
  <si>
    <t>ID-654</t>
  </si>
  <si>
    <t>ID-655</t>
  </si>
  <si>
    <t>ID-656</t>
  </si>
  <si>
    <t>ID-657</t>
  </si>
  <si>
    <t>ID-658</t>
  </si>
  <si>
    <t>ID-659</t>
  </si>
  <si>
    <t>ID-660</t>
  </si>
  <si>
    <t>ID-661</t>
  </si>
  <si>
    <t>ID-662</t>
  </si>
  <si>
    <t>ID-663</t>
  </si>
  <si>
    <t>ID-664</t>
  </si>
  <si>
    <t>ID-665</t>
  </si>
  <si>
    <t>ID-666</t>
  </si>
  <si>
    <t>ID-667</t>
  </si>
  <si>
    <t>ID-668</t>
  </si>
  <si>
    <t>ID-669</t>
  </si>
  <si>
    <t>ID-670</t>
  </si>
  <si>
    <t>ID-671</t>
  </si>
  <si>
    <t>ID-672</t>
  </si>
  <si>
    <t>ID-673</t>
  </si>
  <si>
    <t>ID-674</t>
  </si>
  <si>
    <t>ID-675</t>
  </si>
  <si>
    <t>ID-676</t>
  </si>
  <si>
    <t>ID-677</t>
  </si>
  <si>
    <t>ID-678</t>
  </si>
  <si>
    <t>ID-679</t>
  </si>
  <si>
    <t>ID-680</t>
  </si>
  <si>
    <t>ID-681</t>
  </si>
  <si>
    <t>ID-682</t>
  </si>
  <si>
    <t>ID-683</t>
  </si>
  <si>
    <t>ID-684</t>
  </si>
  <si>
    <t>ID-685</t>
  </si>
  <si>
    <t>ID-686</t>
  </si>
  <si>
    <t>ID-687</t>
  </si>
  <si>
    <t>ID-688</t>
  </si>
  <si>
    <t>ID-689</t>
  </si>
  <si>
    <t>ID-690</t>
  </si>
  <si>
    <t>ID-691</t>
  </si>
  <si>
    <t>ID-692</t>
  </si>
  <si>
    <t>ID-693</t>
  </si>
  <si>
    <t>ID-694</t>
  </si>
  <si>
    <t>ID-695</t>
  </si>
  <si>
    <t>ID-696</t>
  </si>
  <si>
    <t>ID-697</t>
  </si>
  <si>
    <t>ID-698</t>
  </si>
  <si>
    <t>ID-699</t>
  </si>
  <si>
    <t>ID-700</t>
  </si>
  <si>
    <t>ID-701</t>
  </si>
  <si>
    <t>ID-702</t>
  </si>
  <si>
    <t>ID-703</t>
  </si>
  <si>
    <t>ID-704</t>
  </si>
  <si>
    <t>ID-705</t>
  </si>
  <si>
    <t>ID-706</t>
  </si>
  <si>
    <t>ID-707</t>
  </si>
  <si>
    <t>ID-708</t>
  </si>
  <si>
    <t>ID-709</t>
  </si>
  <si>
    <t>ID-710</t>
  </si>
  <si>
    <t>ID-711</t>
  </si>
  <si>
    <t>ID-712</t>
  </si>
  <si>
    <t>ID-713</t>
  </si>
  <si>
    <t>ID-714</t>
  </si>
  <si>
    <t>ID-715</t>
  </si>
  <si>
    <t>ID-716</t>
  </si>
  <si>
    <t>ID-717</t>
  </si>
  <si>
    <t>ID-718</t>
  </si>
  <si>
    <t>ID-719</t>
  </si>
  <si>
    <t>ID-720</t>
  </si>
  <si>
    <t>ID-721</t>
  </si>
  <si>
    <t>ID-722</t>
  </si>
  <si>
    <t>ID-723</t>
  </si>
  <si>
    <t>ID-724</t>
  </si>
  <si>
    <t>ID-725</t>
  </si>
  <si>
    <t>ID-726</t>
  </si>
  <si>
    <t>ID-727</t>
  </si>
  <si>
    <t>ID-728</t>
  </si>
  <si>
    <t>ID-729</t>
  </si>
  <si>
    <t>ID-730</t>
  </si>
  <si>
    <t>ID-731</t>
  </si>
  <si>
    <t>ID-732</t>
  </si>
  <si>
    <t>ID-733</t>
  </si>
  <si>
    <t>ID-734</t>
  </si>
  <si>
    <t>ID-735</t>
  </si>
  <si>
    <t>ID-736</t>
  </si>
  <si>
    <t>ID-737</t>
  </si>
  <si>
    <t>ID-738</t>
  </si>
  <si>
    <t>ID-739</t>
  </si>
  <si>
    <t>ID-740</t>
  </si>
  <si>
    <t>ID-741</t>
  </si>
  <si>
    <t>ID-742</t>
  </si>
  <si>
    <t>ID-743</t>
  </si>
  <si>
    <t>ID-744</t>
  </si>
  <si>
    <t>ID-745</t>
  </si>
  <si>
    <t>ID-746</t>
  </si>
  <si>
    <t>ID-747</t>
  </si>
  <si>
    <t>ID-748</t>
  </si>
  <si>
    <t>ID-749</t>
  </si>
  <si>
    <t>ID-750</t>
  </si>
  <si>
    <t>ID-751</t>
  </si>
  <si>
    <t>ID-752</t>
  </si>
  <si>
    <t>ID-753</t>
  </si>
  <si>
    <t>ID-754</t>
  </si>
  <si>
    <t>ID-755</t>
  </si>
  <si>
    <t>ID-756</t>
  </si>
  <si>
    <t>ID-757</t>
  </si>
  <si>
    <t>ID-758</t>
  </si>
  <si>
    <t>ID-759</t>
  </si>
  <si>
    <t>ID-760</t>
  </si>
  <si>
    <t>ID-761</t>
  </si>
  <si>
    <t>ID-762</t>
  </si>
  <si>
    <t>ID-763</t>
  </si>
  <si>
    <t>ID-764</t>
  </si>
  <si>
    <t>ID-765</t>
  </si>
  <si>
    <t>ID-766</t>
  </si>
  <si>
    <t>ID-767</t>
  </si>
  <si>
    <t>ID-768</t>
  </si>
  <si>
    <t>ID-769</t>
  </si>
  <si>
    <t>ID-770</t>
  </si>
  <si>
    <t>ID-771</t>
  </si>
  <si>
    <t>ID-772</t>
  </si>
  <si>
    <t>ID-773</t>
  </si>
  <si>
    <t>ID-774</t>
  </si>
  <si>
    <t>ID-775</t>
  </si>
  <si>
    <t>ID-776</t>
  </si>
  <si>
    <t>ID-777</t>
  </si>
  <si>
    <t>ID-778</t>
  </si>
  <si>
    <t>ID-779</t>
  </si>
  <si>
    <t>ID-780</t>
  </si>
  <si>
    <t>ID-781</t>
  </si>
  <si>
    <t>ID-782</t>
  </si>
  <si>
    <t>ID-783</t>
  </si>
  <si>
    <t>ID-784</t>
  </si>
  <si>
    <t>ID-785</t>
  </si>
  <si>
    <t>ID-786</t>
  </si>
  <si>
    <t>ID-787</t>
  </si>
  <si>
    <t>ID-788</t>
  </si>
  <si>
    <t>ID-789</t>
  </si>
  <si>
    <t>ID-790</t>
  </si>
  <si>
    <t>ID-791</t>
  </si>
  <si>
    <t>ID-792</t>
  </si>
  <si>
    <t>ID-793</t>
  </si>
  <si>
    <t>ID-794</t>
  </si>
  <si>
    <t>ID-795</t>
  </si>
  <si>
    <t>ID-796</t>
  </si>
  <si>
    <t>ID-797</t>
  </si>
  <si>
    <t>ID-798</t>
  </si>
  <si>
    <t>ID-799</t>
  </si>
  <si>
    <t>ID-800</t>
  </si>
  <si>
    <t>ID-801</t>
  </si>
  <si>
    <t>ID-802</t>
  </si>
  <si>
    <t>ID-803</t>
  </si>
  <si>
    <t>ID-804</t>
  </si>
  <si>
    <t>ID-805</t>
  </si>
  <si>
    <t>ID-806</t>
  </si>
  <si>
    <t>ID-807</t>
  </si>
  <si>
    <t>ID-808</t>
  </si>
  <si>
    <t>ID-809</t>
  </si>
  <si>
    <t>ID-810</t>
  </si>
  <si>
    <t>ID-811</t>
  </si>
  <si>
    <t>ID-812</t>
  </si>
  <si>
    <t>ID-813</t>
  </si>
  <si>
    <t>ID-814</t>
  </si>
  <si>
    <t>ID-815</t>
  </si>
  <si>
    <t>ID-816</t>
  </si>
  <si>
    <t>ID-817</t>
  </si>
  <si>
    <t>ID-818</t>
  </si>
  <si>
    <t>ID-819</t>
  </si>
  <si>
    <t>ID-820</t>
  </si>
  <si>
    <t>ID-821</t>
  </si>
  <si>
    <t>ID-822</t>
  </si>
  <si>
    <t>ID-823</t>
  </si>
  <si>
    <t>ID-824</t>
  </si>
  <si>
    <t>ID-825</t>
  </si>
  <si>
    <t>ID-826</t>
  </si>
  <si>
    <t>ID-827</t>
  </si>
  <si>
    <t>ID-828</t>
  </si>
  <si>
    <t>ID-829</t>
  </si>
  <si>
    <t>ID-830</t>
  </si>
  <si>
    <t>ID-831</t>
  </si>
  <si>
    <t>ID-832</t>
  </si>
  <si>
    <t>ID-833</t>
  </si>
  <si>
    <t>ID-834</t>
  </si>
  <si>
    <t>ID-835</t>
  </si>
  <si>
    <t>ID-836</t>
  </si>
  <si>
    <t>ID-837</t>
  </si>
  <si>
    <t>ID-838</t>
  </si>
  <si>
    <t>ID-839</t>
  </si>
  <si>
    <t>ID-840</t>
  </si>
  <si>
    <t>ID-841</t>
  </si>
  <si>
    <t>ID-842</t>
  </si>
  <si>
    <t>ID-843</t>
  </si>
  <si>
    <t>ID-844</t>
  </si>
  <si>
    <t>ID-845</t>
  </si>
  <si>
    <t>ID-846</t>
  </si>
  <si>
    <t>ID-847</t>
  </si>
  <si>
    <t>ID-848</t>
  </si>
  <si>
    <t>ID-849</t>
  </si>
  <si>
    <t>ID-850</t>
  </si>
  <si>
    <t>ID-851</t>
  </si>
  <si>
    <t>ID-852</t>
  </si>
  <si>
    <t>ID-853</t>
  </si>
  <si>
    <t>ID-854</t>
  </si>
  <si>
    <t>ID-855</t>
  </si>
  <si>
    <t>ID-856</t>
  </si>
  <si>
    <t>ID-857</t>
  </si>
  <si>
    <t>ID-858</t>
  </si>
  <si>
    <t>ID-859</t>
  </si>
  <si>
    <t>ID-860</t>
  </si>
  <si>
    <t>ID-861</t>
  </si>
  <si>
    <t>ID-862</t>
  </si>
  <si>
    <t>ID-863</t>
  </si>
  <si>
    <t>ID-864</t>
  </si>
  <si>
    <t>ID-865</t>
  </si>
  <si>
    <t>ID-866</t>
  </si>
  <si>
    <t>ID-867</t>
  </si>
  <si>
    <t>ID-868</t>
  </si>
  <si>
    <t>ID-869</t>
  </si>
  <si>
    <t>ID-870</t>
  </si>
  <si>
    <t>ID-871</t>
  </si>
  <si>
    <t>ID-872</t>
  </si>
  <si>
    <t>ID-873</t>
  </si>
  <si>
    <t>ID-874</t>
  </si>
  <si>
    <t>ID-875</t>
  </si>
  <si>
    <t>ID-876</t>
  </si>
  <si>
    <t>ID-877</t>
  </si>
  <si>
    <t>ID-878</t>
  </si>
  <si>
    <t>ID-879</t>
  </si>
  <si>
    <t>ID-880</t>
  </si>
  <si>
    <t>ID-881</t>
  </si>
  <si>
    <t>ID-882</t>
  </si>
  <si>
    <t>ID-883</t>
  </si>
  <si>
    <t>ID-884</t>
  </si>
  <si>
    <t>ID-885</t>
  </si>
  <si>
    <t>ID-886</t>
  </si>
  <si>
    <t>ID-887</t>
  </si>
  <si>
    <t>ID-888</t>
  </si>
  <si>
    <t>ID-889</t>
  </si>
  <si>
    <t>ID-890</t>
  </si>
  <si>
    <t>ID-891</t>
  </si>
  <si>
    <t>ID-892</t>
  </si>
  <si>
    <t>ID-893</t>
  </si>
  <si>
    <t>ID-894</t>
  </si>
  <si>
    <t>ID-895</t>
  </si>
  <si>
    <t>ID-896</t>
  </si>
  <si>
    <t>ID-897</t>
  </si>
  <si>
    <t>ID-898</t>
  </si>
  <si>
    <t>ID-899</t>
  </si>
  <si>
    <t>ID-900</t>
  </si>
  <si>
    <t>ID-901</t>
  </si>
  <si>
    <t>ID-902</t>
  </si>
  <si>
    <t>ID-903</t>
  </si>
  <si>
    <t>ID-904</t>
  </si>
  <si>
    <t>ID-905</t>
  </si>
  <si>
    <t>ID-906</t>
  </si>
  <si>
    <t>ID-907</t>
  </si>
  <si>
    <t>ID-908</t>
  </si>
  <si>
    <t>ID-909</t>
  </si>
  <si>
    <t>ID-910</t>
  </si>
  <si>
    <t>ID-911</t>
  </si>
  <si>
    <t>ID-912</t>
  </si>
  <si>
    <t>ID-913</t>
  </si>
  <si>
    <t>ID-914</t>
  </si>
  <si>
    <t>ID-915</t>
  </si>
  <si>
    <t>ID-916</t>
  </si>
  <si>
    <t>ID-917</t>
  </si>
  <si>
    <t>ID-918</t>
  </si>
  <si>
    <t>ID-919</t>
  </si>
  <si>
    <t>ID-920</t>
  </si>
  <si>
    <t>ID-921</t>
  </si>
  <si>
    <t>ID-922</t>
  </si>
  <si>
    <t>ID-923</t>
  </si>
  <si>
    <t>ID-924</t>
  </si>
  <si>
    <t>ID-925</t>
  </si>
  <si>
    <t>ID-926</t>
  </si>
  <si>
    <t>ID-927</t>
  </si>
  <si>
    <t>ID-928</t>
  </si>
  <si>
    <t>ID-929</t>
  </si>
  <si>
    <t>ID-930</t>
  </si>
  <si>
    <t>ID-931</t>
  </si>
  <si>
    <t>ID-932</t>
  </si>
  <si>
    <t>ID-933</t>
  </si>
  <si>
    <t>ID-934</t>
  </si>
  <si>
    <t>ID-935</t>
  </si>
  <si>
    <t>ID-936</t>
  </si>
  <si>
    <t>ID-937</t>
  </si>
  <si>
    <t>ID-938</t>
  </si>
  <si>
    <t>ID-939</t>
  </si>
  <si>
    <t>ID-940</t>
  </si>
  <si>
    <t>ID-941</t>
  </si>
  <si>
    <t>ID-942</t>
  </si>
  <si>
    <t>ID-943</t>
  </si>
  <si>
    <t>ID-944</t>
  </si>
  <si>
    <t>ID-945</t>
  </si>
  <si>
    <t>ID-946</t>
  </si>
  <si>
    <t>ID-947</t>
  </si>
  <si>
    <t>ID-948</t>
  </si>
  <si>
    <t>ID-949</t>
  </si>
  <si>
    <t>ID-950</t>
  </si>
  <si>
    <t>ID-951</t>
  </si>
  <si>
    <t>ID-952</t>
  </si>
  <si>
    <t>ID-953</t>
  </si>
  <si>
    <t>ID-954</t>
  </si>
  <si>
    <t>ID-955</t>
  </si>
  <si>
    <t>ID-956</t>
  </si>
  <si>
    <t>ID-957</t>
  </si>
  <si>
    <t>ID-958</t>
  </si>
  <si>
    <t>ID-959</t>
  </si>
  <si>
    <t>ID-960</t>
  </si>
  <si>
    <t>ID-961</t>
  </si>
  <si>
    <t>ID-962</t>
  </si>
  <si>
    <t>ID-963</t>
  </si>
  <si>
    <t>ID-964</t>
  </si>
  <si>
    <t>ID-965</t>
  </si>
  <si>
    <t>ID-966</t>
  </si>
  <si>
    <t>ID-967</t>
  </si>
  <si>
    <t>ID-968</t>
  </si>
  <si>
    <t>ID-969</t>
  </si>
  <si>
    <t>ID-970</t>
  </si>
  <si>
    <t>ID-971</t>
  </si>
  <si>
    <t>ID-972</t>
  </si>
  <si>
    <t>ID-973</t>
  </si>
  <si>
    <t>ID-974</t>
  </si>
  <si>
    <t>ID-975</t>
  </si>
  <si>
    <t>ID-976</t>
  </si>
  <si>
    <t>ID-977</t>
  </si>
  <si>
    <t>ID-978</t>
  </si>
  <si>
    <t>ID-979</t>
  </si>
  <si>
    <t>ID-980</t>
  </si>
  <si>
    <t>ID-981</t>
  </si>
  <si>
    <t>ID-982</t>
  </si>
  <si>
    <t>ID-983</t>
  </si>
  <si>
    <t>ID-984</t>
  </si>
  <si>
    <t>ID-985</t>
  </si>
  <si>
    <t>ID-986</t>
  </si>
  <si>
    <t>ID-987</t>
  </si>
  <si>
    <t>ID-988</t>
  </si>
  <si>
    <t>ID-989</t>
  </si>
  <si>
    <t>ID-990</t>
  </si>
  <si>
    <t>ID-991</t>
  </si>
  <si>
    <t>ID-992</t>
  </si>
  <si>
    <t>ID-993</t>
  </si>
  <si>
    <t>ID-994</t>
  </si>
  <si>
    <t>ID-995</t>
  </si>
  <si>
    <t>ID-996</t>
  </si>
  <si>
    <t>ID-997</t>
  </si>
  <si>
    <t>ID-998</t>
  </si>
  <si>
    <t>ID-999</t>
  </si>
  <si>
    <t>ID-1000</t>
  </si>
  <si>
    <t>ID-1001</t>
  </si>
  <si>
    <t>ID-1002</t>
  </si>
  <si>
    <t>ID-1003</t>
  </si>
  <si>
    <t>ID-1004</t>
  </si>
  <si>
    <t>ID-1005</t>
  </si>
  <si>
    <t>ID-1006</t>
  </si>
  <si>
    <t>ID-1007</t>
  </si>
  <si>
    <t>ID-1008</t>
  </si>
  <si>
    <t>ID-1009</t>
  </si>
  <si>
    <t>ID-1010</t>
  </si>
  <si>
    <t>ID-1011</t>
  </si>
  <si>
    <t>ID-1012</t>
  </si>
  <si>
    <t>ID-1013</t>
  </si>
  <si>
    <t>ID-1014</t>
  </si>
  <si>
    <t>ID-1015</t>
  </si>
  <si>
    <t>ID-1016</t>
  </si>
  <si>
    <t>ID-1017</t>
  </si>
  <si>
    <t>ID-1018</t>
  </si>
  <si>
    <t>ID-1019</t>
  </si>
  <si>
    <t>ID-1020</t>
  </si>
  <si>
    <t>ID-1021</t>
  </si>
  <si>
    <t>ID-1022</t>
  </si>
  <si>
    <t>ID-1023</t>
  </si>
  <si>
    <t>ID-1024</t>
  </si>
  <si>
    <t>ID-1025</t>
  </si>
  <si>
    <t>ID-1026</t>
  </si>
  <si>
    <t>ID-1027</t>
  </si>
  <si>
    <t>ID-1028</t>
  </si>
  <si>
    <t>ID-1029</t>
  </si>
  <si>
    <t>ID-1030</t>
  </si>
  <si>
    <t>ID-1031</t>
  </si>
  <si>
    <t>ID-1032</t>
  </si>
  <si>
    <t>ID-1033</t>
  </si>
  <si>
    <t>ID-1034</t>
  </si>
  <si>
    <t>ID-1035</t>
  </si>
  <si>
    <t>ID-1036</t>
  </si>
  <si>
    <t>ID-1037</t>
  </si>
  <si>
    <t>ID-1038</t>
  </si>
  <si>
    <t>ID-1039</t>
  </si>
  <si>
    <t>ID-1040</t>
  </si>
  <si>
    <t>ID-1041</t>
  </si>
  <si>
    <t>ID-1042</t>
  </si>
  <si>
    <t>ID-1043</t>
  </si>
  <si>
    <t>ID-1044</t>
  </si>
  <si>
    <t>ID-1045</t>
  </si>
  <si>
    <t>ID-1046</t>
  </si>
  <si>
    <t>ID-1047</t>
  </si>
  <si>
    <t>ID-1048</t>
  </si>
  <si>
    <t>ID-1049</t>
  </si>
  <si>
    <t>ID-1050</t>
  </si>
  <si>
    <t>ID-1051</t>
  </si>
  <si>
    <t>ID-1052</t>
  </si>
  <si>
    <t>ID-1053</t>
  </si>
  <si>
    <t>ID-1054</t>
  </si>
  <si>
    <t>ID-1055</t>
  </si>
  <si>
    <t>ID-1056</t>
  </si>
  <si>
    <t>ID-1057</t>
  </si>
  <si>
    <t>ID-1058</t>
  </si>
  <si>
    <t>ID-1059</t>
  </si>
  <si>
    <t>ID-1060</t>
  </si>
  <si>
    <t>ID-1061</t>
  </si>
  <si>
    <t>ID-1062</t>
  </si>
  <si>
    <t>ID-1063</t>
  </si>
  <si>
    <t>ID-1064</t>
  </si>
  <si>
    <t>ID-1065</t>
  </si>
  <si>
    <t>ID-1066</t>
  </si>
  <si>
    <t>ID-1067</t>
  </si>
  <si>
    <t>ID-1068</t>
  </si>
  <si>
    <t>ID-1069</t>
  </si>
  <si>
    <t>ID-1070</t>
  </si>
  <si>
    <t>ID-1071</t>
  </si>
  <si>
    <t>ID-1072</t>
  </si>
  <si>
    <t>ID-1073</t>
  </si>
  <si>
    <t>ID-1074</t>
  </si>
  <si>
    <t>ID-1075</t>
  </si>
  <si>
    <t>ID-1076</t>
  </si>
  <si>
    <t>ID-1077</t>
  </si>
  <si>
    <t>ID-1078</t>
  </si>
  <si>
    <t>ID-1079</t>
  </si>
  <si>
    <t>ID-1080</t>
  </si>
  <si>
    <t>ID-1081</t>
  </si>
  <si>
    <t>ID-1082</t>
  </si>
  <si>
    <t>ID-1083</t>
  </si>
  <si>
    <t>ID-1084</t>
  </si>
  <si>
    <t>ID-1085</t>
  </si>
  <si>
    <t>ID-1086</t>
  </si>
  <si>
    <t>ID-1087</t>
  </si>
  <si>
    <t>ID-1088</t>
  </si>
  <si>
    <t>ID-1089</t>
  </si>
  <si>
    <t>ID-1090</t>
  </si>
  <si>
    <t>ID-1091</t>
  </si>
  <si>
    <t>ID-1092</t>
  </si>
  <si>
    <t>ID-1093</t>
  </si>
  <si>
    <t>ID-1094</t>
  </si>
  <si>
    <t>ID-1095</t>
  </si>
  <si>
    <t>ID-1096</t>
  </si>
  <si>
    <t>ID-1097</t>
  </si>
  <si>
    <t>ID-1098</t>
  </si>
  <si>
    <t>ID-1099</t>
  </si>
  <si>
    <t>ID-1100</t>
  </si>
  <si>
    <t>ID-1101</t>
  </si>
  <si>
    <t>ID-1102</t>
  </si>
  <si>
    <t>ID-1103</t>
  </si>
  <si>
    <t>ID-1104</t>
  </si>
  <si>
    <t>ID-1105</t>
  </si>
  <si>
    <t>ID-1106</t>
  </si>
  <si>
    <t>ID-1107</t>
  </si>
  <si>
    <t>ID-1108</t>
  </si>
  <si>
    <t>ID-1109</t>
  </si>
  <si>
    <t>ID-1110</t>
  </si>
  <si>
    <t>ID-1111</t>
  </si>
  <si>
    <t>ID-1112</t>
  </si>
  <si>
    <t>ID-1113</t>
  </si>
  <si>
    <t>ID-1114</t>
  </si>
  <si>
    <t>ID-1115</t>
  </si>
  <si>
    <t>ID-1116</t>
  </si>
  <si>
    <t>ID-1117</t>
  </si>
  <si>
    <t>ID-1118</t>
  </si>
  <si>
    <t>ID-1119</t>
  </si>
  <si>
    <t>ID-1120</t>
  </si>
  <si>
    <t>ID-1121</t>
  </si>
  <si>
    <t>ID-1122</t>
  </si>
  <si>
    <t>ID-1123</t>
  </si>
  <si>
    <t>ID-1124</t>
  </si>
  <si>
    <t>ID-1125</t>
  </si>
  <si>
    <t>ID-1126</t>
  </si>
  <si>
    <t>ID-1127</t>
  </si>
  <si>
    <t>ID-1128</t>
  </si>
  <si>
    <t>ID-1129</t>
  </si>
  <si>
    <t>ID-1130</t>
  </si>
  <si>
    <t>ID-1131</t>
  </si>
  <si>
    <t>ID-1132</t>
  </si>
  <si>
    <t>ID-1133</t>
  </si>
  <si>
    <t>ID-1134</t>
  </si>
  <si>
    <t>ID-1135</t>
  </si>
  <si>
    <t>ID-1136</t>
  </si>
  <si>
    <t>ID-1137</t>
  </si>
  <si>
    <t>ID-1138</t>
  </si>
  <si>
    <t>ID-1139</t>
  </si>
  <si>
    <t>ID-1140</t>
  </si>
  <si>
    <t>ID-1141</t>
  </si>
  <si>
    <t>ID-1142</t>
  </si>
  <si>
    <t>ID-1143</t>
  </si>
  <si>
    <t>ID-1144</t>
  </si>
  <si>
    <t>ID-1145</t>
  </si>
  <si>
    <t>ID-1146</t>
  </si>
  <si>
    <t>ID-1147</t>
  </si>
  <si>
    <t>ID-1148</t>
  </si>
  <si>
    <t>ID-1149</t>
  </si>
  <si>
    <t>ID-1150</t>
  </si>
  <si>
    <t>ID-1151</t>
  </si>
  <si>
    <t>ID-1152</t>
  </si>
  <si>
    <t>ID-1153</t>
  </si>
  <si>
    <t>ID-1154</t>
  </si>
  <si>
    <t>ID-1155</t>
  </si>
  <si>
    <t>ID-1156</t>
  </si>
  <si>
    <t>ID-1157</t>
  </si>
  <si>
    <t>ID-1158</t>
  </si>
  <si>
    <t>ID-1159</t>
  </si>
  <si>
    <t>ID-1160</t>
  </si>
  <si>
    <t>ID-1161</t>
  </si>
  <si>
    <t>ID-1162</t>
  </si>
  <si>
    <t>ID-1163</t>
  </si>
  <si>
    <t>ID-1164</t>
  </si>
  <si>
    <t>ID-1165</t>
  </si>
  <si>
    <t>ID-1166</t>
  </si>
  <si>
    <t>ID-1167</t>
  </si>
  <si>
    <t>ID-1168</t>
  </si>
  <si>
    <t>ID-1169</t>
  </si>
  <si>
    <t>ID-1170</t>
  </si>
  <si>
    <t>ID-1171</t>
  </si>
  <si>
    <t>ID-1172</t>
  </si>
  <si>
    <t>ID-1173</t>
  </si>
  <si>
    <t>ID-1174</t>
  </si>
  <si>
    <t>ID-1175</t>
  </si>
  <si>
    <t>ID-1176</t>
  </si>
  <si>
    <t>ID-1177</t>
  </si>
  <si>
    <t>ID-1178</t>
  </si>
  <si>
    <t>ID-1179</t>
  </si>
  <si>
    <t>ID-1180</t>
  </si>
  <si>
    <t>ID-1181</t>
  </si>
  <si>
    <t>ID-1182</t>
  </si>
  <si>
    <t>ID-1183</t>
  </si>
  <si>
    <t>ID-1184</t>
  </si>
  <si>
    <t>ID-1185</t>
  </si>
  <si>
    <t>ID-1186</t>
  </si>
  <si>
    <t>ID-1187</t>
  </si>
  <si>
    <t>ID-1188</t>
  </si>
  <si>
    <t>ID-1189</t>
  </si>
  <si>
    <t>ID-1190</t>
  </si>
  <si>
    <t>ID-1191</t>
  </si>
  <si>
    <t>ID-1192</t>
  </si>
  <si>
    <t>ID-1193</t>
  </si>
  <si>
    <t>ID-1194</t>
  </si>
  <si>
    <t>ID-1195</t>
  </si>
  <si>
    <t>ID-1196</t>
  </si>
  <si>
    <t>ID-1197</t>
  </si>
  <si>
    <t>ID-1198</t>
  </si>
  <si>
    <t>ID-1199</t>
  </si>
  <si>
    <t>ID-1200</t>
  </si>
  <si>
    <t>ID-1201</t>
  </si>
  <si>
    <t>ID-1202</t>
  </si>
  <si>
    <t>ID-1203</t>
  </si>
  <si>
    <t>ID-1204</t>
  </si>
  <si>
    <t>ID-1205</t>
  </si>
  <si>
    <t>ID-1206</t>
  </si>
  <si>
    <t>ID-1207</t>
  </si>
  <si>
    <t>ID-1208</t>
  </si>
  <si>
    <t>ID-1209</t>
  </si>
  <si>
    <t>ID-1210</t>
  </si>
  <si>
    <t>ID-1211</t>
  </si>
  <si>
    <t>ID-1212</t>
  </si>
  <si>
    <t>ID-1213</t>
  </si>
  <si>
    <t>ID-1214</t>
  </si>
  <si>
    <t>ID-1215</t>
  </si>
  <si>
    <t>ID-1216</t>
  </si>
  <si>
    <t>ID-1217</t>
  </si>
  <si>
    <t>ID-1218</t>
  </si>
  <si>
    <t>ID-1219</t>
  </si>
  <si>
    <t>ID-1220</t>
  </si>
  <si>
    <t>ID-1221</t>
  </si>
  <si>
    <t>ID-1222</t>
  </si>
  <si>
    <t>ID-1223</t>
  </si>
  <si>
    <t>ID-1224</t>
  </si>
  <si>
    <t>ID-1225</t>
  </si>
  <si>
    <t>ID-1226</t>
  </si>
  <si>
    <t>ID-1227</t>
  </si>
  <si>
    <t>ID-1228</t>
  </si>
  <si>
    <t>ID-1229</t>
  </si>
  <si>
    <t>ID-1230</t>
  </si>
  <si>
    <t>ID-1231</t>
  </si>
  <si>
    <t>ID-1232</t>
  </si>
  <si>
    <t>ID-1233</t>
  </si>
  <si>
    <t>ID-1234</t>
  </si>
  <si>
    <t>ID-1235</t>
  </si>
  <si>
    <t>ID-1236</t>
  </si>
  <si>
    <t>ID-1237</t>
  </si>
  <si>
    <t>ID-1238</t>
  </si>
  <si>
    <t>ID-1239</t>
  </si>
  <si>
    <t>ID-1240</t>
  </si>
  <si>
    <t>ID-1241</t>
  </si>
  <si>
    <t>ID-1242</t>
  </si>
  <si>
    <t>ID-1243</t>
  </si>
  <si>
    <t>ID-1244</t>
  </si>
  <si>
    <t>ID-1245</t>
  </si>
  <si>
    <t>ID-1246</t>
  </si>
  <si>
    <t>ID-1247</t>
  </si>
  <si>
    <t>ID-1248</t>
  </si>
  <si>
    <t>ID-1249</t>
  </si>
  <si>
    <t>ID-1250</t>
  </si>
  <si>
    <t>ID-1251</t>
  </si>
  <si>
    <t>ID-1252</t>
  </si>
  <si>
    <t>ID-1253</t>
  </si>
  <si>
    <t>ID-1254</t>
  </si>
  <si>
    <t>ID-1255</t>
  </si>
  <si>
    <t>ID-1256</t>
  </si>
  <si>
    <t>ID-1257</t>
  </si>
  <si>
    <t>ID-1258</t>
  </si>
  <si>
    <t>ID-1259</t>
  </si>
  <si>
    <t>ID-1260</t>
  </si>
  <si>
    <t>ID-1261</t>
  </si>
  <si>
    <t>ID-1262</t>
  </si>
  <si>
    <t>ID-1263</t>
  </si>
  <si>
    <t>ID-1264</t>
  </si>
  <si>
    <t>ID-1265</t>
  </si>
  <si>
    <t>ID-1266</t>
  </si>
  <si>
    <t>ID-1267</t>
  </si>
  <si>
    <t>ID-1268</t>
  </si>
  <si>
    <t>ID-1269</t>
  </si>
  <si>
    <t>ID-1270</t>
  </si>
  <si>
    <t>ID-1271</t>
  </si>
  <si>
    <t>ID-1272</t>
  </si>
  <si>
    <t>ID-1273</t>
  </si>
  <si>
    <t>ID-1274</t>
  </si>
  <si>
    <t>ID-1275</t>
  </si>
  <si>
    <t>ID-1276</t>
  </si>
  <si>
    <t>ID-1277</t>
  </si>
  <si>
    <t>ID-1278</t>
  </si>
  <si>
    <t>ID-1279</t>
  </si>
  <si>
    <t>ID-1280</t>
  </si>
  <si>
    <t>ID-1281</t>
  </si>
  <si>
    <t>ID-1282</t>
  </si>
  <si>
    <t>ID-1283</t>
  </si>
  <si>
    <t>ID-1284</t>
  </si>
  <si>
    <t>ID-1285</t>
  </si>
  <si>
    <t>ID-1286</t>
  </si>
  <si>
    <t>ID-1287</t>
  </si>
  <si>
    <t>ID-1288</t>
  </si>
  <si>
    <t>ID-1289</t>
  </si>
  <si>
    <t>ID-1290</t>
  </si>
  <si>
    <t>ID-1291</t>
  </si>
  <si>
    <t>ID-1292</t>
  </si>
  <si>
    <t>ID-1293</t>
  </si>
  <si>
    <t>ID-1294</t>
  </si>
  <si>
    <t>ID-1295</t>
  </si>
  <si>
    <t>ID-1296</t>
  </si>
  <si>
    <t>ID-1297</t>
  </si>
  <si>
    <t>ID-1298</t>
  </si>
  <si>
    <t>ID-1299</t>
  </si>
  <si>
    <t>ID-1300</t>
  </si>
  <si>
    <t>ID-1301</t>
  </si>
  <si>
    <t>ID-1302</t>
  </si>
  <si>
    <t>ID-1303</t>
  </si>
  <si>
    <t>ID-1304</t>
  </si>
  <si>
    <t>ID-1305</t>
  </si>
  <si>
    <t>ID-1306</t>
  </si>
  <si>
    <t>ID-1307</t>
  </si>
  <si>
    <t>ID-1308</t>
  </si>
  <si>
    <t>ID-1309</t>
  </si>
  <si>
    <t>ID-1310</t>
  </si>
  <si>
    <t>ID-1311</t>
  </si>
  <si>
    <t>ID-1312</t>
  </si>
  <si>
    <t>ID-1313</t>
  </si>
  <si>
    <t>ID-1314</t>
  </si>
  <si>
    <t>ID-1315</t>
  </si>
  <si>
    <t>ID-1316</t>
  </si>
  <si>
    <t>ID-1317</t>
  </si>
  <si>
    <t>ID-1318</t>
  </si>
  <si>
    <t>ID-1319</t>
  </si>
  <si>
    <t>ID-1320</t>
  </si>
  <si>
    <t>ID-1321</t>
  </si>
  <si>
    <t>ID-1322</t>
  </si>
  <si>
    <t>ID-1323</t>
  </si>
  <si>
    <t>ID-1324</t>
  </si>
  <si>
    <t>ID-1325</t>
  </si>
  <si>
    <t>ID-1326</t>
  </si>
  <si>
    <t>ID-1327</t>
  </si>
  <si>
    <t>ID-1328</t>
  </si>
  <si>
    <t>ID-1329</t>
  </si>
  <si>
    <t>ID-1330</t>
  </si>
  <si>
    <t>ID-1331</t>
  </si>
  <si>
    <t>ID-1332</t>
  </si>
  <si>
    <t>ID-1333</t>
  </si>
  <si>
    <t>ID-1334</t>
  </si>
  <si>
    <t>ID-1335</t>
  </si>
  <si>
    <t>ID-1336</t>
  </si>
  <si>
    <t>ID-1337</t>
  </si>
  <si>
    <t>ID-1338</t>
  </si>
  <si>
    <t>ID-1339</t>
  </si>
  <si>
    <t>ID-1340</t>
  </si>
  <si>
    <t>ID-1341</t>
  </si>
  <si>
    <t>ID-1342</t>
  </si>
  <si>
    <t>ID-1343</t>
  </si>
  <si>
    <t>ID-1344</t>
  </si>
  <si>
    <t>ID-1345</t>
  </si>
  <si>
    <t>ID-1346</t>
  </si>
  <si>
    <t>ID-1347</t>
  </si>
  <si>
    <t>ID-1348</t>
  </si>
  <si>
    <t>ID-1349</t>
  </si>
  <si>
    <t>ID-1350</t>
  </si>
  <si>
    <t>ID-1351</t>
  </si>
  <si>
    <t>ID-1352</t>
  </si>
  <si>
    <t>ID-1353</t>
  </si>
  <si>
    <t>ID-1354</t>
  </si>
  <si>
    <t>ID-1355</t>
  </si>
  <si>
    <t>ID-1356</t>
  </si>
  <si>
    <t>ID-1357</t>
  </si>
  <si>
    <t>ID-1358</t>
  </si>
  <si>
    <t>ID-1359</t>
  </si>
  <si>
    <t>ID-1360</t>
  </si>
  <si>
    <t>ID-1361</t>
  </si>
  <si>
    <t>ID-1362</t>
  </si>
  <si>
    <t>ID-1363</t>
  </si>
  <si>
    <t>ID-1364</t>
  </si>
  <si>
    <t>ID-1365</t>
  </si>
  <si>
    <t>ID-1366</t>
  </si>
  <si>
    <t>ID-1367</t>
  </si>
  <si>
    <t>ID-1368</t>
  </si>
  <si>
    <t>ID-1369</t>
  </si>
  <si>
    <t>ID-1370</t>
  </si>
  <si>
    <t>ID-1371</t>
  </si>
  <si>
    <t>ID-1372</t>
  </si>
  <si>
    <t>ID-1373</t>
  </si>
  <si>
    <t>ID-1374</t>
  </si>
  <si>
    <t>ID-1375</t>
  </si>
  <si>
    <t>ID-1376</t>
  </si>
  <si>
    <t>ID-1377</t>
  </si>
  <si>
    <t>ID-1378</t>
  </si>
  <si>
    <t>ID-1379</t>
  </si>
  <si>
    <t>ID-1380</t>
  </si>
  <si>
    <t>ID-1381</t>
  </si>
  <si>
    <t>ID-1382</t>
  </si>
  <si>
    <t>ID-1383</t>
  </si>
  <si>
    <t>ID-1384</t>
  </si>
  <si>
    <t>ID-1385</t>
  </si>
  <si>
    <t>ID-1386</t>
  </si>
  <si>
    <t>ID-1387</t>
  </si>
  <si>
    <t>ID-1388</t>
  </si>
  <si>
    <t>ID-1389</t>
  </si>
  <si>
    <t>ID-1390</t>
  </si>
  <si>
    <t>ID-1391</t>
  </si>
  <si>
    <t>ID-1392</t>
  </si>
  <si>
    <t>ID-1393</t>
  </si>
  <si>
    <t>ID-1394</t>
  </si>
  <si>
    <t>ID-1395</t>
  </si>
  <si>
    <t>ID-1396</t>
  </si>
  <si>
    <t>ID-1397</t>
  </si>
  <si>
    <t>ID-1398</t>
  </si>
  <si>
    <t>ID-1399</t>
  </si>
  <si>
    <t>ID-1400</t>
  </si>
  <si>
    <t>ID-1401</t>
  </si>
  <si>
    <t>ID-1402</t>
  </si>
  <si>
    <t>ID-1403</t>
  </si>
  <si>
    <t>ID-1404</t>
  </si>
  <si>
    <t>ID-1405</t>
  </si>
  <si>
    <t>ID-1406</t>
  </si>
  <si>
    <t>ID-1407</t>
  </si>
  <si>
    <t>ID-1408</t>
  </si>
  <si>
    <t>ID-1409</t>
  </si>
  <si>
    <t>ID-1410</t>
  </si>
  <si>
    <t>ID-1411</t>
  </si>
  <si>
    <t>ID-1412</t>
  </si>
  <si>
    <t>ID-1413</t>
  </si>
  <si>
    <t>ID-1414</t>
  </si>
  <si>
    <t>ID-1415</t>
  </si>
  <si>
    <t>ID-1416</t>
  </si>
  <si>
    <t>ID-1417</t>
  </si>
  <si>
    <t>ID-1418</t>
  </si>
  <si>
    <t>ID-1419</t>
  </si>
  <si>
    <t>ID-1420</t>
  </si>
  <si>
    <t>ID-1421</t>
  </si>
  <si>
    <t>ID-1422</t>
  </si>
  <si>
    <t>ID-1423</t>
  </si>
  <si>
    <t>ID-1424</t>
  </si>
  <si>
    <t>ID-1425</t>
  </si>
  <si>
    <t>ID-1426</t>
  </si>
  <si>
    <t>ID-1427</t>
  </si>
  <si>
    <t>ID-1428</t>
  </si>
  <si>
    <t>ID-1429</t>
  </si>
  <si>
    <t>ID-1430</t>
  </si>
  <si>
    <t>ID-1431</t>
  </si>
  <si>
    <t>ID-1432</t>
  </si>
  <si>
    <t>ID-1433</t>
  </si>
  <si>
    <t>ID-1434</t>
  </si>
  <si>
    <t>ID-1435</t>
  </si>
  <si>
    <t>ID-1436</t>
  </si>
  <si>
    <t>ID-1437</t>
  </si>
  <si>
    <t>ID-1438</t>
  </si>
  <si>
    <t>ID-1439</t>
  </si>
  <si>
    <t>ID-1440</t>
  </si>
  <si>
    <t>ID-1441</t>
  </si>
  <si>
    <t>ID-1442</t>
  </si>
  <si>
    <t>ID-1443</t>
  </si>
  <si>
    <t>ID-1444</t>
  </si>
  <si>
    <t>ID-1445</t>
  </si>
  <si>
    <t>ID-1446</t>
  </si>
  <si>
    <t>ID-1447</t>
  </si>
  <si>
    <t>ID-1448</t>
  </si>
  <si>
    <t>ID-1449</t>
  </si>
  <si>
    <t>ID-1450</t>
  </si>
  <si>
    <t>ID-1451</t>
  </si>
  <si>
    <t>ID-1452</t>
  </si>
  <si>
    <t>ID-1453</t>
  </si>
  <si>
    <t>ID-1454</t>
  </si>
  <si>
    <t>ID-1455</t>
  </si>
  <si>
    <t>ID-1456</t>
  </si>
  <si>
    <t>ID-1457</t>
  </si>
  <si>
    <t>ID-1458</t>
  </si>
  <si>
    <t>ID-1459</t>
  </si>
  <si>
    <t>ID-1460</t>
  </si>
  <si>
    <t>ID-1461</t>
  </si>
  <si>
    <t>ID-1462</t>
  </si>
  <si>
    <t>ID-1463</t>
  </si>
  <si>
    <t>ID-1464</t>
  </si>
  <si>
    <t>ID-1465</t>
  </si>
  <si>
    <t>ID-1466</t>
  </si>
  <si>
    <t>ID-1467</t>
  </si>
  <si>
    <t>ID-1468</t>
  </si>
  <si>
    <t>ID-1469</t>
  </si>
  <si>
    <t>ID-1470</t>
  </si>
  <si>
    <t>ID-1471</t>
  </si>
  <si>
    <t>ID-1472</t>
  </si>
  <si>
    <t>ID-1473</t>
  </si>
  <si>
    <t>ID-1474</t>
  </si>
  <si>
    <t>ID-1475</t>
  </si>
  <si>
    <t>ID-1476</t>
  </si>
  <si>
    <t>ID-1477</t>
  </si>
  <si>
    <t>ID-1478</t>
  </si>
  <si>
    <t>ID-1479</t>
  </si>
  <si>
    <t>ID-1480</t>
  </si>
  <si>
    <t>ID-1481</t>
  </si>
  <si>
    <t>ID-1482</t>
  </si>
  <si>
    <t>ID-1483</t>
  </si>
  <si>
    <t>ID-1484</t>
  </si>
  <si>
    <t>ID-1485</t>
  </si>
  <si>
    <t>ID-1486</t>
  </si>
  <si>
    <t>ID-1487</t>
  </si>
  <si>
    <t>ID-1488</t>
  </si>
  <si>
    <t>ID-1489</t>
  </si>
  <si>
    <t>ID-1490</t>
  </si>
  <si>
    <t>ID-1491</t>
  </si>
  <si>
    <t>ID-1492</t>
  </si>
  <si>
    <t>ID-1493</t>
  </si>
  <si>
    <t>ID-1494</t>
  </si>
  <si>
    <t>ID-1495</t>
  </si>
  <si>
    <t>ID-1496</t>
  </si>
  <si>
    <t>ID-1497</t>
  </si>
  <si>
    <t>ID-1498</t>
  </si>
  <si>
    <t>ID-1499</t>
  </si>
  <si>
    <t>ID-1500</t>
  </si>
  <si>
    <t>ID-1501</t>
  </si>
  <si>
    <t>ID-1502</t>
  </si>
  <si>
    <t>ID-1503</t>
  </si>
  <si>
    <t>ID-1504</t>
  </si>
  <si>
    <t>ID-1505</t>
  </si>
  <si>
    <t>ID-1506</t>
  </si>
  <si>
    <t>ID-1507</t>
  </si>
  <si>
    <t>ID-1508</t>
  </si>
  <si>
    <t>ID-1509</t>
  </si>
  <si>
    <t>ID-1510</t>
  </si>
  <si>
    <t>ID-1511</t>
  </si>
  <si>
    <t>ID-1512</t>
  </si>
  <si>
    <t>ID-1513</t>
  </si>
  <si>
    <t>ID-1514</t>
  </si>
  <si>
    <t>ID-1515</t>
  </si>
  <si>
    <t>ID-1516</t>
  </si>
  <si>
    <t>ID-1517</t>
  </si>
  <si>
    <t>ID-1518</t>
  </si>
  <si>
    <t>ID-1519</t>
  </si>
  <si>
    <t>ID-1520</t>
  </si>
  <si>
    <t>ID-1521</t>
  </si>
  <si>
    <t>ID-1522</t>
  </si>
  <si>
    <t>ID-1523</t>
  </si>
  <si>
    <t>ID-1524</t>
  </si>
  <si>
    <t>ID-1525</t>
  </si>
  <si>
    <t>ID-1526</t>
  </si>
  <si>
    <t>ID-1527</t>
  </si>
  <si>
    <t>ID-1528</t>
  </si>
  <si>
    <t>ID-1529</t>
  </si>
  <si>
    <t>ID-1530</t>
  </si>
  <si>
    <t>ID-1531</t>
  </si>
  <si>
    <t>ID-1532</t>
  </si>
  <si>
    <t>ID-1533</t>
  </si>
  <si>
    <t>ID-1534</t>
  </si>
  <si>
    <t>ID-1535</t>
  </si>
  <si>
    <t>ID-1536</t>
  </si>
  <si>
    <t>ID-1537</t>
  </si>
  <si>
    <t>ID-1538</t>
  </si>
  <si>
    <t>ID-1539</t>
  </si>
  <si>
    <t>ID-1540</t>
  </si>
  <si>
    <t>ID-1541</t>
  </si>
  <si>
    <t>ID-1542</t>
  </si>
  <si>
    <t>ID-1543</t>
  </si>
  <si>
    <t>ID-1544</t>
  </si>
  <si>
    <t>ID-1545</t>
  </si>
  <si>
    <t>ID-1546</t>
  </si>
  <si>
    <t>ID-1547</t>
  </si>
  <si>
    <t>ID-1548</t>
  </si>
  <si>
    <t>ID-1549</t>
  </si>
  <si>
    <t>ID-1550</t>
  </si>
  <si>
    <t>ID-1551</t>
  </si>
  <si>
    <t>ID-1552</t>
  </si>
  <si>
    <t>ID-1553</t>
  </si>
  <si>
    <t>ID-1554</t>
  </si>
  <si>
    <t>ID-1555</t>
  </si>
  <si>
    <t>ID-1556</t>
  </si>
  <si>
    <t>ID-1557</t>
  </si>
  <si>
    <t>ID-1558</t>
  </si>
  <si>
    <t>ID-1559</t>
  </si>
  <si>
    <t>ID-1560</t>
  </si>
  <si>
    <t>ID-1561</t>
  </si>
  <si>
    <t>ID-1562</t>
  </si>
  <si>
    <t>ID-1563</t>
  </si>
  <si>
    <t>ID-1564</t>
  </si>
  <si>
    <t>ID-1565</t>
  </si>
  <si>
    <t>ID-1566</t>
  </si>
  <si>
    <t>ID-1567</t>
  </si>
  <si>
    <t>ID-1568</t>
  </si>
  <si>
    <t>ID-1569</t>
  </si>
  <si>
    <t>ID-1570</t>
  </si>
  <si>
    <t>ID-1571</t>
  </si>
  <si>
    <t>ID-1572</t>
  </si>
  <si>
    <t>ID-1573</t>
  </si>
  <si>
    <t>ID-1574</t>
  </si>
  <si>
    <t>ID-1575</t>
  </si>
  <si>
    <t>ID-1576</t>
  </si>
  <si>
    <t>ID-1577</t>
  </si>
  <si>
    <t>ID-1578</t>
  </si>
  <si>
    <t>ID-1579</t>
  </si>
  <si>
    <t>ID-1580</t>
  </si>
  <si>
    <t>ID-1581</t>
  </si>
  <si>
    <t>ID-1582</t>
  </si>
  <si>
    <t>ID-1583</t>
  </si>
  <si>
    <t>ID-1584</t>
  </si>
  <si>
    <t>ID-1585</t>
  </si>
  <si>
    <t>ID-1586</t>
  </si>
  <si>
    <t>ID-1587</t>
  </si>
  <si>
    <t>ID-1588</t>
  </si>
  <si>
    <t>ID-1589</t>
  </si>
  <si>
    <t>ID-1590</t>
  </si>
  <si>
    <t>ID-1591</t>
  </si>
  <si>
    <t>ID-1592</t>
  </si>
  <si>
    <t>ID-1593</t>
  </si>
  <si>
    <t>ID-1594</t>
  </si>
  <si>
    <t>ID-1595</t>
  </si>
  <si>
    <t>ID-1596</t>
  </si>
  <si>
    <t>ID-1597</t>
  </si>
  <si>
    <t>ID-1598</t>
  </si>
  <si>
    <t>ID-1599</t>
  </si>
  <si>
    <t>ID-1600</t>
  </si>
  <si>
    <t>ID-1601</t>
  </si>
  <si>
    <t>ID-1602</t>
  </si>
  <si>
    <t>ID-1603</t>
  </si>
  <si>
    <t>ID-1604</t>
  </si>
  <si>
    <t>ID-1605</t>
  </si>
  <si>
    <t>ID-1606</t>
  </si>
  <si>
    <t>ID-1607</t>
  </si>
  <si>
    <t>ID-1608</t>
  </si>
  <si>
    <t>ID-1609</t>
  </si>
  <si>
    <t>ID-1610</t>
  </si>
  <si>
    <t>ID-1611</t>
  </si>
  <si>
    <t>ID-1612</t>
  </si>
  <si>
    <t>ID-1613</t>
  </si>
  <si>
    <t>ID-1614</t>
  </si>
  <si>
    <t>ID-1615</t>
  </si>
  <si>
    <t>ID-1616</t>
  </si>
  <si>
    <t>ID-1617</t>
  </si>
  <si>
    <t>ID-1618</t>
  </si>
  <si>
    <t>ID-1619</t>
  </si>
  <si>
    <t>ID-1620</t>
  </si>
  <si>
    <t>ID-1621</t>
  </si>
  <si>
    <t>ID-1622</t>
  </si>
  <si>
    <t>ID-1623</t>
  </si>
  <si>
    <t>ID-1624</t>
  </si>
  <si>
    <t>ID-1625</t>
  </si>
  <si>
    <t>ID-1626</t>
  </si>
  <si>
    <t>ID-1627</t>
  </si>
  <si>
    <t>ID-1628</t>
  </si>
  <si>
    <t>ID-1629</t>
  </si>
  <si>
    <t>ID-1630</t>
  </si>
  <si>
    <t>ID-1631</t>
  </si>
  <si>
    <t>ID-1632</t>
  </si>
  <si>
    <t>ID-1633</t>
  </si>
  <si>
    <t>ID-1634</t>
  </si>
  <si>
    <t>ID-1635</t>
  </si>
  <si>
    <t>ID-1636</t>
  </si>
  <si>
    <t>ID-1637</t>
  </si>
  <si>
    <t>ID-1638</t>
  </si>
  <si>
    <t>ID-1639</t>
  </si>
  <si>
    <t>ID-1640</t>
  </si>
  <si>
    <t>ID-1641</t>
  </si>
  <si>
    <t>ID-1642</t>
  </si>
  <si>
    <t>ID-1643</t>
  </si>
  <si>
    <t>ID-1644</t>
  </si>
  <si>
    <t>ID-1645</t>
  </si>
  <si>
    <t>ID-1646</t>
  </si>
  <si>
    <t>ID-1647</t>
  </si>
  <si>
    <t>ID-1648</t>
  </si>
  <si>
    <t>ID-1649</t>
  </si>
  <si>
    <t>ID-1650</t>
  </si>
  <si>
    <t>ID-1651</t>
  </si>
  <si>
    <t>ID-1652</t>
  </si>
  <si>
    <t>ID-1653</t>
  </si>
  <si>
    <t>ID-1654</t>
  </si>
  <si>
    <t>ID-1655</t>
  </si>
  <si>
    <t>ID-1656</t>
  </si>
  <si>
    <t>ID-1657</t>
  </si>
  <si>
    <t>ID-1658</t>
  </si>
  <si>
    <t>ID-1659</t>
  </si>
  <si>
    <t>ID-1660</t>
  </si>
  <si>
    <t>ID-1661</t>
  </si>
  <si>
    <t>ID-1662</t>
  </si>
  <si>
    <t>ID-1663</t>
  </si>
  <si>
    <t>ID-1664</t>
  </si>
  <si>
    <t>ID-1665</t>
  </si>
  <si>
    <t>ID-1666</t>
  </si>
  <si>
    <t>ID-1667</t>
  </si>
  <si>
    <t>ID-1668</t>
  </si>
  <si>
    <t>ID-1669</t>
  </si>
  <si>
    <t>ID-1670</t>
  </si>
  <si>
    <t>ID-1671</t>
  </si>
  <si>
    <t>ID-1672</t>
  </si>
  <si>
    <t>ID-1673</t>
  </si>
  <si>
    <t>ID-1674</t>
  </si>
  <si>
    <t>ID-1675</t>
  </si>
  <si>
    <t>ID-1676</t>
  </si>
  <si>
    <t>ID-1677</t>
  </si>
  <si>
    <t>ID-1678</t>
  </si>
  <si>
    <t>ID-1679</t>
  </si>
  <si>
    <t>ID-1680</t>
  </si>
  <si>
    <t>ID-1681</t>
  </si>
  <si>
    <t>ID-1682</t>
  </si>
  <si>
    <t>ID-1683</t>
  </si>
  <si>
    <t>ID-1684</t>
  </si>
  <si>
    <t>ID-1685</t>
  </si>
  <si>
    <t>ID-1686</t>
  </si>
  <si>
    <t>ID-1687</t>
  </si>
  <si>
    <t>ID-1688</t>
  </si>
  <si>
    <t>ID-1689</t>
  </si>
  <si>
    <t>ID-1690</t>
  </si>
  <si>
    <t>ID-1691</t>
  </si>
  <si>
    <t>ID-1692</t>
  </si>
  <si>
    <t>ID-1693</t>
  </si>
  <si>
    <t>ID-1694</t>
  </si>
  <si>
    <t>ID-1695</t>
  </si>
  <si>
    <t>ID-1696</t>
  </si>
  <si>
    <t>ID-1697</t>
  </si>
  <si>
    <t>ID-1698</t>
  </si>
  <si>
    <t>ID-1699</t>
  </si>
  <si>
    <t>ID-1700</t>
  </si>
  <si>
    <t>ID-1701</t>
  </si>
  <si>
    <t>ID-1702</t>
  </si>
  <si>
    <t>ID-1703</t>
  </si>
  <si>
    <t>ID-1704</t>
  </si>
  <si>
    <t>ID-1705</t>
  </si>
  <si>
    <t>ID-1706</t>
  </si>
  <si>
    <t>ID-1707</t>
  </si>
  <si>
    <t>ID-1708</t>
  </si>
  <si>
    <t>ID-1709</t>
  </si>
  <si>
    <t>ID-1710</t>
  </si>
  <si>
    <t>ID-1711</t>
  </si>
  <si>
    <t>ID-1712</t>
  </si>
  <si>
    <t>ID-1713</t>
  </si>
  <si>
    <t>ID-1714</t>
  </si>
  <si>
    <t>ID-1715</t>
  </si>
  <si>
    <t>ID-1716</t>
  </si>
  <si>
    <t>ID-1717</t>
  </si>
  <si>
    <t>ID-1718</t>
  </si>
  <si>
    <t>ID-1719</t>
  </si>
  <si>
    <t>ID-1720</t>
  </si>
  <si>
    <t>ID-1721</t>
  </si>
  <si>
    <t>ID-1722</t>
  </si>
  <si>
    <t>ID-1723</t>
  </si>
  <si>
    <t>ID-1724</t>
  </si>
  <si>
    <t>ID-1725</t>
  </si>
  <si>
    <t>ID-1726</t>
  </si>
  <si>
    <t>ID-1727</t>
  </si>
  <si>
    <t>ID-1728</t>
  </si>
  <si>
    <t>ID-1729</t>
  </si>
  <si>
    <t>ID-1730</t>
  </si>
  <si>
    <t>ID-1731</t>
  </si>
  <si>
    <t>ID-1732</t>
  </si>
  <si>
    <t>ID-1733</t>
  </si>
  <si>
    <t>ID-1734</t>
  </si>
  <si>
    <t>ID-1735</t>
  </si>
  <si>
    <t>ID-1736</t>
  </si>
  <si>
    <t>ID-1737</t>
  </si>
  <si>
    <t>ID-1738</t>
  </si>
  <si>
    <t>ID-1739</t>
  </si>
  <si>
    <t>ID-1740</t>
  </si>
  <si>
    <t>ID-1741</t>
  </si>
  <si>
    <t>ID-1742</t>
  </si>
  <si>
    <t>ID-1743</t>
  </si>
  <si>
    <t>ID-1744</t>
  </si>
  <si>
    <t>ID-1745</t>
  </si>
  <si>
    <t>ID-1746</t>
  </si>
  <si>
    <t>ID-1747</t>
  </si>
  <si>
    <t>ID-1748</t>
  </si>
  <si>
    <t>ID-1749</t>
  </si>
  <si>
    <t>ID-1750</t>
  </si>
  <si>
    <t>ID-1751</t>
  </si>
  <si>
    <t>ID-1752</t>
  </si>
  <si>
    <t>ID-1753</t>
  </si>
  <si>
    <t>ID-1754</t>
  </si>
  <si>
    <t>ID-1755</t>
  </si>
  <si>
    <t>ID-1756</t>
  </si>
  <si>
    <t>ID-1757</t>
  </si>
  <si>
    <t>ID-1758</t>
  </si>
  <si>
    <t>ID-1759</t>
  </si>
  <si>
    <t>ID-1760</t>
  </si>
  <si>
    <t>ID-1761</t>
  </si>
  <si>
    <t>ID-1762</t>
  </si>
  <si>
    <t>ID-1763</t>
  </si>
  <si>
    <t>ID-1764</t>
  </si>
  <si>
    <t>ID-1765</t>
  </si>
  <si>
    <t>ID-1766</t>
  </si>
  <si>
    <t>ID-1767</t>
  </si>
  <si>
    <t>ID-1768</t>
  </si>
  <si>
    <t>ID-1769</t>
  </si>
  <si>
    <t>ID-1770</t>
  </si>
  <si>
    <t>ID-1771</t>
  </si>
  <si>
    <t>ID-1772</t>
  </si>
  <si>
    <t>ID-1773</t>
  </si>
  <si>
    <t>ID-1774</t>
  </si>
  <si>
    <t>ID-1775</t>
  </si>
  <si>
    <t>ID-1776</t>
  </si>
  <si>
    <t>ID-1777</t>
  </si>
  <si>
    <t>ID-1778</t>
  </si>
  <si>
    <t>ID-1779</t>
  </si>
  <si>
    <t>ID-1780</t>
  </si>
  <si>
    <t>ID-1781</t>
  </si>
  <si>
    <t>ID-1782</t>
  </si>
  <si>
    <t>ID-1783</t>
  </si>
  <si>
    <t>ID-1784</t>
  </si>
  <si>
    <t>ID-1785</t>
  </si>
  <si>
    <t>ID-1786</t>
  </si>
  <si>
    <t>ID-1787</t>
  </si>
  <si>
    <t>ID-1788</t>
  </si>
  <si>
    <t>ID-1789</t>
  </si>
  <si>
    <t>ID-1790</t>
  </si>
  <si>
    <t>ID-1791</t>
  </si>
  <si>
    <t>ID-1792</t>
  </si>
  <si>
    <t>ID-1793</t>
  </si>
  <si>
    <t>ID-1794</t>
  </si>
  <si>
    <t>ID-1795</t>
  </si>
  <si>
    <t>ID-1796</t>
  </si>
  <si>
    <t>ID-1797</t>
  </si>
  <si>
    <t>ID-1798</t>
  </si>
  <si>
    <t>ID-1799</t>
  </si>
  <si>
    <t>ID-1800</t>
  </si>
  <si>
    <t>ID-1801</t>
  </si>
  <si>
    <t>ID-1802</t>
  </si>
  <si>
    <t>ID-1803</t>
  </si>
  <si>
    <t>ID-1804</t>
  </si>
  <si>
    <t>ID-1805</t>
  </si>
  <si>
    <t>ID-1806</t>
  </si>
  <si>
    <t>ID-1807</t>
  </si>
  <si>
    <t>ID-1808</t>
  </si>
  <si>
    <t>ID-1809</t>
  </si>
  <si>
    <t>ID-1810</t>
  </si>
  <si>
    <t>ID-1811</t>
  </si>
  <si>
    <t>ID-1812</t>
  </si>
  <si>
    <t>ID-1813</t>
  </si>
  <si>
    <t>ID-1814</t>
  </si>
  <si>
    <t>ID-1815</t>
  </si>
  <si>
    <t>ID-1816</t>
  </si>
  <si>
    <t>ID-1817</t>
  </si>
  <si>
    <t>ID-1818</t>
  </si>
  <si>
    <t>ID-1819</t>
  </si>
  <si>
    <t>ID-1820</t>
  </si>
  <si>
    <t>ID-1821</t>
  </si>
  <si>
    <t>ID-1822</t>
  </si>
  <si>
    <t>ID-1823</t>
  </si>
  <si>
    <t>ID-1824</t>
  </si>
  <si>
    <t>ID-1825</t>
  </si>
  <si>
    <t>ID-1826</t>
  </si>
  <si>
    <t>ID-1827</t>
  </si>
  <si>
    <t>ID-1828</t>
  </si>
  <si>
    <t>ID-1829</t>
  </si>
  <si>
    <t>ID-1830</t>
  </si>
  <si>
    <t>ID-1831</t>
  </si>
  <si>
    <t>ID-1832</t>
  </si>
  <si>
    <t>ID-1833</t>
  </si>
  <si>
    <t>ID-1834</t>
  </si>
  <si>
    <t>ID-1835</t>
  </si>
  <si>
    <t>ID-1836</t>
  </si>
  <si>
    <t>ID-1837</t>
  </si>
  <si>
    <t>ID-1838</t>
  </si>
  <si>
    <t>ID-1839</t>
  </si>
  <si>
    <t>ID-1840</t>
  </si>
  <si>
    <t>ID-1841</t>
  </si>
  <si>
    <t>ID-1842</t>
  </si>
  <si>
    <t>ID-1843</t>
  </si>
  <si>
    <t>ID-1844</t>
  </si>
  <si>
    <t>ID-1845</t>
  </si>
  <si>
    <t>ID-1846</t>
  </si>
  <si>
    <t>ID-1847</t>
  </si>
  <si>
    <t>ID-1848</t>
  </si>
  <si>
    <t>ID-1849</t>
  </si>
  <si>
    <t>ID-1850</t>
  </si>
  <si>
    <t>ID-1851</t>
  </si>
  <si>
    <t>ID-1852</t>
  </si>
  <si>
    <t>ID-1853</t>
  </si>
  <si>
    <t>ID-1854</t>
  </si>
  <si>
    <t>ID-1855</t>
  </si>
  <si>
    <t>ID-1856</t>
  </si>
  <si>
    <t>ID-1857</t>
  </si>
  <si>
    <t>ID-1858</t>
  </si>
  <si>
    <t>ID-1859</t>
  </si>
  <si>
    <t>ID-1860</t>
  </si>
  <si>
    <t>ID-1861</t>
  </si>
  <si>
    <t>ID-1862</t>
  </si>
  <si>
    <t>ID-1863</t>
  </si>
  <si>
    <t>ID-1864</t>
  </si>
  <si>
    <t>ID-1865</t>
  </si>
  <si>
    <t>ID-1866</t>
  </si>
  <si>
    <t>ID-1867</t>
  </si>
  <si>
    <t>ID-1868</t>
  </si>
  <si>
    <t>ID-1869</t>
  </si>
  <si>
    <t>ID-1870</t>
  </si>
  <si>
    <t>ID-1871</t>
  </si>
  <si>
    <t>ID-1872</t>
  </si>
  <si>
    <t>ID-1873</t>
  </si>
  <si>
    <t>ID-1874</t>
  </si>
  <si>
    <t>ID-1875</t>
  </si>
  <si>
    <t>ID-1876</t>
  </si>
  <si>
    <t>ID-1877</t>
  </si>
  <si>
    <t>ID-1878</t>
  </si>
  <si>
    <t>ID-1879</t>
  </si>
  <si>
    <t>ID-1880</t>
  </si>
  <si>
    <t>ID-1881</t>
  </si>
  <si>
    <t>ID-1882</t>
  </si>
  <si>
    <t>ID-1883</t>
  </si>
  <si>
    <t>ID-1884</t>
  </si>
  <si>
    <t>ID-1885</t>
  </si>
  <si>
    <t>ID-1886</t>
  </si>
  <si>
    <t>ID-1887</t>
  </si>
  <si>
    <t>ID-1888</t>
  </si>
  <si>
    <t>ID-1889</t>
  </si>
  <si>
    <t>ID-1890</t>
  </si>
  <si>
    <t>ID-1891</t>
  </si>
  <si>
    <t>ID-1892</t>
  </si>
  <si>
    <t>ID-1893</t>
  </si>
  <si>
    <t>ID-1894</t>
  </si>
  <si>
    <t>ID-1895</t>
  </si>
  <si>
    <t>ID-1896</t>
  </si>
  <si>
    <t>ID-1897</t>
  </si>
  <si>
    <t>ID-1898</t>
  </si>
  <si>
    <t>ID-1899</t>
  </si>
  <si>
    <t>ID-1900</t>
  </si>
  <si>
    <t>ID-1901</t>
  </si>
  <si>
    <t>ID-1902</t>
  </si>
  <si>
    <t>ID-1903</t>
  </si>
  <si>
    <t>ID-1904</t>
  </si>
  <si>
    <t>ID-1905</t>
  </si>
  <si>
    <t>ID-1906</t>
  </si>
  <si>
    <t>ID-1907</t>
  </si>
  <si>
    <t>ID-1908</t>
  </si>
  <si>
    <t>ID-1909</t>
  </si>
  <si>
    <t>ID-1910</t>
  </si>
  <si>
    <t>ID-1911</t>
  </si>
  <si>
    <t>ID-1912</t>
  </si>
  <si>
    <t>ID-1913</t>
  </si>
  <si>
    <t>ID-1914</t>
  </si>
  <si>
    <t>ID-1915</t>
  </si>
  <si>
    <t>ID-1916</t>
  </si>
  <si>
    <t>ID-1917</t>
  </si>
  <si>
    <t>ID-1918</t>
  </si>
  <si>
    <t>ID-1919</t>
  </si>
  <si>
    <t>ID-1920</t>
  </si>
  <si>
    <t>ID-1921</t>
  </si>
  <si>
    <t>ID-1922</t>
  </si>
  <si>
    <t>ID-1923</t>
  </si>
  <si>
    <t>ID-1924</t>
  </si>
  <si>
    <t>ID-1925</t>
  </si>
  <si>
    <t>ID-1926</t>
  </si>
  <si>
    <t>ID-1927</t>
  </si>
  <si>
    <t>ID-1928</t>
  </si>
  <si>
    <t>ID-1929</t>
  </si>
  <si>
    <t>ID-1930</t>
  </si>
  <si>
    <t>ID-1931</t>
  </si>
  <si>
    <t>ID-1932</t>
  </si>
  <si>
    <t>ID-1933</t>
  </si>
  <si>
    <t>ID-1934</t>
  </si>
  <si>
    <t>ID-1935</t>
  </si>
  <si>
    <t>ID-1936</t>
  </si>
  <si>
    <t>ID-1937</t>
  </si>
  <si>
    <t>ID-1938</t>
  </si>
  <si>
    <t>ID-1939</t>
  </si>
  <si>
    <t>ID-1940</t>
  </si>
  <si>
    <t>ID-1941</t>
  </si>
  <si>
    <t>ID-1942</t>
  </si>
  <si>
    <t>ID-1943</t>
  </si>
  <si>
    <t>ID-1944</t>
  </si>
  <si>
    <t>ID-1945</t>
  </si>
  <si>
    <t>ID-1946</t>
  </si>
  <si>
    <t>ID-1947</t>
  </si>
  <si>
    <t>ID-1948</t>
  </si>
  <si>
    <t>ID-1949</t>
  </si>
  <si>
    <t>ID-1950</t>
  </si>
  <si>
    <t>ID-1951</t>
  </si>
  <si>
    <t>ID-1952</t>
  </si>
  <si>
    <t>ID-1953</t>
  </si>
  <si>
    <t>ID-1954</t>
  </si>
  <si>
    <t>ID-1955</t>
  </si>
  <si>
    <t>ID-1956</t>
  </si>
  <si>
    <t>ID-1957</t>
  </si>
  <si>
    <t>ID-1958</t>
  </si>
  <si>
    <t>ID-1959</t>
  </si>
  <si>
    <t>ID-1960</t>
  </si>
  <si>
    <t>ID-1961</t>
  </si>
  <si>
    <t>ID-1962</t>
  </si>
  <si>
    <t>ID-1963</t>
  </si>
  <si>
    <t>ID-1964</t>
  </si>
  <si>
    <t>ID-1965</t>
  </si>
  <si>
    <t>ID-1966</t>
  </si>
  <si>
    <t>ID-1967</t>
  </si>
  <si>
    <t>ID-1968</t>
  </si>
  <si>
    <t>ID-1969</t>
  </si>
  <si>
    <t>ID-1970</t>
  </si>
  <si>
    <t>ID-1971</t>
  </si>
  <si>
    <t>ID-1972</t>
  </si>
  <si>
    <t>ID-1973</t>
  </si>
  <si>
    <t>ID-1974</t>
  </si>
  <si>
    <t>ID-1975</t>
  </si>
  <si>
    <t>ID-1976</t>
  </si>
  <si>
    <t>ID-1977</t>
  </si>
  <si>
    <t>ID-1978</t>
  </si>
  <si>
    <t>ID-1979</t>
  </si>
  <si>
    <t>ID-1980</t>
  </si>
  <si>
    <t>ID-1981</t>
  </si>
  <si>
    <t>ID-1982</t>
  </si>
  <si>
    <t>ID-1983</t>
  </si>
  <si>
    <t>ID-1984</t>
  </si>
  <si>
    <t>ID-1985</t>
  </si>
  <si>
    <t>ID-1986</t>
  </si>
  <si>
    <t>ID-1987</t>
  </si>
  <si>
    <t>ID-1988</t>
  </si>
  <si>
    <t>ID-1989</t>
  </si>
  <si>
    <t>ID-1990</t>
  </si>
  <si>
    <t>ID-1991</t>
  </si>
  <si>
    <t>ID-1992</t>
  </si>
  <si>
    <t>ID-1993</t>
  </si>
  <si>
    <t>ID-1994</t>
  </si>
  <si>
    <t>ID-1995</t>
  </si>
  <si>
    <t>ID-1996</t>
  </si>
  <si>
    <t>ID-1997</t>
  </si>
  <si>
    <t>ID-1998</t>
  </si>
  <si>
    <t>ID-1999</t>
  </si>
  <si>
    <t>ID-2000</t>
  </si>
  <si>
    <t>ID-2001</t>
  </si>
  <si>
    <t>ID-2002</t>
  </si>
  <si>
    <t>ID-2003</t>
  </si>
  <si>
    <t>ID-2004</t>
  </si>
  <si>
    <t>ID-2005</t>
  </si>
  <si>
    <t>ID-2006</t>
  </si>
  <si>
    <t>ID-2007</t>
  </si>
  <si>
    <t>ID-2008</t>
  </si>
  <si>
    <t>ID-2009</t>
  </si>
  <si>
    <t>ID-2010</t>
  </si>
  <si>
    <t>ID-2011</t>
  </si>
  <si>
    <t>ID-2012</t>
  </si>
  <si>
    <t>ID-2013</t>
  </si>
  <si>
    <t>ID-2014</t>
  </si>
  <si>
    <t>ID-2015</t>
  </si>
  <si>
    <t>ID-2016</t>
  </si>
  <si>
    <t>ID-2017</t>
  </si>
  <si>
    <t>ID-2018</t>
  </si>
  <si>
    <t>ID-2019</t>
  </si>
  <si>
    <t>ID-2020</t>
  </si>
  <si>
    <t>ID-2021</t>
  </si>
  <si>
    <t>ID-2022</t>
  </si>
  <si>
    <t>ID-2023</t>
  </si>
  <si>
    <t>ID-2024</t>
  </si>
  <si>
    <t>ID-2025</t>
  </si>
  <si>
    <t>ID-2026</t>
  </si>
  <si>
    <t>ID-2027</t>
  </si>
  <si>
    <t>ID-2028</t>
  </si>
  <si>
    <t>ID-2029</t>
  </si>
  <si>
    <t>ID-2030</t>
  </si>
  <si>
    <t>ID-2031</t>
  </si>
  <si>
    <t>ID-2032</t>
  </si>
  <si>
    <t>ID-2033</t>
  </si>
  <si>
    <t>ID-2034</t>
  </si>
  <si>
    <t>ID-2035</t>
  </si>
  <si>
    <t>ID-2036</t>
  </si>
  <si>
    <t>ID-2037</t>
  </si>
  <si>
    <t>ID-2038</t>
  </si>
  <si>
    <t>ID-2039</t>
  </si>
  <si>
    <t>ID-2040</t>
  </si>
  <si>
    <t>ID-2041</t>
  </si>
  <si>
    <t>ID-2042</t>
  </si>
  <si>
    <t>ID-2043</t>
  </si>
  <si>
    <t>ID-2044</t>
  </si>
  <si>
    <t>ID-2045</t>
  </si>
  <si>
    <t>ID-2046</t>
  </si>
  <si>
    <t>ID-2047</t>
  </si>
  <si>
    <t>ID-2048</t>
  </si>
  <si>
    <t>ID-2049</t>
  </si>
  <si>
    <t>ID-2050</t>
  </si>
  <si>
    <t>ID-2051</t>
  </si>
  <si>
    <t>ID-2052</t>
  </si>
  <si>
    <t>ID-2053</t>
  </si>
  <si>
    <t>ID-2054</t>
  </si>
  <si>
    <t>ID-2055</t>
  </si>
  <si>
    <t>ID-2056</t>
  </si>
  <si>
    <t>ID-2057</t>
  </si>
  <si>
    <t>ID-2058</t>
  </si>
  <si>
    <t>ID-2059</t>
  </si>
  <si>
    <t>ID-2060</t>
  </si>
  <si>
    <t>ID-2061</t>
  </si>
  <si>
    <t>ID-2062</t>
  </si>
  <si>
    <t>ID-2063</t>
  </si>
  <si>
    <t>ID-2064</t>
  </si>
  <si>
    <t>ID-2065</t>
  </si>
  <si>
    <t>ID-2066</t>
  </si>
  <si>
    <t>ID-2067</t>
  </si>
  <si>
    <t>ID-2068</t>
  </si>
  <si>
    <t>ID-2069</t>
  </si>
  <si>
    <t>ID-2070</t>
  </si>
  <si>
    <t>ID-2071</t>
  </si>
  <si>
    <t>ID-2072</t>
  </si>
  <si>
    <t>ID-2073</t>
  </si>
  <si>
    <t>ID-2074</t>
  </si>
  <si>
    <t>ID-2075</t>
  </si>
  <si>
    <t>ID-2076</t>
  </si>
  <si>
    <t>ID-2077</t>
  </si>
  <si>
    <t>ID-2078</t>
  </si>
  <si>
    <t>ID-2079</t>
  </si>
  <si>
    <t>ID-2080</t>
  </si>
  <si>
    <t>ID-2081</t>
  </si>
  <si>
    <t>ID-2082</t>
  </si>
  <si>
    <t>ID-2083</t>
  </si>
  <si>
    <t>ID-2084</t>
  </si>
  <si>
    <t>ID-2085</t>
  </si>
  <si>
    <t>ID-2086</t>
  </si>
  <si>
    <t>ID-2087</t>
  </si>
  <si>
    <t>ID-2088</t>
  </si>
  <si>
    <t>ID-2089</t>
  </si>
  <si>
    <t>ID-2090</t>
  </si>
  <si>
    <t>ID-2091</t>
  </si>
  <si>
    <t>ID-2092</t>
  </si>
  <si>
    <t>ID-2093</t>
  </si>
  <si>
    <t>ID-2094</t>
  </si>
  <si>
    <t>ID-2095</t>
  </si>
  <si>
    <t>ID-2096</t>
  </si>
  <si>
    <t>ID-2097</t>
  </si>
  <si>
    <t>ID-2098</t>
  </si>
  <si>
    <t>ID-2099</t>
  </si>
  <si>
    <t>ID-2100</t>
  </si>
  <si>
    <t>ID-2101</t>
  </si>
  <si>
    <t>ID-2102</t>
  </si>
  <si>
    <t>ID-2103</t>
  </si>
  <si>
    <t>ID-2104</t>
  </si>
  <si>
    <t>ID-2105</t>
  </si>
  <si>
    <t>ID-2106</t>
  </si>
  <si>
    <t>ID-2107</t>
  </si>
  <si>
    <t>ID-2108</t>
  </si>
  <si>
    <t>ID-2109</t>
  </si>
  <si>
    <t>ID-2110</t>
  </si>
  <si>
    <t>ID-2111</t>
  </si>
  <si>
    <t>ID-2112</t>
  </si>
  <si>
    <t>ID-2113</t>
  </si>
  <si>
    <t>ID-2114</t>
  </si>
  <si>
    <t>ID-2115</t>
  </si>
  <si>
    <t>ID-2116</t>
  </si>
  <si>
    <t>ID-2117</t>
  </si>
  <si>
    <t>ID-2118</t>
  </si>
  <si>
    <t>ID-2119</t>
  </si>
  <si>
    <t>ID-2120</t>
  </si>
  <si>
    <t>ID-2121</t>
  </si>
  <si>
    <t>ID-2122</t>
  </si>
  <si>
    <t>ID-2123</t>
  </si>
  <si>
    <t>ID-2124</t>
  </si>
  <si>
    <t>ID-2125</t>
  </si>
  <si>
    <t>ID-2126</t>
  </si>
  <si>
    <t>ID-2127</t>
  </si>
  <si>
    <t>ID-2128</t>
  </si>
  <si>
    <t>ID-2129</t>
  </si>
  <si>
    <t>ID-2130</t>
  </si>
  <si>
    <t>ID-2131</t>
  </si>
  <si>
    <t>ID-2132</t>
  </si>
  <si>
    <t>ID-2133</t>
  </si>
  <si>
    <t>ID-2134</t>
  </si>
  <si>
    <t>ID-2135</t>
  </si>
  <si>
    <t>ID-2136</t>
  </si>
  <si>
    <t>ID-2137</t>
  </si>
  <si>
    <t>ID-2138</t>
  </si>
  <si>
    <t>ID-2139</t>
  </si>
  <si>
    <t>ID-2140</t>
  </si>
  <si>
    <t>ID-2141</t>
  </si>
  <si>
    <t>ID-2142</t>
  </si>
  <si>
    <t>ID-2143</t>
  </si>
  <si>
    <t>ID-2144</t>
  </si>
  <si>
    <t>ID-2145</t>
  </si>
  <si>
    <t>ID-2146</t>
  </si>
  <si>
    <t>ID-2147</t>
  </si>
  <si>
    <t>ID-2148</t>
  </si>
  <si>
    <t>ID-2149</t>
  </si>
  <si>
    <t>ID-2150</t>
  </si>
  <si>
    <t>ID-2151</t>
  </si>
  <si>
    <t>ID-2152</t>
  </si>
  <si>
    <t>ID-2153</t>
  </si>
  <si>
    <t>ID-2154</t>
  </si>
  <si>
    <t>ID-2155</t>
  </si>
  <si>
    <t>ID-2156</t>
  </si>
  <si>
    <t>ID-2157</t>
  </si>
  <si>
    <t>ID-2158</t>
  </si>
  <si>
    <t>ID-2159</t>
  </si>
  <si>
    <t>ID-2160</t>
  </si>
  <si>
    <t>ID-2161</t>
  </si>
  <si>
    <t>ID-2162</t>
  </si>
  <si>
    <t>ID-2163</t>
  </si>
  <si>
    <t>ID-2164</t>
  </si>
  <si>
    <t>ID-2165</t>
  </si>
  <si>
    <t>ID-2166</t>
  </si>
  <si>
    <t>ID-2167</t>
  </si>
  <si>
    <t>ID-2168</t>
  </si>
  <si>
    <t>ID-2169</t>
  </si>
  <si>
    <t>ID-2170</t>
  </si>
  <si>
    <t>ID-2171</t>
  </si>
  <si>
    <t>ID-2172</t>
  </si>
  <si>
    <t>ID-2173</t>
  </si>
  <si>
    <t>ID-2174</t>
  </si>
  <si>
    <t>ID-2175</t>
  </si>
  <si>
    <t>ID-2176</t>
  </si>
  <si>
    <t>ID-2177</t>
  </si>
  <si>
    <t>ID-2178</t>
  </si>
  <si>
    <t>ID-2179</t>
  </si>
  <si>
    <t>ID-2180</t>
  </si>
  <si>
    <t>ID-2181</t>
  </si>
  <si>
    <t>ID-2182</t>
  </si>
  <si>
    <t>ID-2183</t>
  </si>
  <si>
    <t>ID-2184</t>
  </si>
  <si>
    <t>ID-2185</t>
  </si>
  <si>
    <t>ID-2186</t>
  </si>
  <si>
    <t>ID-2187</t>
  </si>
  <si>
    <t>ID-2188</t>
  </si>
  <si>
    <t>ID-2189</t>
  </si>
  <si>
    <t>ID-2190</t>
  </si>
  <si>
    <t>ID-2191</t>
  </si>
  <si>
    <t>ID-2192</t>
  </si>
  <si>
    <t>ID-2193</t>
  </si>
  <si>
    <t>ID-2194</t>
  </si>
  <si>
    <t>ID-2195</t>
  </si>
  <si>
    <t>ID-2196</t>
  </si>
  <si>
    <t>ID-2197</t>
  </si>
  <si>
    <t>ID-2198</t>
  </si>
  <si>
    <t>ID-2199</t>
  </si>
  <si>
    <t>ID-2200</t>
  </si>
  <si>
    <t>ID-2201</t>
  </si>
  <si>
    <t>ID-2202</t>
  </si>
  <si>
    <t>ID-2203</t>
  </si>
  <si>
    <t>ID-2204</t>
  </si>
  <si>
    <t>ID-2205</t>
  </si>
  <si>
    <t>ID-2206</t>
  </si>
  <si>
    <t>ID-2207</t>
  </si>
  <si>
    <t>ID-2208</t>
  </si>
  <si>
    <t>ID-2209</t>
  </si>
  <si>
    <t>ID-2210</t>
  </si>
  <si>
    <t>ID-2211</t>
  </si>
  <si>
    <t>ID-2212</t>
  </si>
  <si>
    <t>ID-2213</t>
  </si>
  <si>
    <t>ID-2214</t>
  </si>
  <si>
    <t>ID-2215</t>
  </si>
  <si>
    <t>ID-2216</t>
  </si>
  <si>
    <t>ID-2217</t>
  </si>
  <si>
    <t>ID-2218</t>
  </si>
  <si>
    <t>ID-2219</t>
  </si>
  <si>
    <t>ID-2220</t>
  </si>
  <si>
    <t>ID-2221</t>
  </si>
  <si>
    <t>ID-2222</t>
  </si>
  <si>
    <t>ID-2223</t>
  </si>
  <si>
    <t>ID-2224</t>
  </si>
  <si>
    <t>ID-2225</t>
  </si>
  <si>
    <t>ID-2226</t>
  </si>
  <si>
    <t>ID-2227</t>
  </si>
  <si>
    <t>ID-2228</t>
  </si>
  <si>
    <t>ID-2229</t>
  </si>
  <si>
    <t>ID-2230</t>
  </si>
  <si>
    <t>ID-2231</t>
  </si>
  <si>
    <t>ID-2232</t>
  </si>
  <si>
    <t>ID-2233</t>
  </si>
  <si>
    <t>ID-2234</t>
  </si>
  <si>
    <t>ID-2235</t>
  </si>
  <si>
    <t>ID-2236</t>
  </si>
  <si>
    <t>ID-2237</t>
  </si>
  <si>
    <t>ID-2238</t>
  </si>
  <si>
    <t>ID-2239</t>
  </si>
  <si>
    <t>ID-2240</t>
  </si>
  <si>
    <t>ID-2241</t>
  </si>
  <si>
    <t>ID-2242</t>
  </si>
  <si>
    <t>ID-2243</t>
  </si>
  <si>
    <t>ID-2244</t>
  </si>
  <si>
    <t>ID-2245</t>
  </si>
  <si>
    <t>ID-2246</t>
  </si>
  <si>
    <t>ID-2247</t>
  </si>
  <si>
    <t>ID-2248</t>
  </si>
  <si>
    <t>ID-2249</t>
  </si>
  <si>
    <t>ID-2250</t>
  </si>
  <si>
    <t>ID-2251</t>
  </si>
  <si>
    <t>ID-2252</t>
  </si>
  <si>
    <t>ID-2253</t>
  </si>
  <si>
    <t>ID-2254</t>
  </si>
  <si>
    <t>ID-2255</t>
  </si>
  <si>
    <t>ID-2256</t>
  </si>
  <si>
    <t>ID-2257</t>
  </si>
  <si>
    <t>ID-2258</t>
  </si>
  <si>
    <t>ID-2259</t>
  </si>
  <si>
    <t>ID-2260</t>
  </si>
  <si>
    <t>ID-2261</t>
  </si>
  <si>
    <t>ID-2262</t>
  </si>
  <si>
    <t>ID-2263</t>
  </si>
  <si>
    <t>ID-2264</t>
  </si>
  <si>
    <t>ID-2265</t>
  </si>
  <si>
    <t>ID-2266</t>
  </si>
  <si>
    <t>ID-2267</t>
  </si>
  <si>
    <t>ID-2268</t>
  </si>
  <si>
    <t>ID-2269</t>
  </si>
  <si>
    <t>ID-2270</t>
  </si>
  <si>
    <t>ID-2271</t>
  </si>
  <si>
    <t>ID-2272</t>
  </si>
  <si>
    <t>ID-2273</t>
  </si>
  <si>
    <t>ID-2274</t>
  </si>
  <si>
    <t>ID-2275</t>
  </si>
  <si>
    <t>ID-2276</t>
  </si>
  <si>
    <t>ID-2277</t>
  </si>
  <si>
    <t>ID-2278</t>
  </si>
  <si>
    <t>ID-2279</t>
  </si>
  <si>
    <t>ID-2280</t>
  </si>
  <si>
    <t>ID-2281</t>
  </si>
  <si>
    <t>ID-2282</t>
  </si>
  <si>
    <t>ID-2283</t>
  </si>
  <si>
    <t>ID-2284</t>
  </si>
  <si>
    <t>ID-2285</t>
  </si>
  <si>
    <t>ID-2286</t>
  </si>
  <si>
    <t>ID-2287</t>
  </si>
  <si>
    <t>ID-2288</t>
  </si>
  <si>
    <t>ID-2289</t>
  </si>
  <si>
    <t>ID-2290</t>
  </si>
  <si>
    <t>ID-2291</t>
  </si>
  <si>
    <t>ID-2292</t>
  </si>
  <si>
    <t>ID-2293</t>
  </si>
  <si>
    <t>ID-2294</t>
  </si>
  <si>
    <t>ID-2295</t>
  </si>
  <si>
    <t>ID-2296</t>
  </si>
  <si>
    <t>ID-2297</t>
  </si>
  <si>
    <t>ID-2298</t>
  </si>
  <si>
    <t>ID-2299</t>
  </si>
  <si>
    <t>ID-2300</t>
  </si>
  <si>
    <t>ID-2301</t>
  </si>
  <si>
    <t>ID-2302</t>
  </si>
  <si>
    <t>ID-2303</t>
  </si>
  <si>
    <t>ID-2304</t>
  </si>
  <si>
    <t>ID-2305</t>
  </si>
  <si>
    <t>ID-2306</t>
  </si>
  <si>
    <t>ID-2307</t>
  </si>
  <si>
    <t>ID-2308</t>
  </si>
  <si>
    <t>ID-2309</t>
  </si>
  <si>
    <t>ID-2310</t>
  </si>
  <si>
    <t>ID-2311</t>
  </si>
  <si>
    <t>ID-2312</t>
  </si>
  <si>
    <t>ID-2313</t>
  </si>
  <si>
    <t>ID-2314</t>
  </si>
  <si>
    <t>ID-2315</t>
  </si>
  <si>
    <t>ID-2316</t>
  </si>
  <si>
    <t>ID-2317</t>
  </si>
  <si>
    <t>ID-2318</t>
  </si>
  <si>
    <t>ID-2319</t>
  </si>
  <si>
    <t>ID-2320</t>
  </si>
  <si>
    <t>ID-2321</t>
  </si>
  <si>
    <t>ID-2322</t>
  </si>
  <si>
    <t>ID-2323</t>
  </si>
  <si>
    <t>ID-2324</t>
  </si>
  <si>
    <t>ID-2325</t>
  </si>
  <si>
    <t>ID-2326</t>
  </si>
  <si>
    <t>ID-2327</t>
  </si>
  <si>
    <t>ID-2328</t>
  </si>
  <si>
    <t>ID-2329</t>
  </si>
  <si>
    <t>ID-2330</t>
  </si>
  <si>
    <t>ID-2331</t>
  </si>
  <si>
    <t>ID-2332</t>
  </si>
  <si>
    <t>ID-2333</t>
  </si>
  <si>
    <t>ID-2334</t>
  </si>
  <si>
    <t>ID-2335</t>
  </si>
  <si>
    <t>ID-2336</t>
  </si>
  <si>
    <t>ID-2337</t>
  </si>
  <si>
    <t>ID-2338</t>
  </si>
  <si>
    <t>ID-2339</t>
  </si>
  <si>
    <t>ID-2340</t>
  </si>
  <si>
    <t>ID-2341</t>
  </si>
  <si>
    <t>ID-2342</t>
  </si>
  <si>
    <t>ID-2343</t>
  </si>
  <si>
    <t>ID-2344</t>
  </si>
  <si>
    <t>ID-2345</t>
  </si>
  <si>
    <t>ID-2346</t>
  </si>
  <si>
    <t>ID-2347</t>
  </si>
  <si>
    <t>ID-2348</t>
  </si>
  <si>
    <t>ID-2349</t>
  </si>
  <si>
    <t>ID-2350</t>
  </si>
  <si>
    <t>ID-2351</t>
  </si>
  <si>
    <t>ID-2352</t>
  </si>
  <si>
    <t>ID-2353</t>
  </si>
  <si>
    <t>ID-2354</t>
  </si>
  <si>
    <t>ID-2355</t>
  </si>
  <si>
    <t>ID-2356</t>
  </si>
  <si>
    <t>ID-2357</t>
  </si>
  <si>
    <t>ID-2358</t>
  </si>
  <si>
    <t>ID-2359</t>
  </si>
  <si>
    <t>ID-2360</t>
  </si>
  <si>
    <t>ID-2361</t>
  </si>
  <si>
    <t>ID-2362</t>
  </si>
  <si>
    <t>ID-2363</t>
  </si>
  <si>
    <t>ID-2364</t>
  </si>
  <si>
    <t>ID-2365</t>
  </si>
  <si>
    <t>ID-2366</t>
  </si>
  <si>
    <t>ID-2367</t>
  </si>
  <si>
    <t>ID-2368</t>
  </si>
  <si>
    <t>ID-2369</t>
  </si>
  <si>
    <t>ID-2370</t>
  </si>
  <si>
    <t>ID-2371</t>
  </si>
  <si>
    <t>ID-2372</t>
  </si>
  <si>
    <t>ID-2373</t>
  </si>
  <si>
    <t>ID-2374</t>
  </si>
  <si>
    <t>ID-2375</t>
  </si>
  <si>
    <t>ID-2376</t>
  </si>
  <si>
    <t>ID-2377</t>
  </si>
  <si>
    <t>ID-2378</t>
  </si>
  <si>
    <t>ID-2379</t>
  </si>
  <si>
    <t>ID-2380</t>
  </si>
  <si>
    <t>ID-2381</t>
  </si>
  <si>
    <t>ID-2382</t>
  </si>
  <si>
    <t>ID-2383</t>
  </si>
  <si>
    <t>ID-2384</t>
  </si>
  <si>
    <t>ID-2385</t>
  </si>
  <si>
    <t>ID-2386</t>
  </si>
  <si>
    <t>ID-2387</t>
  </si>
  <si>
    <t>ID-2388</t>
  </si>
  <si>
    <t>ID-2389</t>
  </si>
  <si>
    <t>ID-2390</t>
  </si>
  <si>
    <t>ID-2391</t>
  </si>
  <si>
    <t>ID-2392</t>
  </si>
  <si>
    <t>ID-2393</t>
  </si>
  <si>
    <t>ID-2394</t>
  </si>
  <si>
    <t>ID-2395</t>
  </si>
  <si>
    <t>ID-2396</t>
  </si>
  <si>
    <t>ID-2397</t>
  </si>
  <si>
    <t>ID-2398</t>
  </si>
  <si>
    <t>ID-2399</t>
  </si>
  <si>
    <t>ID-2400</t>
  </si>
  <si>
    <t>ID-2401</t>
  </si>
  <si>
    <t>ID-2402</t>
  </si>
  <si>
    <t>ID-2403</t>
  </si>
  <si>
    <t>ID-2404</t>
  </si>
  <si>
    <t>ID-2405</t>
  </si>
  <si>
    <t>ID-2406</t>
  </si>
  <si>
    <t>ID-2407</t>
  </si>
  <si>
    <t>ID-2408</t>
  </si>
  <si>
    <t>ID-2409</t>
  </si>
  <si>
    <t>ID-2410</t>
  </si>
  <si>
    <t>ID-2411</t>
  </si>
  <si>
    <t>ID-2412</t>
  </si>
  <si>
    <t>ID-2413</t>
  </si>
  <si>
    <t>ID-2414</t>
  </si>
  <si>
    <t>ID-2415</t>
  </si>
  <si>
    <t>ID-2416</t>
  </si>
  <si>
    <t>ID-2417</t>
  </si>
  <si>
    <t>ID-2418</t>
  </si>
  <si>
    <t>ID-2419</t>
  </si>
  <si>
    <t>ID-2420</t>
  </si>
  <si>
    <t>ID-2421</t>
  </si>
  <si>
    <t>ID-2422</t>
  </si>
  <si>
    <t>ID-2423</t>
  </si>
  <si>
    <t>ID-2424</t>
  </si>
  <si>
    <t>ID-2425</t>
  </si>
  <si>
    <t>ID-2426</t>
  </si>
  <si>
    <t>ID-2427</t>
  </si>
  <si>
    <t>ID-2428</t>
  </si>
  <si>
    <t>ID-2429</t>
  </si>
  <si>
    <t>ID-2430</t>
  </si>
  <si>
    <t>ID-2431</t>
  </si>
  <si>
    <t>ID-2432</t>
  </si>
  <si>
    <t>ID-2433</t>
  </si>
  <si>
    <t>ID-2434</t>
  </si>
  <si>
    <t>ID-2435</t>
  </si>
  <si>
    <t>ID-2436</t>
  </si>
  <si>
    <t>ID-2437</t>
  </si>
  <si>
    <t>ID-2438</t>
  </si>
  <si>
    <t>ID-2439</t>
  </si>
  <si>
    <t>ID-2440</t>
  </si>
  <si>
    <t>ID-2441</t>
  </si>
  <si>
    <t>ID-2442</t>
  </si>
  <si>
    <t>ID-2443</t>
  </si>
  <si>
    <t>ID-2444</t>
  </si>
  <si>
    <t>ID-2445</t>
  </si>
  <si>
    <t>ID-2446</t>
  </si>
  <si>
    <t>ID-2447</t>
  </si>
  <si>
    <t>ID-2448</t>
  </si>
  <si>
    <t>ID-2449</t>
  </si>
  <si>
    <t>ID-2450</t>
  </si>
  <si>
    <t>ID-2451</t>
  </si>
  <si>
    <t>ID-2452</t>
  </si>
  <si>
    <t>ID-2453</t>
  </si>
  <si>
    <t>ID-2454</t>
  </si>
  <si>
    <t>ID-2455</t>
  </si>
  <si>
    <t>ID-2456</t>
  </si>
  <si>
    <t>ID-2457</t>
  </si>
  <si>
    <t>ID-2458</t>
  </si>
  <si>
    <t>ID-2459</t>
  </si>
  <si>
    <t>ID-2460</t>
  </si>
  <si>
    <t>ID-2461</t>
  </si>
  <si>
    <t>ID-2462</t>
  </si>
  <si>
    <t>ID-2463</t>
  </si>
  <si>
    <t>ID-2464</t>
  </si>
  <si>
    <t>ID-2465</t>
  </si>
  <si>
    <t>ID-2466</t>
  </si>
  <si>
    <t>ID-2467</t>
  </si>
  <si>
    <t>ID-2468</t>
  </si>
  <si>
    <t>ID-2469</t>
  </si>
  <si>
    <t>ID-2470</t>
  </si>
  <si>
    <t>ID-2471</t>
  </si>
  <si>
    <t>ID-2472</t>
  </si>
  <si>
    <t>ID-2473</t>
  </si>
  <si>
    <t>ID-2474</t>
  </si>
  <si>
    <t>ID-2475</t>
  </si>
  <si>
    <t>ID-2476</t>
  </si>
  <si>
    <t>ID-2477</t>
  </si>
  <si>
    <t>ID-2478</t>
  </si>
  <si>
    <t>ID-2479</t>
  </si>
  <si>
    <t>ID-2480</t>
  </si>
  <si>
    <t>ID-2481</t>
  </si>
  <si>
    <t>ID-2482</t>
  </si>
  <si>
    <t>ID-2483</t>
  </si>
  <si>
    <t>ID-2484</t>
  </si>
  <si>
    <t>ID-2485</t>
  </si>
  <si>
    <t>ID-2486</t>
  </si>
  <si>
    <t>ID-2487</t>
  </si>
  <si>
    <t>ID-2488</t>
  </si>
  <si>
    <t>ID-2489</t>
  </si>
  <si>
    <t>ID-2490</t>
  </si>
  <si>
    <t>ID-2491</t>
  </si>
  <si>
    <t>ID-2492</t>
  </si>
  <si>
    <t>ID-2493</t>
  </si>
  <si>
    <t>ID-2494</t>
  </si>
  <si>
    <t>ID-2495</t>
  </si>
  <si>
    <t>ID-2496</t>
  </si>
  <si>
    <t>ID-2497</t>
  </si>
  <si>
    <t>ID-2498</t>
  </si>
  <si>
    <t>ID-2499</t>
  </si>
  <si>
    <t>ID-2500</t>
  </si>
  <si>
    <t>ID-2501</t>
  </si>
  <si>
    <t>ID-2502</t>
  </si>
  <si>
    <t>ID-2503</t>
  </si>
  <si>
    <t>ID-2504</t>
  </si>
  <si>
    <t>ID-2505</t>
  </si>
  <si>
    <t>ID-2506</t>
  </si>
  <si>
    <t>ID-2507</t>
  </si>
  <si>
    <t>ID-2508</t>
  </si>
  <si>
    <t>ID-2509</t>
  </si>
  <si>
    <t>ID-2510</t>
  </si>
  <si>
    <t>ID-2511</t>
  </si>
  <si>
    <t>ID-2512</t>
  </si>
  <si>
    <t>ID-2513</t>
  </si>
  <si>
    <t>ID-2514</t>
  </si>
  <si>
    <t>ID-2515</t>
  </si>
  <si>
    <t>ID-2516</t>
  </si>
  <si>
    <t>ID-2517</t>
  </si>
  <si>
    <t>ID-2518</t>
  </si>
  <si>
    <t>ID-2519</t>
  </si>
  <si>
    <t>ID-2520</t>
  </si>
  <si>
    <t>ID-2521</t>
  </si>
  <si>
    <t>ID-2522</t>
  </si>
  <si>
    <t>ID-2523</t>
  </si>
  <si>
    <t>ID-2524</t>
  </si>
  <si>
    <t>ID-2525</t>
  </si>
  <si>
    <t>ID-2526</t>
  </si>
  <si>
    <t>ID-2527</t>
  </si>
  <si>
    <t>ID-2528</t>
  </si>
  <si>
    <t>ID-2529</t>
  </si>
  <si>
    <t>ID-2530</t>
  </si>
  <si>
    <t>ID-2531</t>
  </si>
  <si>
    <t>ID-2532</t>
  </si>
  <si>
    <t>ID-2533</t>
  </si>
  <si>
    <t>ID-2534</t>
  </si>
  <si>
    <t>ID-2535</t>
  </si>
  <si>
    <t>ID-2536</t>
  </si>
  <si>
    <t>ID-2537</t>
  </si>
  <si>
    <t>ID-2538</t>
  </si>
  <si>
    <t>ID-2539</t>
  </si>
  <si>
    <t>ID-2540</t>
  </si>
  <si>
    <t>ID-2541</t>
  </si>
  <si>
    <t>ID-2542</t>
  </si>
  <si>
    <t>ID-2543</t>
  </si>
  <si>
    <t>ID-2544</t>
  </si>
  <si>
    <t>ID-2545</t>
  </si>
  <si>
    <t>ID-2546</t>
  </si>
  <si>
    <t>ID-2547</t>
  </si>
  <si>
    <t>ID-2548</t>
  </si>
  <si>
    <t>ID-2549</t>
  </si>
  <si>
    <t>ID-2550</t>
  </si>
  <si>
    <t>ID-2551</t>
  </si>
  <si>
    <t>ID-2552</t>
  </si>
  <si>
    <t>ID-2553</t>
  </si>
  <si>
    <t>ID-2554</t>
  </si>
  <si>
    <t>ID-2555</t>
  </si>
  <si>
    <t>ID-2556</t>
  </si>
  <si>
    <t>ID-2557</t>
  </si>
  <si>
    <t>ID-2558</t>
  </si>
  <si>
    <t>ID-2559</t>
  </si>
  <si>
    <t>ID-2560</t>
  </si>
  <si>
    <t>ID-2561</t>
  </si>
  <si>
    <t>ID-2562</t>
  </si>
  <si>
    <t>ID-2563</t>
  </si>
  <si>
    <t>ID-2564</t>
  </si>
  <si>
    <t>ID-2565</t>
  </si>
  <si>
    <t>ID-2566</t>
  </si>
  <si>
    <t>ID-2567</t>
  </si>
  <si>
    <t>ID-2568</t>
  </si>
  <si>
    <t>ID-2569</t>
  </si>
  <si>
    <t>ID-2570</t>
  </si>
  <si>
    <t>ID-2571</t>
  </si>
  <si>
    <t>ID-2572</t>
  </si>
  <si>
    <t>ID-2573</t>
  </si>
  <si>
    <t>ID-2574</t>
  </si>
  <si>
    <t>ID-2575</t>
  </si>
  <si>
    <t>ID-2576</t>
  </si>
  <si>
    <t>ID-2577</t>
  </si>
  <si>
    <t>ID-2578</t>
  </si>
  <si>
    <t>ID-2579</t>
  </si>
  <si>
    <t>ID-2580</t>
  </si>
  <si>
    <t>ID-2581</t>
  </si>
  <si>
    <t>ID-2582</t>
  </si>
  <si>
    <t>ID-2583</t>
  </si>
  <si>
    <t>ID-2584</t>
  </si>
  <si>
    <t>ID-2585</t>
  </si>
  <si>
    <t>ID-2586</t>
  </si>
  <si>
    <t>ID-2587</t>
  </si>
  <si>
    <t>ID-2588</t>
  </si>
  <si>
    <t>ID-2589</t>
  </si>
  <si>
    <t>ID-2590</t>
  </si>
  <si>
    <t>ID-2591</t>
  </si>
  <si>
    <t>ID-2592</t>
  </si>
  <si>
    <t>ID-2593</t>
  </si>
  <si>
    <t>ID-2594</t>
  </si>
  <si>
    <t>ID-2595</t>
  </si>
  <si>
    <t>ID-2596</t>
  </si>
  <si>
    <t>ID-2597</t>
  </si>
  <si>
    <t>ID-2598</t>
  </si>
  <si>
    <t>ID-2599</t>
  </si>
  <si>
    <t>ID-2600</t>
  </si>
  <si>
    <t>ID-2601</t>
  </si>
  <si>
    <t>ID-2602</t>
  </si>
  <si>
    <t>ID-2603</t>
  </si>
  <si>
    <t>ID-2604</t>
  </si>
  <si>
    <t>ID-2605</t>
  </si>
  <si>
    <t>ID-2606</t>
  </si>
  <si>
    <t>ID-2607</t>
  </si>
  <si>
    <t>ID-2608</t>
  </si>
  <si>
    <t>ID-2609</t>
  </si>
  <si>
    <t>ID-2610</t>
  </si>
  <si>
    <t>ID-2611</t>
  </si>
  <si>
    <t>ID-2612</t>
  </si>
  <si>
    <t>ID-2613</t>
  </si>
  <si>
    <t>ID-2614</t>
  </si>
  <si>
    <t>ID-2615</t>
  </si>
  <si>
    <t>ID-2616</t>
  </si>
  <si>
    <t>ID-2617</t>
  </si>
  <si>
    <t>ID-2618</t>
  </si>
  <si>
    <t>ID-2619</t>
  </si>
  <si>
    <t>ID-2620</t>
  </si>
  <si>
    <t>ID-2621</t>
  </si>
  <si>
    <t>ID-2622</t>
  </si>
  <si>
    <t>ID-2623</t>
  </si>
  <si>
    <t>ID-2624</t>
  </si>
  <si>
    <t>ID-2625</t>
  </si>
  <si>
    <t>ID-2626</t>
  </si>
  <si>
    <t>ID-2627</t>
  </si>
  <si>
    <t>ID-2628</t>
  </si>
  <si>
    <t>ID-2629</t>
  </si>
  <si>
    <t>ID-2630</t>
  </si>
  <si>
    <t>ID-2631</t>
  </si>
  <si>
    <t>ID-2632</t>
  </si>
  <si>
    <t>ID-2633</t>
  </si>
  <si>
    <t>ID-2634</t>
  </si>
  <si>
    <t>ID-2635</t>
  </si>
  <si>
    <t>ID-2636</t>
  </si>
  <si>
    <t>ID-2637</t>
  </si>
  <si>
    <t>ID-2638</t>
  </si>
  <si>
    <t>ID-2639</t>
  </si>
  <si>
    <t>ID-2640</t>
  </si>
  <si>
    <t>ID-2641</t>
  </si>
  <si>
    <t>ID-2642</t>
  </si>
  <si>
    <t>ID-2643</t>
  </si>
  <si>
    <t>ID-2644</t>
  </si>
  <si>
    <t>ID-2645</t>
  </si>
  <si>
    <t>ID-2646</t>
  </si>
  <si>
    <t>ID-2647</t>
  </si>
  <si>
    <t>ID-2648</t>
  </si>
  <si>
    <t>ID-2649</t>
  </si>
  <si>
    <t>ID-2650</t>
  </si>
  <si>
    <t>ID-2651</t>
  </si>
  <si>
    <t>ID-2652</t>
  </si>
  <si>
    <t>ID-2653</t>
  </si>
  <si>
    <t>ID-2654</t>
  </si>
  <si>
    <t>ID-2655</t>
  </si>
  <si>
    <t>ID-2656</t>
  </si>
  <si>
    <t>ID-2657</t>
  </si>
  <si>
    <t>ID-2658</t>
  </si>
  <si>
    <t>ID-2659</t>
  </si>
  <si>
    <t>ID-2660</t>
  </si>
  <si>
    <t>ID-2661</t>
  </si>
  <si>
    <t>ID-2662</t>
  </si>
  <si>
    <t>ID-2663</t>
  </si>
  <si>
    <t>ID-2664</t>
  </si>
  <si>
    <t>ID-2665</t>
  </si>
  <si>
    <t>ID-2666</t>
  </si>
  <si>
    <t>ID-2667</t>
  </si>
  <si>
    <t>ID-2668</t>
  </si>
  <si>
    <t>ID-2669</t>
  </si>
  <si>
    <t>ID-2670</t>
  </si>
  <si>
    <t>ID-2671</t>
  </si>
  <si>
    <t>ID-2672</t>
  </si>
  <si>
    <t>ID-2673</t>
  </si>
  <si>
    <t>ID-2674</t>
  </si>
  <si>
    <t>ID-2675</t>
  </si>
  <si>
    <t>ID-2676</t>
  </si>
  <si>
    <t>ID-2677</t>
  </si>
  <si>
    <t>ID-2678</t>
  </si>
  <si>
    <t>ID-2679</t>
  </si>
  <si>
    <t>ID-2680</t>
  </si>
  <si>
    <t>ID-2681</t>
  </si>
  <si>
    <t>ID-2682</t>
  </si>
  <si>
    <t>ID-2683</t>
  </si>
  <si>
    <t>ID-2684</t>
  </si>
  <si>
    <t>ID-2685</t>
  </si>
  <si>
    <t>ID-2686</t>
  </si>
  <si>
    <t>ID-2687</t>
  </si>
  <si>
    <t>ID-2688</t>
  </si>
  <si>
    <t>ID-2689</t>
  </si>
  <si>
    <t>ID-2690</t>
  </si>
  <si>
    <t>ID-2691</t>
  </si>
  <si>
    <t>ID-2692</t>
  </si>
  <si>
    <t>ID-2693</t>
  </si>
  <si>
    <t>ID-2694</t>
  </si>
  <si>
    <t>ID-2695</t>
  </si>
  <si>
    <t>ID-2696</t>
  </si>
  <si>
    <t>ID-2697</t>
  </si>
  <si>
    <t>ID-2698</t>
  </si>
  <si>
    <t>ID-2699</t>
  </si>
  <si>
    <t>ID-2700</t>
  </si>
  <si>
    <t>ID-2701</t>
  </si>
  <si>
    <t>ID-2702</t>
  </si>
  <si>
    <t>ID-2703</t>
  </si>
  <si>
    <t>ID-2704</t>
  </si>
  <si>
    <t>ID-2705</t>
  </si>
  <si>
    <t>ID-2706</t>
  </si>
  <si>
    <t>ID-2707</t>
  </si>
  <si>
    <t>ID-2708</t>
  </si>
  <si>
    <t>ID-2709</t>
  </si>
  <si>
    <t>ID-2710</t>
  </si>
  <si>
    <t>ID-2711</t>
  </si>
  <si>
    <t>ID-2712</t>
  </si>
  <si>
    <t>ID-2713</t>
  </si>
  <si>
    <t>ID-2714</t>
  </si>
  <si>
    <t>ID-2715</t>
  </si>
  <si>
    <t>ID-2716</t>
  </si>
  <si>
    <t>ID-2717</t>
  </si>
  <si>
    <t>ID-2718</t>
  </si>
  <si>
    <t>ID-2719</t>
  </si>
  <si>
    <t>ID-2720</t>
  </si>
  <si>
    <t>ID-2721</t>
  </si>
  <si>
    <t>ID-2722</t>
  </si>
  <si>
    <t>ID-2723</t>
  </si>
  <si>
    <t>ID-2724</t>
  </si>
  <si>
    <t>ID-2725</t>
  </si>
  <si>
    <t>ID-2726</t>
  </si>
  <si>
    <t>ID-2727</t>
  </si>
  <si>
    <t>ID-2728</t>
  </si>
  <si>
    <t>ID-2729</t>
  </si>
  <si>
    <t>ID-2730</t>
  </si>
  <si>
    <t>ID-2731</t>
  </si>
  <si>
    <t>ID-2732</t>
  </si>
  <si>
    <t>ID-2733</t>
  </si>
  <si>
    <t>ID-2734</t>
  </si>
  <si>
    <t>ID-2735</t>
  </si>
  <si>
    <t>ID-2736</t>
  </si>
  <si>
    <t>ID-2737</t>
  </si>
  <si>
    <t>ID-2738</t>
  </si>
  <si>
    <t>ID-2739</t>
  </si>
  <si>
    <t>ID-2740</t>
  </si>
  <si>
    <t>ID-2741</t>
  </si>
  <si>
    <t>ID-2742</t>
  </si>
  <si>
    <t>ID-2743</t>
  </si>
  <si>
    <t>ID-2744</t>
  </si>
  <si>
    <t>ID-2745</t>
  </si>
  <si>
    <t>ID-2746</t>
  </si>
  <si>
    <t>ID-2747</t>
  </si>
  <si>
    <t>ID-2748</t>
  </si>
  <si>
    <t>ID-2749</t>
  </si>
  <si>
    <t>ID-2750</t>
  </si>
  <si>
    <t>ID-2751</t>
  </si>
  <si>
    <t>ID-2752</t>
  </si>
  <si>
    <t>ID-2753</t>
  </si>
  <si>
    <t>ID-2754</t>
  </si>
  <si>
    <t>ID-2755</t>
  </si>
  <si>
    <t>ID-2756</t>
  </si>
  <si>
    <t>ID-2757</t>
  </si>
  <si>
    <t>ID-2758</t>
  </si>
  <si>
    <t>ID-2759</t>
  </si>
  <si>
    <t>ID-2760</t>
  </si>
  <si>
    <t>ID-2761</t>
  </si>
  <si>
    <t>ID-2762</t>
  </si>
  <si>
    <t>ID-2763</t>
  </si>
  <si>
    <t>ID-2764</t>
  </si>
  <si>
    <t>ID-2765</t>
  </si>
  <si>
    <t>ID-2766</t>
  </si>
  <si>
    <t>ID-2767</t>
  </si>
  <si>
    <t>ID-2768</t>
  </si>
  <si>
    <t>ID-2769</t>
  </si>
  <si>
    <t>ID-2770</t>
  </si>
  <si>
    <t>ID-2771</t>
  </si>
  <si>
    <t>ID-2772</t>
  </si>
  <si>
    <t>ID-2773</t>
  </si>
  <si>
    <t>ID-2774</t>
  </si>
  <si>
    <t>ID-2775</t>
  </si>
  <si>
    <t>ID-2776</t>
  </si>
  <si>
    <t>ID-2777</t>
  </si>
  <si>
    <t>ID-2778</t>
  </si>
  <si>
    <t>ID-2779</t>
  </si>
  <si>
    <t>ID-2780</t>
  </si>
  <si>
    <t>ID-2781</t>
  </si>
  <si>
    <t>ID-2782</t>
  </si>
  <si>
    <t>ID-2783</t>
  </si>
  <si>
    <t>ID-2784</t>
  </si>
  <si>
    <t>ID-2785</t>
  </si>
  <si>
    <t>ID-2786</t>
  </si>
  <si>
    <t>ID-2787</t>
  </si>
  <si>
    <t>ID-2788</t>
  </si>
  <si>
    <t>ID-2789</t>
  </si>
  <si>
    <t>ID-2790</t>
  </si>
  <si>
    <t>ID-2791</t>
  </si>
  <si>
    <t>ID-2792</t>
  </si>
  <si>
    <t>ID-2793</t>
  </si>
  <si>
    <t>ID-2794</t>
  </si>
  <si>
    <t>ID-2795</t>
  </si>
  <si>
    <t>ID-2796</t>
  </si>
  <si>
    <t>ID-2797</t>
  </si>
  <si>
    <t>ID-2798</t>
  </si>
  <si>
    <t>ID-2799</t>
  </si>
  <si>
    <t>ID-2800</t>
  </si>
  <si>
    <t>ID-2801</t>
  </si>
  <si>
    <t>ID-2802</t>
  </si>
  <si>
    <t>ID-2803</t>
  </si>
  <si>
    <t>ID-2804</t>
  </si>
  <si>
    <t>ID-2805</t>
  </si>
  <si>
    <t>ID-2806</t>
  </si>
  <si>
    <t>ID-2807</t>
  </si>
  <si>
    <t>ID-2808</t>
  </si>
  <si>
    <t>ID-2809</t>
  </si>
  <si>
    <t>ID-2810</t>
  </si>
  <si>
    <t>ID-2811</t>
  </si>
  <si>
    <t>ID-2812</t>
  </si>
  <si>
    <t>ID-2813</t>
  </si>
  <si>
    <t>ID-2814</t>
  </si>
  <si>
    <t>ID-2815</t>
  </si>
  <si>
    <t>ID-2816</t>
  </si>
  <si>
    <t>ID-2817</t>
  </si>
  <si>
    <t>ID-2818</t>
  </si>
  <si>
    <t>ID-2819</t>
  </si>
  <si>
    <t>ID-2820</t>
  </si>
  <si>
    <t>ID-2821</t>
  </si>
  <si>
    <t>ID-2822</t>
  </si>
  <si>
    <t>ID-2823</t>
  </si>
  <si>
    <t>ID-2824</t>
  </si>
  <si>
    <t>ID-2825</t>
  </si>
  <si>
    <t>ID-2826</t>
  </si>
  <si>
    <t>ID-2827</t>
  </si>
  <si>
    <t>ID-2828</t>
  </si>
  <si>
    <t>ID-2829</t>
  </si>
  <si>
    <t>ID-2830</t>
  </si>
  <si>
    <t>ID-2831</t>
  </si>
  <si>
    <t>ID-2832</t>
  </si>
  <si>
    <t>ID-2833</t>
  </si>
  <si>
    <t>ID-2834</t>
  </si>
  <si>
    <t>ID-2835</t>
  </si>
  <si>
    <t>ID-2836</t>
  </si>
  <si>
    <t>ID-2837</t>
  </si>
  <si>
    <t>ID-2838</t>
  </si>
  <si>
    <t>ID-2839</t>
  </si>
  <si>
    <t>ID-2840</t>
  </si>
  <si>
    <t>ID-2841</t>
  </si>
  <si>
    <t>ID-2842</t>
  </si>
  <si>
    <t>ID-2843</t>
  </si>
  <si>
    <t>ID-2844</t>
  </si>
  <si>
    <t>ID-2845</t>
  </si>
  <si>
    <t>ID-2846</t>
  </si>
  <si>
    <t>ID-2847</t>
  </si>
  <si>
    <t>ID-2848</t>
  </si>
  <si>
    <t>ID-2849</t>
  </si>
  <si>
    <t>ID-2850</t>
  </si>
  <si>
    <t>ID-2851</t>
  </si>
  <si>
    <t>ID-2852</t>
  </si>
  <si>
    <t>ID-2853</t>
  </si>
  <si>
    <t>ID-2854</t>
  </si>
  <si>
    <t>ID-2855</t>
  </si>
  <si>
    <t>ID-2856</t>
  </si>
  <si>
    <t>ID-2857</t>
  </si>
  <si>
    <t>ID-2858</t>
  </si>
  <si>
    <t>ID-2859</t>
  </si>
  <si>
    <t>ID-2860</t>
  </si>
  <si>
    <t>ID-2861</t>
  </si>
  <si>
    <t>ID-2862</t>
  </si>
  <si>
    <t>ID-2863</t>
  </si>
  <si>
    <t>ID-2864</t>
  </si>
  <si>
    <t>ID-2865</t>
  </si>
  <si>
    <t>ID-2866</t>
  </si>
  <si>
    <t>ID-2867</t>
  </si>
  <si>
    <t>ID-2868</t>
  </si>
  <si>
    <t>ID-2869</t>
  </si>
  <si>
    <t>ID-2870</t>
  </si>
  <si>
    <t>ID-2871</t>
  </si>
  <si>
    <t>ID-2872</t>
  </si>
  <si>
    <t>ID-2873</t>
  </si>
  <si>
    <t>ID-2874</t>
  </si>
  <si>
    <t>ID-2875</t>
  </si>
  <si>
    <t>ID-2876</t>
  </si>
  <si>
    <t>ID-2877</t>
  </si>
  <si>
    <t>ID-2878</t>
  </si>
  <si>
    <t>ID-2879</t>
  </si>
  <si>
    <t>ID-2880</t>
  </si>
  <si>
    <t>ID-2881</t>
  </si>
  <si>
    <t>ID-2882</t>
  </si>
  <si>
    <t>ID-2883</t>
  </si>
  <si>
    <t>ID-2884</t>
  </si>
  <si>
    <t>ID-2885</t>
  </si>
  <si>
    <t>ID-2886</t>
  </si>
  <si>
    <t>ID-2887</t>
  </si>
  <si>
    <t>ID-2888</t>
  </si>
  <si>
    <t>ID-2889</t>
  </si>
  <si>
    <t>ID-2890</t>
  </si>
  <si>
    <t>ID-2891</t>
  </si>
  <si>
    <t>ID-2892</t>
  </si>
  <si>
    <t>ID-2893</t>
  </si>
  <si>
    <t>ID-2894</t>
  </si>
  <si>
    <t>ID-2895</t>
  </si>
  <si>
    <t>ID-2896</t>
  </si>
  <si>
    <t>ID-2897</t>
  </si>
  <si>
    <t>ID-2898</t>
  </si>
  <si>
    <t>ID-2899</t>
  </si>
  <si>
    <t>ID-2900</t>
  </si>
  <si>
    <t>ID-2901</t>
  </si>
  <si>
    <t>ID-2902</t>
  </si>
  <si>
    <t>ID-2903</t>
  </si>
  <si>
    <t>ID-2904</t>
  </si>
  <si>
    <t>ID-2905</t>
  </si>
  <si>
    <t>ID-2906</t>
  </si>
  <si>
    <t>ID-2907</t>
  </si>
  <si>
    <t>ID-2908</t>
  </si>
  <si>
    <t>ID-2909</t>
  </si>
  <si>
    <t>ID-2910</t>
  </si>
  <si>
    <t>ID-2911</t>
  </si>
  <si>
    <t>ID-2912</t>
  </si>
  <si>
    <t>ID-2913</t>
  </si>
  <si>
    <t>ID-2914</t>
  </si>
  <si>
    <t>ID-2915</t>
  </si>
  <si>
    <t>ID-2916</t>
  </si>
  <si>
    <t>ID-2917</t>
  </si>
  <si>
    <t>ID-2918</t>
  </si>
  <si>
    <t>ID-2919</t>
  </si>
  <si>
    <t>ID-2920</t>
  </si>
  <si>
    <t>ID-2921</t>
  </si>
  <si>
    <t>ID-2922</t>
  </si>
  <si>
    <t>ID-2923</t>
  </si>
  <si>
    <t>ID-2924</t>
  </si>
  <si>
    <t>ID-2925</t>
  </si>
  <si>
    <t>ID-2926</t>
  </si>
  <si>
    <t>ID-2927</t>
  </si>
  <si>
    <t>ID-2928</t>
  </si>
  <si>
    <t>ID-2929</t>
  </si>
  <si>
    <t>ID-2930</t>
  </si>
  <si>
    <t>ID-2931</t>
  </si>
  <si>
    <t>ID-2932</t>
  </si>
  <si>
    <t>ID-2933</t>
  </si>
  <si>
    <t>ID-2934</t>
  </si>
  <si>
    <t>ID-2935</t>
  </si>
  <si>
    <t>ID-2936</t>
  </si>
  <si>
    <t>ID-2937</t>
  </si>
  <si>
    <t>ID-2938</t>
  </si>
  <si>
    <t>ID-2939</t>
  </si>
  <si>
    <t>ID-2940</t>
  </si>
  <si>
    <t>ID-2941</t>
  </si>
  <si>
    <t>ID-2942</t>
  </si>
  <si>
    <t>ID-2943</t>
  </si>
  <si>
    <t>ID-2944</t>
  </si>
  <si>
    <t>ID-2945</t>
  </si>
  <si>
    <t>ID-2946</t>
  </si>
  <si>
    <t>ID-2947</t>
  </si>
  <si>
    <t>ID-2948</t>
  </si>
  <si>
    <t>ID-2949</t>
  </si>
  <si>
    <t>ID-2950</t>
  </si>
  <si>
    <t>ID-2951</t>
  </si>
  <si>
    <t>ID-2952</t>
  </si>
  <si>
    <t>ID-2953</t>
  </si>
  <si>
    <t>ID-2954</t>
  </si>
  <si>
    <t>ID-2955</t>
  </si>
  <si>
    <t>ID-2956</t>
  </si>
  <si>
    <t>ID-2957</t>
  </si>
  <si>
    <t>ID-2958</t>
  </si>
  <si>
    <t>ID-2959</t>
  </si>
  <si>
    <t>ID-2960</t>
  </si>
  <si>
    <t>ID-2961</t>
  </si>
  <si>
    <t>ID-2962</t>
  </si>
  <si>
    <t>ID-2963</t>
  </si>
  <si>
    <t>ID-2964</t>
  </si>
  <si>
    <t>ID-2965</t>
  </si>
  <si>
    <t>ID-2966</t>
  </si>
  <si>
    <t>ID-2967</t>
  </si>
  <si>
    <t>ID-2968</t>
  </si>
  <si>
    <t>ID-2969</t>
  </si>
  <si>
    <t>ID-2970</t>
  </si>
  <si>
    <t>ID-2971</t>
  </si>
  <si>
    <t>ID-2972</t>
  </si>
  <si>
    <t>ID-2973</t>
  </si>
  <si>
    <t>ID-2974</t>
  </si>
  <si>
    <t>ID-2975</t>
  </si>
  <si>
    <t>ID-2976</t>
  </si>
  <si>
    <t>ID-2977</t>
  </si>
  <si>
    <t>ID-2978</t>
  </si>
  <si>
    <t>ID-2979</t>
  </si>
  <si>
    <t>ID-2980</t>
  </si>
  <si>
    <t>ID-2981</t>
  </si>
  <si>
    <t>ID-2982</t>
  </si>
  <si>
    <t>ID-2983</t>
  </si>
  <si>
    <t>ID-2984</t>
  </si>
  <si>
    <t>ID-2985</t>
  </si>
  <si>
    <t>ID-2986</t>
  </si>
  <si>
    <t>ID-2987</t>
  </si>
  <si>
    <t>ID-2988</t>
  </si>
  <si>
    <t>ID-2989</t>
  </si>
  <si>
    <t>ID-2990</t>
  </si>
  <si>
    <t>ID-2991</t>
  </si>
  <si>
    <t>ID-2992</t>
  </si>
  <si>
    <t>ID-2993</t>
  </si>
  <si>
    <t>ID-2994</t>
  </si>
  <si>
    <t>ID-2995</t>
  </si>
  <si>
    <t>ID-2996</t>
  </si>
  <si>
    <t>ID-2997</t>
  </si>
  <si>
    <t>ID-2998</t>
  </si>
  <si>
    <t>ID-2999</t>
  </si>
  <si>
    <t>ID-3000</t>
  </si>
  <si>
    <t>ID-3001</t>
  </si>
  <si>
    <t>ID-3002</t>
  </si>
  <si>
    <t>ID-3003</t>
  </si>
  <si>
    <t>ID-3004</t>
  </si>
  <si>
    <t>ID-3005</t>
  </si>
  <si>
    <t>ID-3006</t>
  </si>
  <si>
    <t>ID-3007</t>
  </si>
  <si>
    <t>ID-3008</t>
  </si>
  <si>
    <t>ID-3009</t>
  </si>
  <si>
    <t>ID-3010</t>
  </si>
  <si>
    <t>ID-3011</t>
  </si>
  <si>
    <t>ID-3012</t>
  </si>
  <si>
    <t>ID-3013</t>
  </si>
  <si>
    <t>ID-3014</t>
  </si>
  <si>
    <t>ID-3015</t>
  </si>
  <si>
    <t>ID-3016</t>
  </si>
  <si>
    <t>ID-3017</t>
  </si>
  <si>
    <t>ID-3018</t>
  </si>
  <si>
    <t>ID-3019</t>
  </si>
  <si>
    <t>ID-3020</t>
  </si>
  <si>
    <t>ID-3021</t>
  </si>
  <si>
    <t>ID-3022</t>
  </si>
  <si>
    <t>ID-3023</t>
  </si>
  <si>
    <t>ID-3024</t>
  </si>
  <si>
    <t>ID-3025</t>
  </si>
  <si>
    <t>ID-3026</t>
  </si>
  <si>
    <t>ID-3027</t>
  </si>
  <si>
    <t>ID-3028</t>
  </si>
  <si>
    <t>ID-3029</t>
  </si>
  <si>
    <t>ID-3030</t>
  </si>
  <si>
    <t>ID-3031</t>
  </si>
  <si>
    <t>ID-3032</t>
  </si>
  <si>
    <t>ID-3033</t>
  </si>
  <si>
    <t>ID-3034</t>
  </si>
  <si>
    <t>ID-3035</t>
  </si>
  <si>
    <t>ID-3036</t>
  </si>
  <si>
    <t>ID-3037</t>
  </si>
  <si>
    <t>ID-3038</t>
  </si>
  <si>
    <t>ID-3039</t>
  </si>
  <si>
    <t>ID-3040</t>
  </si>
  <si>
    <t>ID-3041</t>
  </si>
  <si>
    <t>ID-3042</t>
  </si>
  <si>
    <t>ID-3043</t>
  </si>
  <si>
    <t>ID-3044</t>
  </si>
  <si>
    <t>ID-3045</t>
  </si>
  <si>
    <t>ID-3046</t>
  </si>
  <si>
    <t>ID-3047</t>
  </si>
  <si>
    <t>ID-3048</t>
  </si>
  <si>
    <t>ID-3049</t>
  </si>
  <si>
    <t>ID-3050</t>
  </si>
  <si>
    <t>ID-3051</t>
  </si>
  <si>
    <t>ID-3052</t>
  </si>
  <si>
    <t>ID-3053</t>
  </si>
  <si>
    <t>ID-3054</t>
  </si>
  <si>
    <t>ID-3055</t>
  </si>
  <si>
    <t>ID-3056</t>
  </si>
  <si>
    <t>ID-3057</t>
  </si>
  <si>
    <t>ID-3058</t>
  </si>
  <si>
    <t>ID-3059</t>
  </si>
  <si>
    <t>ID-3060</t>
  </si>
  <si>
    <t>ID-3061</t>
  </si>
  <si>
    <t>ID-3062</t>
  </si>
  <si>
    <t>ID-3063</t>
  </si>
  <si>
    <t>ID-3064</t>
  </si>
  <si>
    <t>ID-3065</t>
  </si>
  <si>
    <t>ID-3066</t>
  </si>
  <si>
    <t>ID-3067</t>
  </si>
  <si>
    <t>ID-3068</t>
  </si>
  <si>
    <t>ID-3069</t>
  </si>
  <si>
    <t>ID-3070</t>
  </si>
  <si>
    <t>ID-3071</t>
  </si>
  <si>
    <t>ID-3072</t>
  </si>
  <si>
    <t>ID-3073</t>
  </si>
  <si>
    <t>ID-3074</t>
  </si>
  <si>
    <t>ID-3075</t>
  </si>
  <si>
    <t>ID-3076</t>
  </si>
  <si>
    <t>ID-3077</t>
  </si>
  <si>
    <t>ID-3078</t>
  </si>
  <si>
    <t>ID-3079</t>
  </si>
  <si>
    <t>ID-3080</t>
  </si>
  <si>
    <t>ID-3081</t>
  </si>
  <si>
    <t>ID-3082</t>
  </si>
  <si>
    <t>ID-3083</t>
  </si>
  <si>
    <t>ID-3084</t>
  </si>
  <si>
    <t>ID-3085</t>
  </si>
  <si>
    <t>ID-3086</t>
  </si>
  <si>
    <t>ID-3087</t>
  </si>
  <si>
    <t>ID-3088</t>
  </si>
  <si>
    <t>ID-3089</t>
  </si>
  <si>
    <t>ID-3090</t>
  </si>
  <si>
    <t>ID-3091</t>
  </si>
  <si>
    <t>ID-3092</t>
  </si>
  <si>
    <t>ID-3093</t>
  </si>
  <si>
    <t>ID-3094</t>
  </si>
  <si>
    <t>ID-3095</t>
  </si>
  <si>
    <t>ID-3096</t>
  </si>
  <si>
    <t>ID-3097</t>
  </si>
  <si>
    <t>ID-3098</t>
  </si>
  <si>
    <t>ID-3099</t>
  </si>
  <si>
    <t>ID-3100</t>
  </si>
  <si>
    <t>ID-3101</t>
  </si>
  <si>
    <t>ID-3102</t>
  </si>
  <si>
    <t>ID-3103</t>
  </si>
  <si>
    <t>ID-3104</t>
  </si>
  <si>
    <t>ID-3105</t>
  </si>
  <si>
    <t>ID-3106</t>
  </si>
  <si>
    <t>ID-3107</t>
  </si>
  <si>
    <t>ID-3108</t>
  </si>
  <si>
    <t>ID-3109</t>
  </si>
  <si>
    <t>ID-3110</t>
  </si>
  <si>
    <t>ID-3111</t>
  </si>
  <si>
    <t>ID-3112</t>
  </si>
  <si>
    <t>ID-3113</t>
  </si>
  <si>
    <t>ID-3114</t>
  </si>
  <si>
    <t>ID-3115</t>
  </si>
  <si>
    <t>ID-3116</t>
  </si>
  <si>
    <t>ID-3117</t>
  </si>
  <si>
    <t>ID-3118</t>
  </si>
  <si>
    <t>ID-3119</t>
  </si>
  <si>
    <t>ID-3120</t>
  </si>
  <si>
    <t>ID-3121</t>
  </si>
  <si>
    <t>ID-3122</t>
  </si>
  <si>
    <t>ID-3123</t>
  </si>
  <si>
    <t>ID-3124</t>
  </si>
  <si>
    <t>ID-3125</t>
  </si>
  <si>
    <t>ID-3126</t>
  </si>
  <si>
    <t>ID-3127</t>
  </si>
  <si>
    <t>ID-3128</t>
  </si>
  <si>
    <t>ID-3129</t>
  </si>
  <si>
    <t>ID-3130</t>
  </si>
  <si>
    <t>ID-3131</t>
  </si>
  <si>
    <t>ID-3132</t>
  </si>
  <si>
    <t>ID-3133</t>
  </si>
  <si>
    <t>ID-3134</t>
  </si>
  <si>
    <t>ID-3135</t>
  </si>
  <si>
    <t>ID-3136</t>
  </si>
  <si>
    <t>ID-3137</t>
  </si>
  <si>
    <t>ID-3138</t>
  </si>
  <si>
    <t>ID-3139</t>
  </si>
  <si>
    <t>ID-3140</t>
  </si>
  <si>
    <t>ID-3141</t>
  </si>
  <si>
    <t>ID-3142</t>
  </si>
  <si>
    <t>ID-3143</t>
  </si>
  <si>
    <t>ID-3144</t>
  </si>
  <si>
    <t>ID-3145</t>
  </si>
  <si>
    <t>ID-3146</t>
  </si>
  <si>
    <t>ID-3147</t>
  </si>
  <si>
    <t>ID-3148</t>
  </si>
  <si>
    <t>ID-3149</t>
  </si>
  <si>
    <t>ID-3150</t>
  </si>
  <si>
    <t>Count of CustomerID</t>
  </si>
  <si>
    <t>Average of Fraud_Score</t>
  </si>
  <si>
    <t>Average of Call  Failure</t>
  </si>
  <si>
    <t>Average of Customer Value</t>
  </si>
  <si>
    <t>Sum of Churn</t>
  </si>
  <si>
    <t>Average of Seconds of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</si>
</sst>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[Telecom_Fraud_Analysis1.xlsx] PivotTable1!PivotTable2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Risk Distribution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 PivotTable1'!$B$3</c:f>
              <c:strCache>
                <c:ptCount val="1"/>
                <c:pt idx="0">
                  <c:v>Count of CustomerID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 PivotTable1'!$A$4:$A$7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 PivotTable1'!$B$4:$B$7</c:f>
              <c:numCache>
                <c:formatCode>General</c:formatCode>
                <c:ptCount val="3"/>
                <c:pt idx="0">
                  <c:v>11</c:v>
                </c:pt>
                <c:pt idx="1">
                  <c:v>2395</c:v>
                </c:pt>
                <c:pt idx="2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1-4307-B8A3-DFEC9B36B444}"/>
            </c:ext>
          </c:extLst>
        </c:ser>
        <c:ser>
          <c:idx val="1"/>
          <c:order val="1"/>
          <c:tx>
            <c:strRef>
              <c:f>' PivotTable1'!$C$3</c:f>
              <c:strCache>
                <c:ptCount val="1"/>
                <c:pt idx="0">
                  <c:v>Average of Fraud_Score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 PivotTable1'!$A$4:$A$7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 PivotTable1'!$C$4:$C$7</c:f>
              <c:numCache>
                <c:formatCode>General</c:formatCode>
                <c:ptCount val="3"/>
                <c:pt idx="0">
                  <c:v>6.6363636363636367</c:v>
                </c:pt>
                <c:pt idx="1">
                  <c:v>0.95031315240083503</c:v>
                </c:pt>
                <c:pt idx="2">
                  <c:v>3.7513440860215055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1-4307-B8A3-DFEC9B36B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[Telecom_Fraud_Analysis1.xlsx] PivotTable2!PivotTable3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Call  Failure vs</a:t>
            </a:r>
            <a:r>
              <a:rPr lang="en-US" baseline="0"/>
              <a:t> Risk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PivotTable2'!$B$3</c:f>
              <c:strCache>
                <c:ptCount val="1"/>
                <c:pt idx="0">
                  <c:v>Average of Call  Failure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 PivotTable2'!$A$4:$A$7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 PivotTable2'!$B$4:$B$7</c:f>
              <c:numCache>
                <c:formatCode>General</c:formatCode>
                <c:ptCount val="3"/>
                <c:pt idx="0">
                  <c:v>28</c:v>
                </c:pt>
                <c:pt idx="1">
                  <c:v>5.5503131524008351</c:v>
                </c:pt>
                <c:pt idx="2">
                  <c:v>14.01478494623656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9-41D4-A7BF-7A60D64220F6}"/>
            </c:ext>
          </c:extLst>
        </c:ser>
        <c:ser>
          <c:idx val="1"/>
          <c:order val="1"/>
          <c:tx>
            <c:strRef>
              <c:f>' PivotTable2'!$C$3</c:f>
              <c:strCache>
                <c:ptCount val="1"/>
                <c:pt idx="0">
                  <c:v>Average of Customer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 PivotTable2'!$A$4:$A$7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 PivotTable2'!$C$4:$C$7</c:f>
              <c:numCache>
                <c:formatCode>General</c:formatCode>
                <c:ptCount val="3"/>
                <c:pt idx="0">
                  <c:v>820.43363636363642</c:v>
                </c:pt>
                <c:pt idx="1">
                  <c:v>459.98285386221295</c:v>
                </c:pt>
                <c:pt idx="2">
                  <c:v>501.18411290322626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F9-41D4-A7BF-7A60D642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[Telecom_Fraud_Analysis1.xlsx] PivotTable3!PivotTable4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PivotTable3'!$B$3</c:f>
              <c:strCache>
                <c:ptCount val="1"/>
                <c:pt idx="0">
                  <c:v>Sum of Churn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PivotTable3'!$A$4:$A$7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 PivotTable3'!$B$4:$B$7</c:f>
              <c:numCache>
                <c:formatCode>General</c:formatCode>
                <c:ptCount val="3"/>
                <c:pt idx="0">
                  <c:v>0</c:v>
                </c:pt>
                <c:pt idx="1">
                  <c:v>282</c:v>
                </c:pt>
                <c:pt idx="2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5-4946-8780-6718D2F14B7D}"/>
            </c:ext>
          </c:extLst>
        </c:ser>
        <c:ser>
          <c:idx val="1"/>
          <c:order val="1"/>
          <c:tx>
            <c:strRef>
              <c:f>' PivotTable3'!$C$3</c:f>
              <c:strCache>
                <c:ptCount val="1"/>
                <c:pt idx="0">
                  <c:v>Count of CustomerID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 PivotTable3'!$A$4:$A$7</c:f>
              <c:strCache>
                <c:ptCount val="3"/>
                <c:pt idx="0">
                  <c:v>High Risk</c:v>
                </c:pt>
                <c:pt idx="1">
                  <c:v>Low Risk</c:v>
                </c:pt>
                <c:pt idx="2">
                  <c:v>Medium Risk</c:v>
                </c:pt>
              </c:strCache>
            </c:strRef>
          </c:cat>
          <c:val>
            <c:numRef>
              <c:f>' PivotTable3'!$C$4:$C$7</c:f>
              <c:numCache>
                <c:formatCode>General</c:formatCode>
                <c:ptCount val="3"/>
                <c:pt idx="0">
                  <c:v>11</c:v>
                </c:pt>
                <c:pt idx="1">
                  <c:v>2395</c:v>
                </c:pt>
                <c:pt idx="2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85-4946-8780-6718D2F14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9598847"/>
        <c:axId val="679591775"/>
        <c:axId val="0"/>
      </c:bar3DChart>
      <c:catAx>
        <c:axId val="679598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91775"/>
        <c:crosses val="autoZero"/>
        <c:auto val="1"/>
        <c:lblAlgn val="ctr"/>
        <c:lblOffset val="100"/>
        <c:noMultiLvlLbl val="0"/>
      </c:catAx>
      <c:valAx>
        <c:axId val="67959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5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[Telecom_Fraud_Analysis1.xlsx] PivotTable4!PivotTable5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Predictive</a:t>
            </a:r>
            <a:r>
              <a:rPr lang="en-US" baseline="0"/>
              <a:t> Revenue Leakage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 PivotTable4'!$B$3</c:f>
              <c:strCache>
                <c:ptCount val="1"/>
                <c:pt idx="0">
                  <c:v>Average of Customer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 PivotTable4'!$A$4:$A$6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 PivotTable4'!$B$4:$B$6</c:f>
              <c:numCache>
                <c:formatCode>General</c:formatCode>
                <c:ptCount val="2"/>
                <c:pt idx="0">
                  <c:v>490.74629597799998</c:v>
                </c:pt>
                <c:pt idx="1">
                  <c:v>232.29755186721985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91-41E5-8F4E-6C8857BCE9E9}"/>
            </c:ext>
          </c:extLst>
        </c:ser>
        <c:ser>
          <c:idx val="1"/>
          <c:order val="1"/>
          <c:tx>
            <c:strRef>
              <c:f>' PivotTable4'!$C$3</c:f>
              <c:strCache>
                <c:ptCount val="1"/>
                <c:pt idx="0">
                  <c:v>Average of Seconds of Use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' PivotTable4'!$A$4:$A$6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 PivotTable4'!$C$4:$C$6</c:f>
              <c:numCache>
                <c:formatCode>General</c:formatCode>
                <c:ptCount val="2"/>
                <c:pt idx="0">
                  <c:v>4599.2512891027845</c:v>
                </c:pt>
                <c:pt idx="1">
                  <c:v>2942.0165975103732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91-41E5-8F4E-6C8857BCE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511175</xdr:colOff>
      <xdr:row>0</xdr:row>
      <xdr:rowOff>168275</xdr:rowOff>
    </xdr:from>
    <xdr:to>
      <xdr:col>11</xdr:col>
      <xdr:colOff>206375</xdr:colOff>
      <xdr:row>15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0</xdr:row>
      <xdr:rowOff>149225</xdr:rowOff>
    </xdr:from>
    <xdr:to>
      <xdr:col>11</xdr:col>
      <xdr:colOff>339725</xdr:colOff>
      <xdr:row>15</xdr:row>
      <xdr:rowOff>130175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139700</xdr:colOff>
      <xdr:row>0</xdr:row>
      <xdr:rowOff>161925</xdr:rowOff>
    </xdr:from>
    <xdr:to>
      <xdr:col>12</xdr:col>
      <xdr:colOff>444500</xdr:colOff>
      <xdr:row>15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127000</xdr:colOff>
      <xdr:row>0</xdr:row>
      <xdr:rowOff>123825</xdr:rowOff>
    </xdr:from>
    <xdr:to>
      <xdr:col>11</xdr:col>
      <xdr:colOff>431800</xdr:colOff>
      <xdr:row>15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TRO" refreshedDate="46155.079878935183" createdVersion="6" refreshedVersion="6" minRefreshableVersion="3" recordCount="3150">
  <cacheSource type="worksheet">
    <worksheetSource name="Table1"/>
  </cacheSource>
  <cacheFields count="18">
    <cacheField name="CustomerID" numFmtId="0">
      <sharedItems/>
    </cacheField>
    <cacheField name="Call  Failure" numFmtId="0">
      <sharedItems containsSemiMixedTypes="0" containsString="0" containsNumber="1" containsInteger="1" minValue="0" maxValue="36"/>
    </cacheField>
    <cacheField name="Complains" numFmtId="0">
      <sharedItems containsSemiMixedTypes="0" containsString="0" containsNumber="1" containsInteger="1" minValue="0" maxValue="1" count="2">
        <n v="0"/>
        <n v="1"/>
      </sharedItems>
    </cacheField>
    <cacheField name="Subscription  Length" numFmtId="0">
      <sharedItems containsSemiMixedTypes="0" containsString="0" containsNumber="1" containsInteger="1" minValue="3" maxValue="47"/>
    </cacheField>
    <cacheField name="Charge  Amount" numFmtId="0">
      <sharedItems containsSemiMixedTypes="0" containsString="0" containsNumber="1" containsInteger="1" minValue="0" maxValue="10"/>
    </cacheField>
    <cacheField name="Seconds of Use" numFmtId="0">
      <sharedItems containsSemiMixedTypes="0" containsString="0" containsNumber="1" containsInteger="1" minValue="0" maxValue="17090"/>
    </cacheField>
    <cacheField name="Frequency of use" numFmtId="0">
      <sharedItems containsSemiMixedTypes="0" containsString="0" containsNumber="1" containsInteger="1" minValue="0" maxValue="255"/>
    </cacheField>
    <cacheField name="Frequency of SMS" numFmtId="0">
      <sharedItems containsSemiMixedTypes="0" containsString="0" containsNumber="1" containsInteger="1" minValue="0" maxValue="522"/>
    </cacheField>
    <cacheField name="Distinct Called Numbers" numFmtId="0">
      <sharedItems containsSemiMixedTypes="0" containsString="0" containsNumber="1" containsInteger="1" minValue="0" maxValue="97"/>
    </cacheField>
    <cacheField name="Age Group" numFmtId="0">
      <sharedItems containsSemiMixedTypes="0" containsString="0" containsNumber="1" containsInteger="1" minValue="1" maxValue="5"/>
    </cacheField>
    <cacheField name="Tariff Plan" numFmtId="0">
      <sharedItems containsSemiMixedTypes="0" containsString="0" containsNumber="1" containsInteger="1" minValue="1" maxValue="2"/>
    </cacheField>
    <cacheField name="Status" numFmtId="0">
      <sharedItems containsSemiMixedTypes="0" containsString="0" containsNumber="1" containsInteger="1" minValue="1" maxValue="2"/>
    </cacheField>
    <cacheField name="Age" numFmtId="0">
      <sharedItems containsSemiMixedTypes="0" containsString="0" containsNumber="1" containsInteger="1" minValue="15" maxValue="55"/>
    </cacheField>
    <cacheField name="Customer Value" numFmtId="0">
      <sharedItems containsSemiMixedTypes="0" containsString="0" containsNumber="1" minValue="0" maxValue="2165.2800000000002"/>
    </cacheField>
    <cacheField name="Churn" numFmtId="0">
      <sharedItems containsSemiMixedTypes="0" containsString="0" containsNumber="1" containsInteger="1" minValue="0" maxValue="1"/>
    </cacheField>
    <cacheField name="Fraud_Score" numFmtId="0">
      <sharedItems containsSemiMixedTypes="0" containsString="0" containsNumber="1" containsInteger="1" minValue="0" maxValue="7"/>
    </cacheField>
    <cacheField name="Risk_Caregory" numFmtId="0">
      <sharedItems count="3">
        <s v="Low Risk"/>
        <s v="Medium Risk"/>
        <s v="High Risk"/>
      </sharedItems>
    </cacheField>
    <cacheField name="Revenue_Efficiency" numFmtId="0">
      <sharedItems containsSemiMixedTypes="0" containsString="0" containsNumber="1" minValue="0" maxValue="251.692307692307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50">
  <r>
    <s v="ID-1"/>
    <n v="8"/>
    <x v="0"/>
    <n v="38"/>
    <n v="0"/>
    <n v="4370"/>
    <n v="71"/>
    <n v="5"/>
    <n v="17"/>
    <n v="3"/>
    <n v="1"/>
    <n v="1"/>
    <n v="30"/>
    <n v="197.64"/>
    <n v="0"/>
    <n v="1"/>
    <x v="0"/>
    <n v="4.5226544622425626"/>
  </r>
  <r>
    <s v="ID-2"/>
    <n v="0"/>
    <x v="0"/>
    <n v="39"/>
    <n v="0"/>
    <n v="318"/>
    <n v="5"/>
    <n v="7"/>
    <n v="4"/>
    <n v="2"/>
    <n v="1"/>
    <n v="2"/>
    <n v="25"/>
    <n v="46.034999999999997"/>
    <n v="0"/>
    <n v="1"/>
    <x v="0"/>
    <n v="14.47641509433962"/>
  </r>
  <r>
    <s v="ID-3"/>
    <n v="10"/>
    <x v="0"/>
    <n v="37"/>
    <n v="0"/>
    <n v="2453"/>
    <n v="60"/>
    <n v="359"/>
    <n v="24"/>
    <n v="3"/>
    <n v="1"/>
    <n v="1"/>
    <n v="30"/>
    <n v="1536.52"/>
    <n v="0"/>
    <n v="1"/>
    <x v="0"/>
    <n v="62.638401956787604"/>
  </r>
  <r>
    <s v="ID-4"/>
    <n v="10"/>
    <x v="0"/>
    <n v="38"/>
    <n v="0"/>
    <n v="4198"/>
    <n v="66"/>
    <n v="1"/>
    <n v="35"/>
    <n v="1"/>
    <n v="1"/>
    <n v="1"/>
    <n v="15"/>
    <n v="240.02"/>
    <n v="0"/>
    <n v="1"/>
    <x v="0"/>
    <n v="5.7174845164363983"/>
  </r>
  <r>
    <s v="ID-5"/>
    <n v="3"/>
    <x v="0"/>
    <n v="38"/>
    <n v="0"/>
    <n v="2393"/>
    <n v="58"/>
    <n v="2"/>
    <n v="33"/>
    <n v="1"/>
    <n v="1"/>
    <n v="1"/>
    <n v="15"/>
    <n v="145.80500000000001"/>
    <n v="0"/>
    <n v="1"/>
    <x v="0"/>
    <n v="6.0929795236105306"/>
  </r>
  <r>
    <s v="ID-6"/>
    <n v="11"/>
    <x v="0"/>
    <n v="38"/>
    <n v="1"/>
    <n v="3775"/>
    <n v="82"/>
    <n v="32"/>
    <n v="28"/>
    <n v="3"/>
    <n v="1"/>
    <n v="1"/>
    <n v="30"/>
    <n v="282.27999999999997"/>
    <n v="0"/>
    <n v="2"/>
    <x v="0"/>
    <n v="7.4776158940397339"/>
  </r>
  <r>
    <s v="ID-7"/>
    <n v="4"/>
    <x v="0"/>
    <n v="38"/>
    <n v="0"/>
    <n v="2360"/>
    <n v="39"/>
    <n v="285"/>
    <n v="18"/>
    <n v="3"/>
    <n v="1"/>
    <n v="1"/>
    <n v="30"/>
    <n v="1235.96"/>
    <n v="0"/>
    <n v="1"/>
    <x v="0"/>
    <n v="52.371186440677967"/>
  </r>
  <r>
    <s v="ID-8"/>
    <n v="13"/>
    <x v="0"/>
    <n v="37"/>
    <n v="2"/>
    <n v="9115"/>
    <n v="121"/>
    <n v="144"/>
    <n v="43"/>
    <n v="3"/>
    <n v="1"/>
    <n v="1"/>
    <n v="30"/>
    <n v="945.44"/>
    <n v="0"/>
    <n v="2"/>
    <x v="0"/>
    <n v="10.372353263850796"/>
  </r>
  <r>
    <s v="ID-9"/>
    <n v="7"/>
    <x v="0"/>
    <n v="38"/>
    <n v="0"/>
    <n v="13773"/>
    <n v="169"/>
    <n v="0"/>
    <n v="44"/>
    <n v="3"/>
    <n v="1"/>
    <n v="1"/>
    <n v="30"/>
    <n v="557.67999999999995"/>
    <n v="0"/>
    <n v="3"/>
    <x v="1"/>
    <n v="4.0490815363392141"/>
  </r>
  <r>
    <s v="ID-10"/>
    <n v="7"/>
    <x v="0"/>
    <n v="38"/>
    <n v="1"/>
    <n v="4515"/>
    <n v="83"/>
    <n v="2"/>
    <n v="25"/>
    <n v="3"/>
    <n v="1"/>
    <n v="1"/>
    <n v="30"/>
    <n v="191.92"/>
    <n v="0"/>
    <n v="0"/>
    <x v="0"/>
    <n v="4.2507198228128455"/>
  </r>
  <r>
    <s v="ID-11"/>
    <n v="6"/>
    <x v="0"/>
    <n v="38"/>
    <n v="0"/>
    <n v="5918"/>
    <n v="95"/>
    <n v="7"/>
    <n v="12"/>
    <n v="3"/>
    <n v="1"/>
    <n v="1"/>
    <n v="30"/>
    <n v="268.52"/>
    <n v="0"/>
    <n v="1"/>
    <x v="0"/>
    <n v="4.5373436971949985"/>
  </r>
  <r>
    <s v="ID-12"/>
    <n v="9"/>
    <x v="0"/>
    <n v="38"/>
    <n v="0"/>
    <n v="2238"/>
    <n v="54"/>
    <n v="8"/>
    <n v="17"/>
    <n v="3"/>
    <n v="1"/>
    <n v="2"/>
    <n v="30"/>
    <n v="123.68"/>
    <n v="0"/>
    <n v="1"/>
    <x v="0"/>
    <n v="5.5263628239499551"/>
  </r>
  <r>
    <s v="ID-13"/>
    <n v="25"/>
    <x v="0"/>
    <n v="38"/>
    <n v="3"/>
    <n v="15140"/>
    <n v="225"/>
    <n v="54"/>
    <n v="32"/>
    <n v="3"/>
    <n v="1"/>
    <n v="1"/>
    <n v="30"/>
    <n v="830.6"/>
    <n v="0"/>
    <n v="4"/>
    <x v="1"/>
    <n v="5.4861294583883753"/>
  </r>
  <r>
    <s v="ID-14"/>
    <n v="4"/>
    <x v="0"/>
    <n v="38"/>
    <n v="1"/>
    <n v="3095"/>
    <n v="27"/>
    <n v="483"/>
    <n v="8"/>
    <n v="3"/>
    <n v="1"/>
    <n v="1"/>
    <n v="30"/>
    <n v="2056.88"/>
    <n v="0"/>
    <n v="0"/>
    <x v="0"/>
    <n v="66.458158319870762"/>
  </r>
  <r>
    <s v="ID-15"/>
    <n v="9"/>
    <x v="0"/>
    <n v="37"/>
    <n v="0"/>
    <n v="15485"/>
    <n v="182"/>
    <n v="150"/>
    <n v="30"/>
    <n v="2"/>
    <n v="1"/>
    <n v="1"/>
    <n v="25"/>
    <n v="1380.0150000000001"/>
    <n v="0"/>
    <n v="3"/>
    <x v="1"/>
    <n v="8.9119470455279313"/>
  </r>
  <r>
    <s v="ID-16"/>
    <n v="3"/>
    <x v="0"/>
    <n v="37"/>
    <n v="1"/>
    <n v="6500"/>
    <n v="86"/>
    <n v="186"/>
    <n v="26"/>
    <n v="3"/>
    <n v="1"/>
    <n v="1"/>
    <n v="30"/>
    <n v="1007.44"/>
    <n v="0"/>
    <n v="0"/>
    <x v="0"/>
    <n v="15.499076923076924"/>
  </r>
  <r>
    <s v="ID-17"/>
    <n v="0"/>
    <x v="0"/>
    <n v="37"/>
    <n v="0"/>
    <n v="875"/>
    <n v="14"/>
    <n v="0"/>
    <n v="11"/>
    <n v="2"/>
    <n v="1"/>
    <n v="2"/>
    <n v="25"/>
    <n v="40.005000000000003"/>
    <n v="1"/>
    <n v="1"/>
    <x v="0"/>
    <n v="4.5720000000000001"/>
  </r>
  <r>
    <s v="ID-18"/>
    <n v="2"/>
    <x v="0"/>
    <n v="38"/>
    <n v="0"/>
    <n v="710"/>
    <n v="14"/>
    <n v="13"/>
    <n v="8"/>
    <n v="3"/>
    <n v="1"/>
    <n v="2"/>
    <n v="30"/>
    <n v="80.959999999999994"/>
    <n v="0"/>
    <n v="1"/>
    <x v="0"/>
    <n v="11.40281690140845"/>
  </r>
  <r>
    <s v="ID-19"/>
    <n v="0"/>
    <x v="0"/>
    <n v="37"/>
    <n v="0"/>
    <n v="0"/>
    <n v="0"/>
    <n v="0"/>
    <n v="0"/>
    <n v="2"/>
    <n v="1"/>
    <n v="2"/>
    <n v="25"/>
    <n v="0"/>
    <n v="1"/>
    <n v="1"/>
    <x v="0"/>
    <n v="0"/>
  </r>
  <r>
    <s v="ID-20"/>
    <n v="3"/>
    <x v="0"/>
    <n v="37"/>
    <n v="0"/>
    <n v="7508"/>
    <n v="127"/>
    <n v="384"/>
    <n v="43"/>
    <n v="2"/>
    <n v="1"/>
    <n v="1"/>
    <n v="25"/>
    <n v="2071.5749999999998"/>
    <n v="0"/>
    <n v="1"/>
    <x v="0"/>
    <n v="27.591568993074052"/>
  </r>
  <r>
    <s v="ID-21"/>
    <n v="7"/>
    <x v="0"/>
    <n v="37"/>
    <n v="1"/>
    <n v="11465"/>
    <n v="154"/>
    <n v="11"/>
    <n v="47"/>
    <n v="4"/>
    <n v="1"/>
    <n v="1"/>
    <n v="45"/>
    <n v="317.97500000000002"/>
    <n v="0"/>
    <n v="2"/>
    <x v="0"/>
    <n v="2.7734409071085917"/>
  </r>
  <r>
    <s v="ID-22"/>
    <n v="8"/>
    <x v="0"/>
    <n v="37"/>
    <n v="1"/>
    <n v="6718"/>
    <n v="75"/>
    <n v="108"/>
    <n v="37"/>
    <n v="2"/>
    <n v="1"/>
    <n v="1"/>
    <n v="25"/>
    <n v="791.68499999999995"/>
    <n v="0"/>
    <n v="0"/>
    <x v="0"/>
    <n v="11.784534087526048"/>
  </r>
  <r>
    <s v="ID-23"/>
    <n v="23"/>
    <x v="1"/>
    <n v="33"/>
    <n v="0"/>
    <n v="955"/>
    <n v="47"/>
    <n v="16"/>
    <n v="17"/>
    <n v="2"/>
    <n v="1"/>
    <n v="2"/>
    <n v="25"/>
    <n v="117.09"/>
    <n v="1"/>
    <n v="5"/>
    <x v="1"/>
    <n v="12.260732984293195"/>
  </r>
  <r>
    <s v="ID-24"/>
    <n v="21"/>
    <x v="1"/>
    <n v="36"/>
    <n v="8"/>
    <n v="10435"/>
    <n v="93"/>
    <n v="1"/>
    <n v="42"/>
    <n v="5"/>
    <n v="2"/>
    <n v="1"/>
    <n v="55"/>
    <n v="159.41999999999999"/>
    <n v="0"/>
    <n v="4"/>
    <x v="1"/>
    <n v="1.5277431720172496"/>
  </r>
  <r>
    <s v="ID-25"/>
    <n v="13"/>
    <x v="1"/>
    <n v="36"/>
    <n v="1"/>
    <n v="5818"/>
    <n v="98"/>
    <n v="26"/>
    <n v="24"/>
    <n v="2"/>
    <n v="1"/>
    <n v="1"/>
    <n v="25"/>
    <n v="383.22"/>
    <n v="1"/>
    <n v="4"/>
    <x v="1"/>
    <n v="6.5867995874871088"/>
  </r>
  <r>
    <s v="ID-26"/>
    <n v="1"/>
    <x v="0"/>
    <n v="34"/>
    <n v="0"/>
    <n v="2840"/>
    <n v="22"/>
    <n v="0"/>
    <n v="14"/>
    <n v="3"/>
    <n v="1"/>
    <n v="1"/>
    <n v="30"/>
    <n v="114.48"/>
    <n v="0"/>
    <n v="1"/>
    <x v="0"/>
    <n v="4.0309859154929581"/>
  </r>
  <r>
    <s v="ID-27"/>
    <n v="9"/>
    <x v="0"/>
    <n v="35"/>
    <n v="0"/>
    <n v="2990"/>
    <n v="41"/>
    <n v="9"/>
    <n v="16"/>
    <n v="3"/>
    <n v="1"/>
    <n v="2"/>
    <n v="30"/>
    <n v="157.24"/>
    <n v="1"/>
    <n v="1"/>
    <x v="0"/>
    <n v="5.2588628762541809"/>
  </r>
  <r>
    <s v="ID-28"/>
    <n v="9"/>
    <x v="1"/>
    <n v="36"/>
    <n v="0"/>
    <n v="2268"/>
    <n v="44"/>
    <n v="34"/>
    <n v="31"/>
    <n v="3"/>
    <n v="1"/>
    <n v="2"/>
    <n v="30"/>
    <n v="228.48"/>
    <n v="1"/>
    <n v="3"/>
    <x v="1"/>
    <n v="10.074074074074074"/>
  </r>
  <r>
    <s v="ID-29"/>
    <n v="0"/>
    <x v="0"/>
    <n v="36"/>
    <n v="0"/>
    <n v="133"/>
    <n v="2"/>
    <n v="0"/>
    <n v="2"/>
    <n v="3"/>
    <n v="1"/>
    <n v="2"/>
    <n v="30"/>
    <n v="5.4"/>
    <n v="1"/>
    <n v="1"/>
    <x v="0"/>
    <n v="4.0601503759398501"/>
  </r>
  <r>
    <s v="ID-30"/>
    <n v="1"/>
    <x v="0"/>
    <n v="36"/>
    <n v="0"/>
    <n v="1668"/>
    <n v="25"/>
    <n v="0"/>
    <n v="6"/>
    <n v="3"/>
    <n v="1"/>
    <n v="1"/>
    <n v="30"/>
    <n v="67.72"/>
    <n v="0"/>
    <n v="1"/>
    <x v="0"/>
    <n v="4.0599520383693042"/>
  </r>
  <r>
    <s v="ID-31"/>
    <n v="3"/>
    <x v="0"/>
    <n v="33"/>
    <n v="1"/>
    <n v="6785"/>
    <n v="97"/>
    <n v="14"/>
    <n v="22"/>
    <n v="5"/>
    <n v="1"/>
    <n v="1"/>
    <n v="55"/>
    <n v="124.23"/>
    <n v="0"/>
    <n v="0"/>
    <x v="0"/>
    <n v="1.8309506263817246"/>
  </r>
  <r>
    <s v="ID-32"/>
    <n v="0"/>
    <x v="1"/>
    <n v="36"/>
    <n v="0"/>
    <n v="628"/>
    <n v="7"/>
    <n v="9"/>
    <n v="4"/>
    <n v="4"/>
    <n v="1"/>
    <n v="2"/>
    <n v="45"/>
    <n v="38.375"/>
    <n v="1"/>
    <n v="3"/>
    <x v="1"/>
    <n v="6.1106687898089174"/>
  </r>
  <r>
    <s v="ID-33"/>
    <n v="0"/>
    <x v="0"/>
    <n v="36"/>
    <n v="1"/>
    <n v="338"/>
    <n v="4"/>
    <n v="4"/>
    <n v="2"/>
    <n v="5"/>
    <n v="1"/>
    <n v="1"/>
    <n v="55"/>
    <n v="11.13"/>
    <n v="0"/>
    <n v="0"/>
    <x v="0"/>
    <n v="3.2928994082840237"/>
  </r>
  <r>
    <s v="ID-34"/>
    <n v="25"/>
    <x v="0"/>
    <n v="31"/>
    <n v="3"/>
    <n v="16075"/>
    <n v="238"/>
    <n v="0"/>
    <n v="80"/>
    <n v="2"/>
    <n v="2"/>
    <n v="1"/>
    <n v="25"/>
    <n v="734.08500000000004"/>
    <n v="0"/>
    <n v="5"/>
    <x v="1"/>
    <n v="4.5666251944012446"/>
  </r>
  <r>
    <s v="ID-35"/>
    <n v="6"/>
    <x v="0"/>
    <n v="34"/>
    <n v="3"/>
    <n v="6965"/>
    <n v="116"/>
    <n v="271"/>
    <n v="33"/>
    <n v="2"/>
    <n v="2"/>
    <n v="1"/>
    <n v="25"/>
    <n v="1538.145"/>
    <n v="0"/>
    <n v="0"/>
    <x v="0"/>
    <n v="22.083919597989947"/>
  </r>
  <r>
    <s v="ID-36"/>
    <n v="2"/>
    <x v="0"/>
    <n v="36"/>
    <n v="0"/>
    <n v="3718"/>
    <n v="82"/>
    <n v="2"/>
    <n v="28"/>
    <n v="2"/>
    <n v="1"/>
    <n v="1"/>
    <n v="25"/>
    <n v="180"/>
    <n v="0"/>
    <n v="1"/>
    <x v="0"/>
    <n v="4.8413125336202265"/>
  </r>
  <r>
    <s v="ID-37"/>
    <n v="3"/>
    <x v="0"/>
    <n v="35"/>
    <n v="0"/>
    <n v="1665"/>
    <n v="44"/>
    <n v="38"/>
    <n v="20"/>
    <n v="3"/>
    <n v="1"/>
    <n v="2"/>
    <n v="30"/>
    <n v="220.36"/>
    <n v="0"/>
    <n v="1"/>
    <x v="0"/>
    <n v="13.234834834834835"/>
  </r>
  <r>
    <s v="ID-38"/>
    <n v="6"/>
    <x v="0"/>
    <n v="36"/>
    <n v="0"/>
    <n v="2780"/>
    <n v="53"/>
    <n v="175"/>
    <n v="23"/>
    <n v="2"/>
    <n v="1"/>
    <n v="1"/>
    <n v="25"/>
    <n v="914.98500000000001"/>
    <n v="0"/>
    <n v="1"/>
    <x v="0"/>
    <n v="32.913129496402874"/>
  </r>
  <r>
    <s v="ID-39"/>
    <n v="4"/>
    <x v="0"/>
    <n v="27"/>
    <n v="1"/>
    <n v="1315"/>
    <n v="36"/>
    <n v="193"/>
    <n v="11"/>
    <n v="2"/>
    <n v="2"/>
    <n v="1"/>
    <n v="25"/>
    <n v="929.29499999999996"/>
    <n v="0"/>
    <n v="0"/>
    <x v="0"/>
    <n v="70.668821292775661"/>
  </r>
  <r>
    <s v="ID-40"/>
    <n v="4"/>
    <x v="0"/>
    <n v="26"/>
    <n v="0"/>
    <n v="1568"/>
    <n v="39"/>
    <n v="30"/>
    <n v="68"/>
    <n v="4"/>
    <n v="1"/>
    <n v="1"/>
    <n v="45"/>
    <n v="115.175"/>
    <n v="0"/>
    <n v="2"/>
    <x v="0"/>
    <n v="7.3453443877551026"/>
  </r>
  <r>
    <s v="ID-41"/>
    <n v="11"/>
    <x v="0"/>
    <n v="27"/>
    <n v="0"/>
    <n v="700"/>
    <n v="25"/>
    <n v="10"/>
    <n v="7"/>
    <n v="2"/>
    <n v="1"/>
    <n v="2"/>
    <n v="25"/>
    <n v="77.625"/>
    <n v="0"/>
    <n v="3"/>
    <x v="1"/>
    <n v="11.089285714285714"/>
  </r>
  <r>
    <s v="ID-42"/>
    <n v="0"/>
    <x v="0"/>
    <n v="26"/>
    <n v="0"/>
    <n v="825"/>
    <n v="10"/>
    <n v="21"/>
    <n v="3"/>
    <n v="4"/>
    <n v="1"/>
    <n v="2"/>
    <n v="45"/>
    <n v="73.375"/>
    <n v="1"/>
    <n v="1"/>
    <x v="0"/>
    <n v="8.8939393939393945"/>
  </r>
  <r>
    <s v="ID-43"/>
    <n v="10"/>
    <x v="0"/>
    <n v="25"/>
    <n v="0"/>
    <n v="1225"/>
    <n v="32"/>
    <n v="19"/>
    <n v="13"/>
    <n v="2"/>
    <n v="1"/>
    <n v="1"/>
    <n v="25"/>
    <n v="142.065"/>
    <n v="0"/>
    <n v="1"/>
    <x v="0"/>
    <n v="11.597142857142858"/>
  </r>
  <r>
    <s v="ID-44"/>
    <n v="2"/>
    <x v="0"/>
    <n v="25"/>
    <n v="0"/>
    <n v="3225"/>
    <n v="61"/>
    <n v="8"/>
    <n v="23"/>
    <n v="3"/>
    <n v="1"/>
    <n v="1"/>
    <n v="30"/>
    <n v="163.44"/>
    <n v="0"/>
    <n v="1"/>
    <x v="0"/>
    <n v="5.0679069767441858"/>
  </r>
  <r>
    <s v="ID-45"/>
    <n v="2"/>
    <x v="0"/>
    <n v="18"/>
    <n v="0"/>
    <n v="1695"/>
    <n v="26"/>
    <n v="28"/>
    <n v="14"/>
    <n v="2"/>
    <n v="1"/>
    <n v="1"/>
    <n v="25"/>
    <n v="203.44499999999999"/>
    <n v="0"/>
    <n v="1"/>
    <x v="0"/>
    <n v="12.002654867256638"/>
  </r>
  <r>
    <s v="ID-46"/>
    <n v="16"/>
    <x v="0"/>
    <n v="17"/>
    <n v="1"/>
    <n v="6393"/>
    <n v="141"/>
    <n v="85"/>
    <n v="42"/>
    <n v="2"/>
    <n v="2"/>
    <n v="1"/>
    <n v="25"/>
    <n v="676.53"/>
    <n v="0"/>
    <n v="4"/>
    <x v="1"/>
    <n v="10.582355701548568"/>
  </r>
  <r>
    <s v="ID-47"/>
    <n v="12"/>
    <x v="0"/>
    <n v="15"/>
    <n v="0"/>
    <n v="8933"/>
    <n v="171"/>
    <n v="73"/>
    <n v="40"/>
    <n v="4"/>
    <n v="1"/>
    <n v="1"/>
    <n v="45"/>
    <n v="410.1"/>
    <n v="0"/>
    <n v="5"/>
    <x v="1"/>
    <n v="4.5908429419008172"/>
  </r>
  <r>
    <s v="ID-48"/>
    <n v="8"/>
    <x v="0"/>
    <n v="16"/>
    <n v="3"/>
    <n v="2853"/>
    <n v="45"/>
    <n v="31"/>
    <n v="19"/>
    <n v="3"/>
    <n v="2"/>
    <n v="1"/>
    <n v="30"/>
    <n v="239.92"/>
    <n v="0"/>
    <n v="0"/>
    <x v="0"/>
    <n v="8.4093936207500875"/>
  </r>
  <r>
    <s v="ID-49"/>
    <n v="2"/>
    <x v="0"/>
    <n v="9"/>
    <n v="1"/>
    <n v="4390"/>
    <n v="40"/>
    <n v="215"/>
    <n v="10"/>
    <n v="3"/>
    <n v="1"/>
    <n v="1"/>
    <n v="30"/>
    <n v="1037.2"/>
    <n v="0"/>
    <n v="0"/>
    <x v="0"/>
    <n v="23.626423690205012"/>
  </r>
  <r>
    <s v="ID-50"/>
    <n v="3"/>
    <x v="0"/>
    <n v="9"/>
    <n v="1"/>
    <n v="1488"/>
    <n v="19"/>
    <n v="0"/>
    <n v="7"/>
    <n v="3"/>
    <n v="1"/>
    <n v="1"/>
    <n v="30"/>
    <n v="60.28"/>
    <n v="1"/>
    <n v="0"/>
    <x v="0"/>
    <n v="4.051075268817204"/>
  </r>
  <r>
    <s v="ID-51"/>
    <n v="11"/>
    <x v="0"/>
    <n v="40"/>
    <n v="1"/>
    <n v="4430"/>
    <n v="74"/>
    <n v="10"/>
    <n v="19"/>
    <n v="3"/>
    <n v="1"/>
    <n v="1"/>
    <n v="30"/>
    <n v="220.16"/>
    <n v="0"/>
    <n v="2"/>
    <x v="0"/>
    <n v="4.9697516930022569"/>
  </r>
  <r>
    <s v="ID-52"/>
    <n v="3"/>
    <x v="0"/>
    <n v="41"/>
    <n v="1"/>
    <n v="378"/>
    <n v="8"/>
    <n v="12"/>
    <n v="6"/>
    <n v="3"/>
    <n v="1"/>
    <n v="1"/>
    <n v="30"/>
    <n v="63.44"/>
    <n v="0"/>
    <n v="0"/>
    <x v="0"/>
    <n v="16.783068783068781"/>
  </r>
  <r>
    <s v="ID-53"/>
    <n v="13"/>
    <x v="0"/>
    <n v="39"/>
    <n v="1"/>
    <n v="2513"/>
    <n v="63"/>
    <n v="364"/>
    <n v="26"/>
    <n v="3"/>
    <n v="1"/>
    <n v="1"/>
    <n v="30"/>
    <n v="1559.04"/>
    <n v="0"/>
    <n v="2"/>
    <x v="0"/>
    <n v="62.038997214484681"/>
  </r>
  <r>
    <s v="ID-54"/>
    <n v="13"/>
    <x v="0"/>
    <n v="40"/>
    <n v="1"/>
    <n v="4258"/>
    <n v="69"/>
    <n v="6"/>
    <n v="37"/>
    <n v="1"/>
    <n v="1"/>
    <n v="1"/>
    <n v="15"/>
    <n v="270.98500000000001"/>
    <n v="0"/>
    <n v="2"/>
    <x v="0"/>
    <n v="6.3641380930014089"/>
  </r>
  <r>
    <s v="ID-55"/>
    <n v="6"/>
    <x v="0"/>
    <n v="40"/>
    <n v="1"/>
    <n v="2453"/>
    <n v="61"/>
    <n v="7"/>
    <n v="35"/>
    <n v="2"/>
    <n v="1"/>
    <n v="1"/>
    <n v="25"/>
    <n v="144.63"/>
    <n v="0"/>
    <n v="0"/>
    <x v="0"/>
    <n v="5.8960456583774965"/>
  </r>
  <r>
    <s v="ID-56"/>
    <n v="14"/>
    <x v="0"/>
    <n v="40"/>
    <n v="2"/>
    <n v="3835"/>
    <n v="85"/>
    <n v="37"/>
    <n v="30"/>
    <n v="3"/>
    <n v="2"/>
    <n v="1"/>
    <n v="30"/>
    <n v="304.8"/>
    <n v="0"/>
    <n v="2"/>
    <x v="0"/>
    <n v="7.9478487614080846"/>
  </r>
  <r>
    <s v="ID-57"/>
    <n v="7"/>
    <x v="0"/>
    <n v="40"/>
    <n v="1"/>
    <n v="2420"/>
    <n v="42"/>
    <n v="290"/>
    <n v="20"/>
    <n v="3"/>
    <n v="1"/>
    <n v="1"/>
    <n v="30"/>
    <n v="1258.48"/>
    <n v="0"/>
    <n v="0"/>
    <x v="0"/>
    <n v="52.003305785123963"/>
  </r>
  <r>
    <s v="ID-58"/>
    <n v="16"/>
    <x v="0"/>
    <n v="39"/>
    <n v="3"/>
    <n v="9175"/>
    <n v="124"/>
    <n v="149"/>
    <n v="45"/>
    <n v="3"/>
    <n v="1"/>
    <n v="1"/>
    <n v="30"/>
    <n v="967.96"/>
    <n v="0"/>
    <n v="2"/>
    <x v="0"/>
    <n v="10.549972752043598"/>
  </r>
  <r>
    <s v="ID-59"/>
    <n v="10"/>
    <x v="0"/>
    <n v="40"/>
    <n v="1"/>
    <n v="13833"/>
    <n v="172"/>
    <n v="5"/>
    <n v="46"/>
    <n v="3"/>
    <n v="1"/>
    <n v="1"/>
    <n v="30"/>
    <n v="580.20000000000005"/>
    <n v="0"/>
    <n v="2"/>
    <x v="0"/>
    <n v="4.1943179353719371"/>
  </r>
  <r>
    <s v="ID-60"/>
    <n v="10"/>
    <x v="0"/>
    <n v="40"/>
    <n v="2"/>
    <n v="4575"/>
    <n v="86"/>
    <n v="7"/>
    <n v="27"/>
    <n v="3"/>
    <n v="1"/>
    <n v="1"/>
    <n v="30"/>
    <n v="214.44"/>
    <n v="0"/>
    <n v="0"/>
    <x v="0"/>
    <n v="4.6872131147540985"/>
  </r>
  <r>
    <s v="ID-61"/>
    <n v="9"/>
    <x v="0"/>
    <n v="40"/>
    <n v="1"/>
    <n v="5978"/>
    <n v="98"/>
    <n v="12"/>
    <n v="14"/>
    <n v="3"/>
    <n v="1"/>
    <n v="1"/>
    <n v="30"/>
    <n v="291.04000000000002"/>
    <n v="0"/>
    <n v="0"/>
    <x v="0"/>
    <n v="4.8685178989628639"/>
  </r>
  <r>
    <s v="ID-62"/>
    <n v="12"/>
    <x v="0"/>
    <n v="40"/>
    <n v="1"/>
    <n v="2298"/>
    <n v="57"/>
    <n v="13"/>
    <n v="19"/>
    <n v="3"/>
    <n v="1"/>
    <n v="1"/>
    <n v="30"/>
    <n v="146.19999999999999"/>
    <n v="0"/>
    <n v="2"/>
    <x v="0"/>
    <n v="6.362053959965186"/>
  </r>
  <r>
    <s v="ID-63"/>
    <n v="28"/>
    <x v="0"/>
    <n v="40"/>
    <n v="4"/>
    <n v="15200"/>
    <n v="228"/>
    <n v="59"/>
    <n v="34"/>
    <n v="3"/>
    <n v="1"/>
    <n v="1"/>
    <n v="30"/>
    <n v="853.12"/>
    <n v="0"/>
    <n v="4"/>
    <x v="1"/>
    <n v="5.6126315789473686"/>
  </r>
  <r>
    <s v="ID-64"/>
    <n v="7"/>
    <x v="0"/>
    <n v="40"/>
    <n v="2"/>
    <n v="3155"/>
    <n v="30"/>
    <n v="488"/>
    <n v="10"/>
    <n v="3"/>
    <n v="1"/>
    <n v="1"/>
    <n v="30"/>
    <n v="2079.4"/>
    <n v="0"/>
    <n v="0"/>
    <x v="0"/>
    <n v="65.908082408874805"/>
  </r>
  <r>
    <s v="ID-65"/>
    <n v="12"/>
    <x v="0"/>
    <n v="39"/>
    <n v="1"/>
    <n v="15545"/>
    <n v="185"/>
    <n v="155"/>
    <n v="32"/>
    <n v="2"/>
    <n v="1"/>
    <n v="1"/>
    <n v="25"/>
    <n v="1405.35"/>
    <n v="0"/>
    <n v="4"/>
    <x v="1"/>
    <n v="9.0405275008041155"/>
  </r>
  <r>
    <s v="ID-66"/>
    <n v="6"/>
    <x v="0"/>
    <n v="39"/>
    <n v="2"/>
    <n v="6560"/>
    <n v="89"/>
    <n v="191"/>
    <n v="28"/>
    <n v="3"/>
    <n v="1"/>
    <n v="1"/>
    <n v="30"/>
    <n v="1029.96"/>
    <n v="0"/>
    <n v="0"/>
    <x v="0"/>
    <n v="15.700609756097561"/>
  </r>
  <r>
    <s v="ID-67"/>
    <n v="3"/>
    <x v="0"/>
    <n v="39"/>
    <n v="1"/>
    <n v="935"/>
    <n v="17"/>
    <n v="5"/>
    <n v="13"/>
    <n v="2"/>
    <n v="1"/>
    <n v="1"/>
    <n v="25"/>
    <n v="65.34"/>
    <n v="0"/>
    <n v="0"/>
    <x v="0"/>
    <n v="6.988235294117648"/>
  </r>
  <r>
    <s v="ID-68"/>
    <n v="5"/>
    <x v="0"/>
    <n v="40"/>
    <n v="1"/>
    <n v="770"/>
    <n v="17"/>
    <n v="18"/>
    <n v="10"/>
    <n v="3"/>
    <n v="1"/>
    <n v="1"/>
    <n v="30"/>
    <n v="103.48"/>
    <n v="0"/>
    <n v="0"/>
    <x v="0"/>
    <n v="13.43896103896104"/>
  </r>
  <r>
    <s v="ID-69"/>
    <n v="3"/>
    <x v="1"/>
    <n v="39"/>
    <n v="1"/>
    <n v="60"/>
    <n v="3"/>
    <n v="5"/>
    <n v="2"/>
    <n v="2"/>
    <n v="1"/>
    <n v="1"/>
    <n v="25"/>
    <n v="25.335000000000001"/>
    <n v="1"/>
    <n v="2"/>
    <x v="0"/>
    <n v="42.225000000000001"/>
  </r>
  <r>
    <s v="ID-70"/>
    <n v="6"/>
    <x v="0"/>
    <n v="39"/>
    <n v="1"/>
    <n v="7568"/>
    <n v="130"/>
    <n v="389"/>
    <n v="45"/>
    <n v="3"/>
    <n v="1"/>
    <n v="1"/>
    <n v="30"/>
    <n v="1863.92"/>
    <n v="0"/>
    <n v="0"/>
    <x v="0"/>
    <n v="24.628964059196619"/>
  </r>
  <r>
    <s v="ID-71"/>
    <n v="10"/>
    <x v="0"/>
    <n v="39"/>
    <n v="2"/>
    <n v="11525"/>
    <n v="157"/>
    <n v="16"/>
    <n v="49"/>
    <n v="4"/>
    <n v="2"/>
    <n v="1"/>
    <n v="45"/>
    <n v="332.05"/>
    <n v="0"/>
    <n v="3"/>
    <x v="1"/>
    <n v="2.8811279826464209"/>
  </r>
  <r>
    <s v="ID-72"/>
    <n v="11"/>
    <x v="0"/>
    <n v="39"/>
    <n v="2"/>
    <n v="6778"/>
    <n v="78"/>
    <n v="113"/>
    <n v="39"/>
    <n v="2"/>
    <n v="1"/>
    <n v="1"/>
    <n v="25"/>
    <n v="817.02"/>
    <n v="0"/>
    <n v="2"/>
    <x v="0"/>
    <n v="12.053998229566243"/>
  </r>
  <r>
    <s v="ID-73"/>
    <n v="26"/>
    <x v="1"/>
    <n v="35"/>
    <n v="1"/>
    <n v="1015"/>
    <n v="50"/>
    <n v="21"/>
    <n v="19"/>
    <n v="3"/>
    <n v="1"/>
    <n v="1"/>
    <n v="30"/>
    <n v="126.6"/>
    <n v="1"/>
    <n v="4"/>
    <x v="1"/>
    <n v="12.472906403940886"/>
  </r>
  <r>
    <s v="ID-74"/>
    <n v="24"/>
    <x v="1"/>
    <n v="38"/>
    <n v="9"/>
    <n v="10495"/>
    <n v="96"/>
    <n v="6"/>
    <n v="44"/>
    <n v="5"/>
    <n v="2"/>
    <n v="1"/>
    <n v="55"/>
    <n v="167.86500000000001"/>
    <n v="0"/>
    <n v="4"/>
    <x v="1"/>
    <n v="1.5994759409242498"/>
  </r>
  <r>
    <s v="ID-75"/>
    <n v="16"/>
    <x v="0"/>
    <n v="38"/>
    <n v="2"/>
    <n v="5878"/>
    <n v="101"/>
    <n v="31"/>
    <n v="26"/>
    <n v="2"/>
    <n v="1"/>
    <n v="1"/>
    <n v="25"/>
    <n v="408.55500000000001"/>
    <n v="0"/>
    <n v="2"/>
    <x v="0"/>
    <n v="6.9505784280367466"/>
  </r>
  <r>
    <s v="ID-76"/>
    <n v="4"/>
    <x v="0"/>
    <n v="36"/>
    <n v="1"/>
    <n v="2900"/>
    <n v="25"/>
    <n v="5"/>
    <n v="16"/>
    <n v="3"/>
    <n v="1"/>
    <n v="1"/>
    <n v="30"/>
    <n v="137"/>
    <n v="0"/>
    <n v="0"/>
    <x v="0"/>
    <n v="4.7241379310344822"/>
  </r>
  <r>
    <s v="ID-77"/>
    <n v="12"/>
    <x v="0"/>
    <n v="37"/>
    <n v="1"/>
    <n v="3050"/>
    <n v="44"/>
    <n v="14"/>
    <n v="18"/>
    <n v="3"/>
    <n v="1"/>
    <n v="1"/>
    <n v="30"/>
    <n v="179.76"/>
    <n v="1"/>
    <n v="2"/>
    <x v="0"/>
    <n v="5.8937704918032781"/>
  </r>
  <r>
    <s v="ID-78"/>
    <n v="12"/>
    <x v="1"/>
    <n v="38"/>
    <n v="1"/>
    <n v="2328"/>
    <n v="47"/>
    <n v="39"/>
    <n v="33"/>
    <n v="3"/>
    <n v="1"/>
    <n v="1"/>
    <n v="30"/>
    <n v="251"/>
    <n v="1"/>
    <n v="4"/>
    <x v="1"/>
    <n v="10.781786941580757"/>
  </r>
  <r>
    <s v="ID-79"/>
    <n v="3"/>
    <x v="0"/>
    <n v="38"/>
    <n v="1"/>
    <n v="193"/>
    <n v="5"/>
    <n v="5"/>
    <n v="4"/>
    <n v="3"/>
    <n v="1"/>
    <n v="1"/>
    <n v="30"/>
    <n v="27.92"/>
    <n v="1"/>
    <n v="0"/>
    <x v="0"/>
    <n v="14.466321243523318"/>
  </r>
  <r>
    <s v="ID-80"/>
    <n v="4"/>
    <x v="0"/>
    <n v="38"/>
    <n v="1"/>
    <n v="1728"/>
    <n v="28"/>
    <n v="5"/>
    <n v="8"/>
    <n v="4"/>
    <n v="1"/>
    <n v="1"/>
    <n v="45"/>
    <n v="56.4"/>
    <n v="0"/>
    <n v="0"/>
    <x v="0"/>
    <n v="3.2638888888888893"/>
  </r>
  <r>
    <s v="ID-81"/>
    <n v="6"/>
    <x v="0"/>
    <n v="35"/>
    <n v="2"/>
    <n v="6845"/>
    <n v="100"/>
    <n v="19"/>
    <n v="24"/>
    <n v="5"/>
    <n v="1"/>
    <n v="1"/>
    <n v="55"/>
    <n v="132.67500000000001"/>
    <n v="0"/>
    <n v="0"/>
    <x v="0"/>
    <n v="1.9382761139517899"/>
  </r>
  <r>
    <s v="ID-82"/>
    <n v="3"/>
    <x v="0"/>
    <n v="38"/>
    <n v="1"/>
    <n v="688"/>
    <n v="10"/>
    <n v="14"/>
    <n v="6"/>
    <n v="4"/>
    <n v="1"/>
    <n v="1"/>
    <n v="45"/>
    <n v="52.45"/>
    <n v="1"/>
    <n v="0"/>
    <x v="0"/>
    <n v="7.6235465116279073"/>
  </r>
  <r>
    <s v="ID-83"/>
    <n v="3"/>
    <x v="0"/>
    <n v="38"/>
    <n v="2"/>
    <n v="398"/>
    <n v="7"/>
    <n v="9"/>
    <n v="4"/>
    <n v="5"/>
    <n v="1"/>
    <n v="1"/>
    <n v="55"/>
    <n v="19.574999999999999"/>
    <n v="0"/>
    <n v="0"/>
    <x v="0"/>
    <n v="4.9183417085427132"/>
  </r>
  <r>
    <s v="ID-84"/>
    <n v="28"/>
    <x v="0"/>
    <n v="33"/>
    <n v="4"/>
    <n v="16135"/>
    <n v="241"/>
    <n v="5"/>
    <n v="82"/>
    <n v="2"/>
    <n v="1"/>
    <n v="1"/>
    <n v="25"/>
    <n v="759.42"/>
    <n v="0"/>
    <n v="5"/>
    <x v="1"/>
    <n v="4.706662534862101"/>
  </r>
  <r>
    <s v="ID-85"/>
    <n v="9"/>
    <x v="1"/>
    <n v="36"/>
    <n v="4"/>
    <n v="7025"/>
    <n v="119"/>
    <n v="276"/>
    <n v="35"/>
    <n v="3"/>
    <n v="2"/>
    <n v="1"/>
    <n v="30"/>
    <n v="1389.76"/>
    <n v="0"/>
    <n v="2"/>
    <x v="0"/>
    <n v="19.783060498220639"/>
  </r>
  <r>
    <s v="ID-86"/>
    <n v="5"/>
    <x v="0"/>
    <n v="38"/>
    <n v="1"/>
    <n v="3778"/>
    <n v="85"/>
    <n v="7"/>
    <n v="30"/>
    <n v="3"/>
    <n v="1"/>
    <n v="1"/>
    <n v="30"/>
    <n v="182.52"/>
    <n v="0"/>
    <n v="0"/>
    <x v="0"/>
    <n v="4.8311275807305449"/>
  </r>
  <r>
    <s v="ID-87"/>
    <n v="6"/>
    <x v="0"/>
    <n v="37"/>
    <n v="1"/>
    <n v="1725"/>
    <n v="47"/>
    <n v="43"/>
    <n v="22"/>
    <n v="3"/>
    <n v="1"/>
    <n v="1"/>
    <n v="30"/>
    <n v="242.88"/>
    <n v="0"/>
    <n v="0"/>
    <x v="0"/>
    <n v="14.08"/>
  </r>
  <r>
    <s v="ID-88"/>
    <n v="9"/>
    <x v="0"/>
    <n v="38"/>
    <n v="1"/>
    <n v="2840"/>
    <n v="56"/>
    <n v="180"/>
    <n v="25"/>
    <n v="2"/>
    <n v="1"/>
    <n v="1"/>
    <n v="25"/>
    <n v="940.32"/>
    <n v="0"/>
    <n v="0"/>
    <x v="0"/>
    <n v="33.10985915492958"/>
  </r>
  <r>
    <s v="ID-89"/>
    <n v="7"/>
    <x v="0"/>
    <n v="29"/>
    <n v="2"/>
    <n v="1375"/>
    <n v="39"/>
    <n v="198"/>
    <n v="13"/>
    <n v="3"/>
    <n v="2"/>
    <n v="1"/>
    <n v="30"/>
    <n v="848.56"/>
    <n v="0"/>
    <n v="0"/>
    <x v="0"/>
    <n v="61.713454545454539"/>
  </r>
  <r>
    <s v="ID-90"/>
    <n v="7"/>
    <x v="0"/>
    <n v="28"/>
    <n v="1"/>
    <n v="1628"/>
    <n v="42"/>
    <n v="35"/>
    <n v="70"/>
    <n v="4"/>
    <n v="1"/>
    <n v="1"/>
    <n v="45"/>
    <n v="129.25"/>
    <n v="0"/>
    <n v="1"/>
    <x v="0"/>
    <n v="7.9391891891891886"/>
  </r>
  <r>
    <s v="ID-91"/>
    <n v="14"/>
    <x v="0"/>
    <n v="29"/>
    <n v="1"/>
    <n v="760"/>
    <n v="28"/>
    <n v="15"/>
    <n v="9"/>
    <n v="3"/>
    <n v="1"/>
    <n v="1"/>
    <n v="30"/>
    <n v="91.52"/>
    <n v="0"/>
    <n v="2"/>
    <x v="0"/>
    <n v="12.042105263157895"/>
  </r>
  <r>
    <s v="ID-92"/>
    <n v="3"/>
    <x v="0"/>
    <n v="28"/>
    <n v="1"/>
    <n v="885"/>
    <n v="13"/>
    <n v="26"/>
    <n v="5"/>
    <n v="4"/>
    <n v="1"/>
    <n v="1"/>
    <n v="45"/>
    <n v="87.45"/>
    <n v="0"/>
    <n v="0"/>
    <x v="0"/>
    <n v="9.8813559322033893"/>
  </r>
  <r>
    <s v="ID-93"/>
    <n v="13"/>
    <x v="0"/>
    <n v="27"/>
    <n v="1"/>
    <n v="1285"/>
    <n v="35"/>
    <n v="24"/>
    <n v="15"/>
    <n v="2"/>
    <n v="1"/>
    <n v="1"/>
    <n v="25"/>
    <n v="167.4"/>
    <n v="0"/>
    <n v="2"/>
    <x v="0"/>
    <n v="13.027237354085603"/>
  </r>
  <r>
    <s v="ID-94"/>
    <n v="5"/>
    <x v="0"/>
    <n v="27"/>
    <n v="1"/>
    <n v="3285"/>
    <n v="64"/>
    <n v="13"/>
    <n v="25"/>
    <n v="3"/>
    <n v="1"/>
    <n v="1"/>
    <n v="30"/>
    <n v="185.96"/>
    <n v="0"/>
    <n v="0"/>
    <x v="0"/>
    <n v="5.6608828006088281"/>
  </r>
  <r>
    <s v="ID-95"/>
    <n v="5"/>
    <x v="0"/>
    <n v="20"/>
    <n v="1"/>
    <n v="1755"/>
    <n v="29"/>
    <n v="33"/>
    <n v="16"/>
    <n v="2"/>
    <n v="1"/>
    <n v="1"/>
    <n v="25"/>
    <n v="228.78"/>
    <n v="0"/>
    <n v="0"/>
    <x v="0"/>
    <n v="13.035897435897436"/>
  </r>
  <r>
    <s v="ID-96"/>
    <n v="19"/>
    <x v="0"/>
    <n v="19"/>
    <n v="2"/>
    <n v="6453"/>
    <n v="144"/>
    <n v="90"/>
    <n v="44"/>
    <n v="2"/>
    <n v="2"/>
    <n v="1"/>
    <n v="25"/>
    <n v="701.86500000000001"/>
    <n v="0"/>
    <n v="4"/>
    <x v="1"/>
    <n v="10.876569037656903"/>
  </r>
  <r>
    <s v="ID-97"/>
    <n v="15"/>
    <x v="0"/>
    <n v="17"/>
    <n v="1"/>
    <n v="8993"/>
    <n v="174"/>
    <n v="78"/>
    <n v="42"/>
    <n v="5"/>
    <n v="1"/>
    <n v="1"/>
    <n v="55"/>
    <n v="254.505"/>
    <n v="0"/>
    <n v="4"/>
    <x v="1"/>
    <n v="2.8300344712554208"/>
  </r>
  <r>
    <s v="ID-98"/>
    <n v="11"/>
    <x v="0"/>
    <n v="18"/>
    <n v="4"/>
    <n v="2913"/>
    <n v="48"/>
    <n v="36"/>
    <n v="21"/>
    <n v="3"/>
    <n v="1"/>
    <n v="1"/>
    <n v="30"/>
    <n v="262.44"/>
    <n v="0"/>
    <n v="2"/>
    <x v="0"/>
    <n v="9.0092687950566415"/>
  </r>
  <r>
    <s v="ID-99"/>
    <n v="5"/>
    <x v="0"/>
    <n v="11"/>
    <n v="2"/>
    <n v="4450"/>
    <n v="43"/>
    <n v="220"/>
    <n v="12"/>
    <n v="3"/>
    <n v="1"/>
    <n v="1"/>
    <n v="30"/>
    <n v="1059.72"/>
    <n v="0"/>
    <n v="0"/>
    <x v="0"/>
    <n v="23.813932584269665"/>
  </r>
  <r>
    <s v="ID-100"/>
    <n v="6"/>
    <x v="1"/>
    <n v="11"/>
    <n v="2"/>
    <n v="1548"/>
    <n v="22"/>
    <n v="5"/>
    <n v="9"/>
    <n v="3"/>
    <n v="1"/>
    <n v="1"/>
    <n v="30"/>
    <n v="82.8"/>
    <n v="1"/>
    <n v="2"/>
    <x v="0"/>
    <n v="5.3488372093023253"/>
  </r>
  <r>
    <s v="ID-101"/>
    <n v="5"/>
    <x v="0"/>
    <n v="36"/>
    <n v="0"/>
    <n v="4310"/>
    <n v="68"/>
    <n v="0"/>
    <n v="15"/>
    <n v="2"/>
    <n v="1"/>
    <n v="1"/>
    <n v="25"/>
    <n v="197.01"/>
    <n v="0"/>
    <n v="1"/>
    <x v="0"/>
    <n v="4.5709976798143845"/>
  </r>
  <r>
    <s v="ID-102"/>
    <n v="0"/>
    <x v="0"/>
    <n v="37"/>
    <n v="0"/>
    <n v="258"/>
    <n v="2"/>
    <n v="2"/>
    <n v="2"/>
    <n v="2"/>
    <n v="1"/>
    <n v="2"/>
    <n v="25"/>
    <n v="20.7"/>
    <n v="0"/>
    <n v="1"/>
    <x v="0"/>
    <n v="8.0232558139534884"/>
  </r>
  <r>
    <s v="ID-103"/>
    <n v="7"/>
    <x v="0"/>
    <n v="35"/>
    <n v="0"/>
    <n v="2393"/>
    <n v="57"/>
    <n v="354"/>
    <n v="22"/>
    <n v="2"/>
    <n v="1"/>
    <n v="1"/>
    <n v="25"/>
    <n v="1703.25"/>
    <n v="0"/>
    <n v="1"/>
    <x v="0"/>
    <n v="71.176347680735475"/>
  </r>
  <r>
    <s v="ID-104"/>
    <n v="7"/>
    <x v="0"/>
    <n v="36"/>
    <n v="0"/>
    <n v="4138"/>
    <n v="63"/>
    <n v="0"/>
    <n v="33"/>
    <n v="1"/>
    <n v="1"/>
    <n v="1"/>
    <n v="15"/>
    <n v="231.05500000000001"/>
    <n v="0"/>
    <n v="1"/>
    <x v="0"/>
    <n v="5.5837361043982607"/>
  </r>
  <r>
    <s v="ID-105"/>
    <n v="0"/>
    <x v="0"/>
    <n v="36"/>
    <n v="0"/>
    <n v="2333"/>
    <n v="55"/>
    <n v="0"/>
    <n v="31"/>
    <n v="1"/>
    <n v="1"/>
    <n v="1"/>
    <n v="15"/>
    <n v="131.34"/>
    <n v="0"/>
    <n v="1"/>
    <x v="0"/>
    <n v="5.6296613801971711"/>
  </r>
  <r>
    <s v="ID-106"/>
    <n v="8"/>
    <x v="0"/>
    <n v="36"/>
    <n v="0"/>
    <n v="3715"/>
    <n v="79"/>
    <n v="27"/>
    <n v="26"/>
    <n v="3"/>
    <n v="1"/>
    <n v="1"/>
    <n v="30"/>
    <n v="259.76"/>
    <n v="0"/>
    <n v="1"/>
    <x v="0"/>
    <n v="6.9921938088829076"/>
  </r>
  <r>
    <s v="ID-107"/>
    <n v="1"/>
    <x v="0"/>
    <n v="36"/>
    <n v="0"/>
    <n v="2300"/>
    <n v="36"/>
    <n v="280"/>
    <n v="16"/>
    <n v="3"/>
    <n v="1"/>
    <n v="1"/>
    <n v="30"/>
    <n v="1213.44"/>
    <n v="0"/>
    <n v="1"/>
    <x v="0"/>
    <n v="52.75826086956522"/>
  </r>
  <r>
    <s v="ID-108"/>
    <n v="10"/>
    <x v="0"/>
    <n v="35"/>
    <n v="1"/>
    <n v="9055"/>
    <n v="118"/>
    <n v="139"/>
    <n v="41"/>
    <n v="3"/>
    <n v="1"/>
    <n v="1"/>
    <n v="30"/>
    <n v="922.92"/>
    <n v="0"/>
    <n v="0"/>
    <x v="0"/>
    <n v="10.192379900607399"/>
  </r>
  <r>
    <s v="ID-109"/>
    <n v="4"/>
    <x v="0"/>
    <n v="36"/>
    <n v="0"/>
    <n v="13713"/>
    <n v="166"/>
    <n v="0"/>
    <n v="42"/>
    <n v="3"/>
    <n v="1"/>
    <n v="1"/>
    <n v="30"/>
    <n v="555.16"/>
    <n v="0"/>
    <n v="3"/>
    <x v="1"/>
    <n v="4.0484212061547433"/>
  </r>
  <r>
    <s v="ID-110"/>
    <n v="4"/>
    <x v="0"/>
    <n v="36"/>
    <n v="0"/>
    <n v="4455"/>
    <n v="80"/>
    <n v="0"/>
    <n v="23"/>
    <n v="3"/>
    <n v="1"/>
    <n v="1"/>
    <n v="30"/>
    <n v="181.4"/>
    <n v="0"/>
    <n v="1"/>
    <x v="0"/>
    <n v="4.0718294051627382"/>
  </r>
  <r>
    <s v="ID-111"/>
    <n v="3"/>
    <x v="0"/>
    <n v="36"/>
    <n v="0"/>
    <n v="5858"/>
    <n v="92"/>
    <n v="2"/>
    <n v="10"/>
    <n v="2"/>
    <n v="1"/>
    <n v="1"/>
    <n v="25"/>
    <n v="276.75"/>
    <n v="0"/>
    <n v="1"/>
    <x v="0"/>
    <n v="4.7243086377603278"/>
  </r>
  <r>
    <s v="ID-112"/>
    <n v="6"/>
    <x v="1"/>
    <n v="36"/>
    <n v="0"/>
    <n v="2178"/>
    <n v="51"/>
    <n v="3"/>
    <n v="15"/>
    <n v="3"/>
    <n v="1"/>
    <n v="2"/>
    <n v="30"/>
    <n v="101.16"/>
    <n v="0"/>
    <n v="3"/>
    <x v="1"/>
    <n v="4.6446280991735538"/>
  </r>
  <r>
    <s v="ID-113"/>
    <n v="22"/>
    <x v="0"/>
    <n v="36"/>
    <n v="2"/>
    <n v="15080"/>
    <n v="222"/>
    <n v="49"/>
    <n v="30"/>
    <n v="3"/>
    <n v="1"/>
    <n v="1"/>
    <n v="30"/>
    <n v="808.08"/>
    <n v="0"/>
    <n v="4"/>
    <x v="1"/>
    <n v="5.3586206896551722"/>
  </r>
  <r>
    <s v="ID-114"/>
    <n v="1"/>
    <x v="0"/>
    <n v="36"/>
    <n v="0"/>
    <n v="3035"/>
    <n v="24"/>
    <n v="478"/>
    <n v="6"/>
    <n v="3"/>
    <n v="1"/>
    <n v="1"/>
    <n v="30"/>
    <n v="2034.36"/>
    <n v="0"/>
    <n v="1"/>
    <x v="0"/>
    <n v="67.029983525535414"/>
  </r>
  <r>
    <s v="ID-115"/>
    <n v="6"/>
    <x v="0"/>
    <n v="35"/>
    <n v="0"/>
    <n v="15425"/>
    <n v="179"/>
    <n v="145"/>
    <n v="28"/>
    <n v="2"/>
    <n v="1"/>
    <n v="1"/>
    <n v="25"/>
    <n v="1354.68"/>
    <n v="0"/>
    <n v="3"/>
    <x v="1"/>
    <n v="8.7823662884927067"/>
  </r>
  <r>
    <s v="ID-116"/>
    <n v="0"/>
    <x v="0"/>
    <n v="35"/>
    <n v="0"/>
    <n v="6440"/>
    <n v="83"/>
    <n v="181"/>
    <n v="24"/>
    <n v="3"/>
    <n v="1"/>
    <n v="1"/>
    <n v="30"/>
    <n v="984.92"/>
    <n v="0"/>
    <n v="1"/>
    <x v="0"/>
    <n v="15.293788819875775"/>
  </r>
  <r>
    <s v="ID-117"/>
    <n v="0"/>
    <x v="0"/>
    <n v="35"/>
    <n v="0"/>
    <n v="815"/>
    <n v="11"/>
    <n v="0"/>
    <n v="9"/>
    <n v="2"/>
    <n v="1"/>
    <n v="2"/>
    <n v="25"/>
    <n v="37.17"/>
    <n v="0"/>
    <n v="1"/>
    <x v="0"/>
    <n v="4.5607361963190183"/>
  </r>
  <r>
    <s v="ID-118"/>
    <n v="0"/>
    <x v="0"/>
    <n v="36"/>
    <n v="0"/>
    <n v="650"/>
    <n v="11"/>
    <n v="8"/>
    <n v="6"/>
    <n v="2"/>
    <n v="1"/>
    <n v="2"/>
    <n v="25"/>
    <n v="65.745000000000005"/>
    <n v="0"/>
    <n v="1"/>
    <x v="0"/>
    <n v="10.114615384615385"/>
  </r>
  <r>
    <s v="ID-119"/>
    <n v="0"/>
    <x v="0"/>
    <n v="35"/>
    <n v="0"/>
    <n v="0"/>
    <n v="0"/>
    <n v="0"/>
    <n v="0"/>
    <n v="2"/>
    <n v="1"/>
    <n v="2"/>
    <n v="25"/>
    <n v="0"/>
    <n v="1"/>
    <n v="1"/>
    <x v="0"/>
    <n v="0"/>
  </r>
  <r>
    <s v="ID-120"/>
    <n v="0"/>
    <x v="0"/>
    <n v="35"/>
    <n v="0"/>
    <n v="7448"/>
    <n v="124"/>
    <n v="379"/>
    <n v="41"/>
    <n v="2"/>
    <n v="1"/>
    <n v="1"/>
    <n v="25"/>
    <n v="2046.24"/>
    <n v="0"/>
    <n v="1"/>
    <x v="0"/>
    <n v="27.473684210526315"/>
  </r>
  <r>
    <s v="ID-121"/>
    <n v="4"/>
    <x v="0"/>
    <n v="35"/>
    <n v="0"/>
    <n v="11405"/>
    <n v="151"/>
    <n v="6"/>
    <n v="45"/>
    <n v="3"/>
    <n v="1"/>
    <n v="1"/>
    <n v="30"/>
    <n v="486.24"/>
    <n v="0"/>
    <n v="3"/>
    <x v="1"/>
    <n v="4.263393248575186"/>
  </r>
  <r>
    <s v="ID-122"/>
    <n v="5"/>
    <x v="0"/>
    <n v="35"/>
    <n v="0"/>
    <n v="6658"/>
    <n v="72"/>
    <n v="103"/>
    <n v="35"/>
    <n v="2"/>
    <n v="1"/>
    <n v="1"/>
    <n v="25"/>
    <n v="766.35"/>
    <n v="0"/>
    <n v="1"/>
    <x v="0"/>
    <n v="11.510213277260439"/>
  </r>
  <r>
    <s v="ID-123"/>
    <n v="20"/>
    <x v="0"/>
    <n v="31"/>
    <n v="0"/>
    <n v="895"/>
    <n v="44"/>
    <n v="11"/>
    <n v="15"/>
    <n v="2"/>
    <n v="1"/>
    <n v="2"/>
    <n v="25"/>
    <n v="91.754999999999995"/>
    <n v="1"/>
    <n v="3"/>
    <x v="1"/>
    <n v="10.25195530726257"/>
  </r>
  <r>
    <s v="ID-124"/>
    <n v="18"/>
    <x v="0"/>
    <n v="34"/>
    <n v="7"/>
    <n v="10375"/>
    <n v="90"/>
    <n v="0"/>
    <n v="40"/>
    <n v="4"/>
    <n v="1"/>
    <n v="1"/>
    <n v="45"/>
    <n v="261.625"/>
    <n v="0"/>
    <n v="2"/>
    <x v="0"/>
    <n v="2.5216867469879518"/>
  </r>
  <r>
    <s v="ID-125"/>
    <n v="10"/>
    <x v="0"/>
    <n v="34"/>
    <n v="0"/>
    <n v="5758"/>
    <n v="95"/>
    <n v="21"/>
    <n v="22"/>
    <n v="2"/>
    <n v="1"/>
    <n v="1"/>
    <n v="25"/>
    <n v="357.88499999999999"/>
    <n v="1"/>
    <n v="1"/>
    <x v="0"/>
    <n v="6.2154393886766242"/>
  </r>
  <r>
    <s v="ID-126"/>
    <n v="0"/>
    <x v="0"/>
    <n v="32"/>
    <n v="0"/>
    <n v="2780"/>
    <n v="19"/>
    <n v="0"/>
    <n v="12"/>
    <n v="3"/>
    <n v="1"/>
    <n v="1"/>
    <n v="30"/>
    <n v="111.96"/>
    <n v="0"/>
    <n v="1"/>
    <x v="0"/>
    <n v="4.0273381294964032"/>
  </r>
  <r>
    <s v="ID-127"/>
    <n v="6"/>
    <x v="0"/>
    <n v="33"/>
    <n v="0"/>
    <n v="2930"/>
    <n v="38"/>
    <n v="4"/>
    <n v="14"/>
    <n v="2"/>
    <n v="1"/>
    <n v="2"/>
    <n v="25"/>
    <n v="151.56"/>
    <n v="1"/>
    <n v="1"/>
    <x v="0"/>
    <n v="5.1726962457337882"/>
  </r>
  <r>
    <s v="ID-128"/>
    <n v="6"/>
    <x v="1"/>
    <n v="34"/>
    <n v="0"/>
    <n v="2208"/>
    <n v="41"/>
    <n v="29"/>
    <n v="29"/>
    <n v="3"/>
    <n v="1"/>
    <n v="2"/>
    <n v="30"/>
    <n v="205.96"/>
    <n v="1"/>
    <n v="3"/>
    <x v="1"/>
    <n v="9.3278985507246386"/>
  </r>
  <r>
    <s v="ID-129"/>
    <n v="0"/>
    <x v="1"/>
    <n v="34"/>
    <n v="0"/>
    <n v="0"/>
    <n v="0"/>
    <n v="0"/>
    <n v="0"/>
    <n v="3"/>
    <n v="1"/>
    <n v="2"/>
    <n v="30"/>
    <n v="0"/>
    <n v="1"/>
    <n v="3"/>
    <x v="1"/>
    <n v="0"/>
  </r>
  <r>
    <s v="ID-130"/>
    <n v="0"/>
    <x v="0"/>
    <n v="34"/>
    <n v="0"/>
    <n v="1608"/>
    <n v="22"/>
    <n v="0"/>
    <n v="4"/>
    <n v="3"/>
    <n v="1"/>
    <n v="1"/>
    <n v="30"/>
    <n v="65.2"/>
    <n v="0"/>
    <n v="1"/>
    <x v="0"/>
    <n v="4.0547263681592041"/>
  </r>
  <r>
    <s v="ID-131"/>
    <n v="0"/>
    <x v="0"/>
    <n v="31"/>
    <n v="0"/>
    <n v="6725"/>
    <n v="94"/>
    <n v="9"/>
    <n v="20"/>
    <n v="4"/>
    <n v="1"/>
    <n v="1"/>
    <n v="45"/>
    <n v="192.97499999999999"/>
    <n v="0"/>
    <n v="1"/>
    <x v="0"/>
    <n v="2.8695167286245349"/>
  </r>
  <r>
    <s v="ID-132"/>
    <n v="0"/>
    <x v="0"/>
    <n v="34"/>
    <n v="0"/>
    <n v="568"/>
    <n v="4"/>
    <n v="4"/>
    <n v="2"/>
    <n v="4"/>
    <n v="1"/>
    <n v="2"/>
    <n v="45"/>
    <n v="24.3"/>
    <n v="1"/>
    <n v="1"/>
    <x v="0"/>
    <n v="4.278169014084507"/>
  </r>
  <r>
    <s v="ID-133"/>
    <n v="0"/>
    <x v="0"/>
    <n v="34"/>
    <n v="0"/>
    <n v="0"/>
    <n v="0"/>
    <n v="0"/>
    <n v="0"/>
    <n v="5"/>
    <n v="1"/>
    <n v="1"/>
    <n v="55"/>
    <n v="0"/>
    <n v="0"/>
    <n v="1"/>
    <x v="0"/>
    <n v="0"/>
  </r>
  <r>
    <s v="ID-134"/>
    <n v="22"/>
    <x v="0"/>
    <n v="29"/>
    <n v="2"/>
    <n v="16015"/>
    <n v="235"/>
    <n v="0"/>
    <n v="78"/>
    <n v="2"/>
    <n v="1"/>
    <n v="1"/>
    <n v="25"/>
    <n v="731.25"/>
    <n v="0"/>
    <n v="5"/>
    <x v="1"/>
    <n v="4.5660318451451767"/>
  </r>
  <r>
    <s v="ID-135"/>
    <n v="3"/>
    <x v="0"/>
    <n v="32"/>
    <n v="2"/>
    <n v="6905"/>
    <n v="113"/>
    <n v="266"/>
    <n v="31"/>
    <n v="2"/>
    <n v="2"/>
    <n v="1"/>
    <n v="25"/>
    <n v="1512.81"/>
    <n v="0"/>
    <n v="0"/>
    <x v="0"/>
    <n v="21.90890658942795"/>
  </r>
  <r>
    <s v="ID-136"/>
    <n v="0"/>
    <x v="0"/>
    <n v="34"/>
    <n v="0"/>
    <n v="3658"/>
    <n v="79"/>
    <n v="0"/>
    <n v="26"/>
    <n v="2"/>
    <n v="1"/>
    <n v="1"/>
    <n v="25"/>
    <n v="168.16499999999999"/>
    <n v="0"/>
    <n v="1"/>
    <x v="0"/>
    <n v="4.597184253690541"/>
  </r>
  <r>
    <s v="ID-137"/>
    <n v="0"/>
    <x v="0"/>
    <n v="33"/>
    <n v="0"/>
    <n v="1605"/>
    <n v="41"/>
    <n v="33"/>
    <n v="18"/>
    <n v="3"/>
    <n v="1"/>
    <n v="2"/>
    <n v="30"/>
    <n v="197.84"/>
    <n v="0"/>
    <n v="1"/>
    <x v="0"/>
    <n v="12.326479750778816"/>
  </r>
  <r>
    <s v="ID-138"/>
    <n v="3"/>
    <x v="0"/>
    <n v="34"/>
    <n v="0"/>
    <n v="2720"/>
    <n v="50"/>
    <n v="170"/>
    <n v="21"/>
    <n v="2"/>
    <n v="1"/>
    <n v="1"/>
    <n v="25"/>
    <n v="889.65"/>
    <n v="0"/>
    <n v="1"/>
    <x v="0"/>
    <n v="32.707720588235297"/>
  </r>
  <r>
    <s v="ID-139"/>
    <n v="1"/>
    <x v="0"/>
    <n v="25"/>
    <n v="0"/>
    <n v="1255"/>
    <n v="33"/>
    <n v="188"/>
    <n v="9"/>
    <n v="2"/>
    <n v="2"/>
    <n v="1"/>
    <n v="25"/>
    <n v="903.96"/>
    <n v="0"/>
    <n v="1"/>
    <x v="0"/>
    <n v="72.028685258964146"/>
  </r>
  <r>
    <s v="ID-140"/>
    <n v="1"/>
    <x v="0"/>
    <n v="24"/>
    <n v="0"/>
    <n v="1508"/>
    <n v="36"/>
    <n v="25"/>
    <n v="66"/>
    <n v="4"/>
    <n v="1"/>
    <n v="1"/>
    <n v="45"/>
    <n v="101.1"/>
    <n v="0"/>
    <n v="2"/>
    <x v="0"/>
    <n v="6.7042440318302381"/>
  </r>
  <r>
    <s v="ID-141"/>
    <n v="8"/>
    <x v="0"/>
    <n v="25"/>
    <n v="0"/>
    <n v="640"/>
    <n v="22"/>
    <n v="5"/>
    <n v="5"/>
    <n v="2"/>
    <n v="1"/>
    <n v="2"/>
    <n v="25"/>
    <n v="52.29"/>
    <n v="0"/>
    <n v="1"/>
    <x v="0"/>
    <n v="8.1703124999999996"/>
  </r>
  <r>
    <s v="ID-142"/>
    <n v="0"/>
    <x v="1"/>
    <n v="24"/>
    <n v="0"/>
    <n v="765"/>
    <n v="7"/>
    <n v="16"/>
    <n v="1"/>
    <n v="4"/>
    <n v="1"/>
    <n v="2"/>
    <n v="45"/>
    <n v="59.3"/>
    <n v="1"/>
    <n v="3"/>
    <x v="1"/>
    <n v="7.7516339869281037"/>
  </r>
  <r>
    <s v="ID-143"/>
    <n v="7"/>
    <x v="0"/>
    <n v="23"/>
    <n v="0"/>
    <n v="1165"/>
    <n v="29"/>
    <n v="14"/>
    <n v="11"/>
    <n v="2"/>
    <n v="1"/>
    <n v="1"/>
    <n v="25"/>
    <n v="116.73"/>
    <n v="0"/>
    <n v="1"/>
    <x v="0"/>
    <n v="10.019742489270387"/>
  </r>
  <r>
    <s v="ID-144"/>
    <n v="0"/>
    <x v="0"/>
    <n v="23"/>
    <n v="0"/>
    <n v="3165"/>
    <n v="58"/>
    <n v="3"/>
    <n v="21"/>
    <n v="3"/>
    <n v="1"/>
    <n v="1"/>
    <n v="30"/>
    <n v="140.91999999999999"/>
    <n v="0"/>
    <n v="1"/>
    <x v="0"/>
    <n v="4.4524486571879933"/>
  </r>
  <r>
    <s v="ID-145"/>
    <n v="0"/>
    <x v="0"/>
    <n v="16"/>
    <n v="0"/>
    <n v="1635"/>
    <n v="23"/>
    <n v="23"/>
    <n v="12"/>
    <n v="2"/>
    <n v="1"/>
    <n v="1"/>
    <n v="25"/>
    <n v="178.11"/>
    <n v="0"/>
    <n v="1"/>
    <x v="0"/>
    <n v="10.893577981651378"/>
  </r>
  <r>
    <s v="ID-146"/>
    <n v="13"/>
    <x v="0"/>
    <n v="15"/>
    <n v="0"/>
    <n v="6333"/>
    <n v="138"/>
    <n v="80"/>
    <n v="40"/>
    <n v="1"/>
    <n v="2"/>
    <n v="1"/>
    <n v="15"/>
    <n v="795.90499999999997"/>
    <n v="0"/>
    <n v="3"/>
    <x v="1"/>
    <n v="12.567582504342333"/>
  </r>
  <r>
    <s v="ID-147"/>
    <n v="9"/>
    <x v="0"/>
    <n v="13"/>
    <n v="0"/>
    <n v="8873"/>
    <n v="168"/>
    <n v="68"/>
    <n v="38"/>
    <n v="4"/>
    <n v="1"/>
    <n v="1"/>
    <n v="45"/>
    <n v="396.02499999999998"/>
    <n v="0"/>
    <n v="3"/>
    <x v="1"/>
    <n v="4.4632593260453062"/>
  </r>
  <r>
    <s v="ID-148"/>
    <n v="5"/>
    <x v="0"/>
    <n v="14"/>
    <n v="2"/>
    <n v="2793"/>
    <n v="42"/>
    <n v="26"/>
    <n v="17"/>
    <n v="3"/>
    <n v="1"/>
    <n v="1"/>
    <n v="30"/>
    <n v="217.4"/>
    <n v="0"/>
    <n v="0"/>
    <x v="0"/>
    <n v="7.7837450769781604"/>
  </r>
  <r>
    <s v="ID-149"/>
    <n v="0"/>
    <x v="0"/>
    <n v="7"/>
    <n v="0"/>
    <n v="4330"/>
    <n v="37"/>
    <n v="210"/>
    <n v="8"/>
    <n v="3"/>
    <n v="1"/>
    <n v="1"/>
    <n v="30"/>
    <n v="1014.68"/>
    <n v="0"/>
    <n v="1"/>
    <x v="0"/>
    <n v="23.433718244803696"/>
  </r>
  <r>
    <s v="ID-150"/>
    <n v="0"/>
    <x v="0"/>
    <n v="7"/>
    <n v="0"/>
    <n v="1428"/>
    <n v="16"/>
    <n v="0"/>
    <n v="5"/>
    <n v="3"/>
    <n v="1"/>
    <n v="1"/>
    <n v="30"/>
    <n v="57.76"/>
    <n v="1"/>
    <n v="1"/>
    <x v="0"/>
    <n v="4.0448179271708682"/>
  </r>
  <r>
    <s v="ID-151"/>
    <n v="9"/>
    <x v="0"/>
    <n v="42"/>
    <n v="1"/>
    <n v="4450"/>
    <n v="73"/>
    <n v="15"/>
    <n v="21"/>
    <n v="3"/>
    <n v="1"/>
    <n v="1"/>
    <n v="30"/>
    <n v="240.92"/>
    <n v="0"/>
    <n v="0"/>
    <x v="0"/>
    <n v="5.4139325842696628"/>
  </r>
  <r>
    <s v="ID-152"/>
    <n v="1"/>
    <x v="1"/>
    <n v="43"/>
    <n v="0"/>
    <n v="398"/>
    <n v="7"/>
    <n v="17"/>
    <n v="8"/>
    <n v="3"/>
    <n v="1"/>
    <n v="2"/>
    <n v="30"/>
    <n v="84.2"/>
    <n v="1"/>
    <n v="3"/>
    <x v="1"/>
    <n v="21.155778894472363"/>
  </r>
  <r>
    <s v="ID-153"/>
    <n v="11"/>
    <x v="0"/>
    <n v="41"/>
    <n v="1"/>
    <n v="2533"/>
    <n v="62"/>
    <n v="369"/>
    <n v="28"/>
    <n v="3"/>
    <n v="1"/>
    <n v="1"/>
    <n v="30"/>
    <n v="1579.8"/>
    <n v="0"/>
    <n v="2"/>
    <x v="0"/>
    <n v="62.368732727990526"/>
  </r>
  <r>
    <s v="ID-154"/>
    <n v="11"/>
    <x v="0"/>
    <n v="42"/>
    <n v="1"/>
    <n v="4278"/>
    <n v="68"/>
    <n v="11"/>
    <n v="39"/>
    <n v="1"/>
    <n v="1"/>
    <n v="1"/>
    <n v="15"/>
    <n v="299.52999999999997"/>
    <n v="0"/>
    <n v="2"/>
    <x v="0"/>
    <n v="7.0016362786348747"/>
  </r>
  <r>
    <s v="ID-155"/>
    <n v="4"/>
    <x v="0"/>
    <n v="42"/>
    <n v="1"/>
    <n v="2473"/>
    <n v="60"/>
    <n v="12"/>
    <n v="37"/>
    <n v="2"/>
    <n v="1"/>
    <n v="1"/>
    <n v="25"/>
    <n v="167.98500000000001"/>
    <n v="0"/>
    <n v="0"/>
    <x v="0"/>
    <n v="6.7927618277395876"/>
  </r>
  <r>
    <s v="ID-156"/>
    <n v="12"/>
    <x v="0"/>
    <n v="42"/>
    <n v="2"/>
    <n v="3855"/>
    <n v="84"/>
    <n v="42"/>
    <n v="32"/>
    <n v="3"/>
    <n v="1"/>
    <n v="1"/>
    <n v="30"/>
    <n v="325.56"/>
    <n v="0"/>
    <n v="2"/>
    <x v="0"/>
    <n v="8.4451361867704282"/>
  </r>
  <r>
    <s v="ID-157"/>
    <n v="5"/>
    <x v="0"/>
    <n v="42"/>
    <n v="1"/>
    <n v="2440"/>
    <n v="41"/>
    <n v="295"/>
    <n v="22"/>
    <n v="3"/>
    <n v="1"/>
    <n v="1"/>
    <n v="30"/>
    <n v="1279.24"/>
    <n v="0"/>
    <n v="0"/>
    <x v="0"/>
    <n v="52.427868852459014"/>
  </r>
  <r>
    <s v="ID-158"/>
    <n v="14"/>
    <x v="0"/>
    <n v="41"/>
    <n v="3"/>
    <n v="9195"/>
    <n v="123"/>
    <n v="154"/>
    <n v="47"/>
    <n v="3"/>
    <n v="1"/>
    <n v="1"/>
    <n v="30"/>
    <n v="988.72"/>
    <n v="0"/>
    <n v="2"/>
    <x v="0"/>
    <n v="10.752800435019031"/>
  </r>
  <r>
    <s v="ID-159"/>
    <n v="8"/>
    <x v="0"/>
    <n v="42"/>
    <n v="1"/>
    <n v="13853"/>
    <n v="171"/>
    <n v="10"/>
    <n v="48"/>
    <n v="3"/>
    <n v="1"/>
    <n v="1"/>
    <n v="30"/>
    <n v="600.96"/>
    <n v="0"/>
    <n v="3"/>
    <x v="1"/>
    <n v="4.3381217064895692"/>
  </r>
  <r>
    <s v="ID-160"/>
    <n v="8"/>
    <x v="0"/>
    <n v="42"/>
    <n v="2"/>
    <n v="4595"/>
    <n v="85"/>
    <n v="12"/>
    <n v="29"/>
    <n v="3"/>
    <n v="1"/>
    <n v="1"/>
    <n v="30"/>
    <n v="235.2"/>
    <n v="0"/>
    <n v="0"/>
    <x v="0"/>
    <n v="5.11860718171926"/>
  </r>
  <r>
    <s v="ID-161"/>
    <n v="7"/>
    <x v="0"/>
    <n v="42"/>
    <n v="1"/>
    <n v="5998"/>
    <n v="97"/>
    <n v="17"/>
    <n v="16"/>
    <n v="3"/>
    <n v="1"/>
    <n v="1"/>
    <n v="30"/>
    <n v="311.8"/>
    <n v="0"/>
    <n v="0"/>
    <x v="0"/>
    <n v="5.19839946648883"/>
  </r>
  <r>
    <s v="ID-162"/>
    <n v="10"/>
    <x v="0"/>
    <n v="42"/>
    <n v="0"/>
    <n v="2318"/>
    <n v="56"/>
    <n v="18"/>
    <n v="21"/>
    <n v="3"/>
    <n v="1"/>
    <n v="2"/>
    <n v="30"/>
    <n v="166.96"/>
    <n v="0"/>
    <n v="1"/>
    <x v="0"/>
    <n v="7.2027610008628136"/>
  </r>
  <r>
    <s v="ID-163"/>
    <n v="26"/>
    <x v="0"/>
    <n v="42"/>
    <n v="4"/>
    <n v="15220"/>
    <n v="227"/>
    <n v="64"/>
    <n v="36"/>
    <n v="3"/>
    <n v="2"/>
    <n v="1"/>
    <n v="30"/>
    <n v="873.88"/>
    <n v="0"/>
    <n v="4"/>
    <x v="1"/>
    <n v="5.7416557161629429"/>
  </r>
  <r>
    <s v="ID-164"/>
    <n v="5"/>
    <x v="0"/>
    <n v="42"/>
    <n v="2"/>
    <n v="3175"/>
    <n v="29"/>
    <n v="493"/>
    <n v="12"/>
    <n v="3"/>
    <n v="1"/>
    <n v="1"/>
    <n v="30"/>
    <n v="2100.16"/>
    <n v="0"/>
    <n v="0"/>
    <x v="0"/>
    <n v="66.146771653543297"/>
  </r>
  <r>
    <s v="ID-165"/>
    <n v="10"/>
    <x v="0"/>
    <n v="41"/>
    <n v="1"/>
    <n v="15565"/>
    <n v="184"/>
    <n v="160"/>
    <n v="34"/>
    <n v="2"/>
    <n v="1"/>
    <n v="1"/>
    <n v="25"/>
    <n v="1428.7049999999999"/>
    <n v="0"/>
    <n v="2"/>
    <x v="0"/>
    <n v="9.1789592033408276"/>
  </r>
  <r>
    <s v="ID-166"/>
    <n v="4"/>
    <x v="0"/>
    <n v="41"/>
    <n v="2"/>
    <n v="6580"/>
    <n v="88"/>
    <n v="196"/>
    <n v="30"/>
    <n v="3"/>
    <n v="1"/>
    <n v="1"/>
    <n v="30"/>
    <n v="1050.72"/>
    <n v="0"/>
    <n v="0"/>
    <x v="0"/>
    <n v="15.968389057750759"/>
  </r>
  <r>
    <s v="ID-167"/>
    <n v="1"/>
    <x v="0"/>
    <n v="41"/>
    <n v="0"/>
    <n v="955"/>
    <n v="16"/>
    <n v="10"/>
    <n v="15"/>
    <n v="2"/>
    <n v="1"/>
    <n v="2"/>
    <n v="25"/>
    <n v="88.694999999999993"/>
    <n v="0"/>
    <n v="1"/>
    <x v="0"/>
    <n v="9.2874345549738209"/>
  </r>
  <r>
    <s v="ID-168"/>
    <n v="3"/>
    <x v="0"/>
    <n v="42"/>
    <n v="0"/>
    <n v="790"/>
    <n v="16"/>
    <n v="23"/>
    <n v="12"/>
    <n v="3"/>
    <n v="1"/>
    <n v="2"/>
    <n v="30"/>
    <n v="124.24"/>
    <n v="0"/>
    <n v="1"/>
    <x v="0"/>
    <n v="15.726582278481013"/>
  </r>
  <r>
    <s v="ID-169"/>
    <n v="1"/>
    <x v="0"/>
    <n v="41"/>
    <n v="0"/>
    <n v="80"/>
    <n v="2"/>
    <n v="10"/>
    <n v="4"/>
    <n v="2"/>
    <n v="1"/>
    <n v="2"/>
    <n v="25"/>
    <n v="48.69"/>
    <n v="1"/>
    <n v="1"/>
    <x v="0"/>
    <n v="60.862499999999997"/>
  </r>
  <r>
    <s v="ID-170"/>
    <n v="4"/>
    <x v="0"/>
    <n v="41"/>
    <n v="1"/>
    <n v="7588"/>
    <n v="129"/>
    <n v="394"/>
    <n v="47"/>
    <n v="3"/>
    <n v="1"/>
    <n v="1"/>
    <n v="30"/>
    <n v="1884.68"/>
    <n v="0"/>
    <n v="0"/>
    <x v="0"/>
    <n v="24.837638376383765"/>
  </r>
  <r>
    <s v="ID-171"/>
    <n v="8"/>
    <x v="0"/>
    <n v="41"/>
    <n v="2"/>
    <n v="11545"/>
    <n v="156"/>
    <n v="21"/>
    <n v="51"/>
    <n v="4"/>
    <n v="1"/>
    <n v="1"/>
    <n v="45"/>
    <n v="345.02499999999998"/>
    <n v="0"/>
    <n v="3"/>
    <x v="1"/>
    <n v="2.9885231702035511"/>
  </r>
  <r>
    <s v="ID-172"/>
    <n v="9"/>
    <x v="0"/>
    <n v="41"/>
    <n v="2"/>
    <n v="6798"/>
    <n v="77"/>
    <n v="118"/>
    <n v="41"/>
    <n v="2"/>
    <n v="1"/>
    <n v="1"/>
    <n v="25"/>
    <n v="840.375"/>
    <n v="0"/>
    <n v="0"/>
    <x v="0"/>
    <n v="12.362091791703442"/>
  </r>
  <r>
    <s v="ID-173"/>
    <n v="24"/>
    <x v="1"/>
    <n v="37"/>
    <n v="0"/>
    <n v="1035"/>
    <n v="49"/>
    <n v="26"/>
    <n v="21"/>
    <n v="3"/>
    <n v="1"/>
    <n v="2"/>
    <n v="30"/>
    <n v="147.36000000000001"/>
    <n v="1"/>
    <n v="5"/>
    <x v="1"/>
    <n v="14.237681159420291"/>
  </r>
  <r>
    <s v="ID-174"/>
    <n v="22"/>
    <x v="1"/>
    <n v="40"/>
    <n v="9"/>
    <n v="10515"/>
    <n v="95"/>
    <n v="11"/>
    <n v="46"/>
    <n v="5"/>
    <n v="1"/>
    <n v="1"/>
    <n v="55"/>
    <n v="175.65"/>
    <n v="0"/>
    <n v="4"/>
    <x v="1"/>
    <n v="1.6704707560627676"/>
  </r>
  <r>
    <s v="ID-175"/>
    <n v="14"/>
    <x v="0"/>
    <n v="40"/>
    <n v="2"/>
    <n v="5898"/>
    <n v="100"/>
    <n v="36"/>
    <n v="28"/>
    <n v="2"/>
    <n v="1"/>
    <n v="1"/>
    <n v="25"/>
    <n v="431.91"/>
    <n v="1"/>
    <n v="2"/>
    <x v="0"/>
    <n v="7.3229908443540186"/>
  </r>
  <r>
    <s v="ID-176"/>
    <n v="2"/>
    <x v="0"/>
    <n v="38"/>
    <n v="1"/>
    <n v="2920"/>
    <n v="24"/>
    <n v="10"/>
    <n v="18"/>
    <n v="3"/>
    <n v="1"/>
    <n v="1"/>
    <n v="30"/>
    <n v="157.76"/>
    <n v="0"/>
    <n v="0"/>
    <x v="0"/>
    <n v="5.4027397260273968"/>
  </r>
  <r>
    <s v="ID-177"/>
    <n v="10"/>
    <x v="0"/>
    <n v="39"/>
    <n v="0"/>
    <n v="3070"/>
    <n v="43"/>
    <n v="19"/>
    <n v="20"/>
    <n v="3"/>
    <n v="1"/>
    <n v="2"/>
    <n v="30"/>
    <n v="200.52"/>
    <n v="1"/>
    <n v="1"/>
    <x v="0"/>
    <n v="6.5315960912052118"/>
  </r>
  <r>
    <s v="ID-178"/>
    <n v="10"/>
    <x v="1"/>
    <n v="40"/>
    <n v="0"/>
    <n v="2348"/>
    <n v="46"/>
    <n v="44"/>
    <n v="35"/>
    <n v="3"/>
    <n v="1"/>
    <n v="2"/>
    <n v="30"/>
    <n v="271.76"/>
    <n v="1"/>
    <n v="3"/>
    <x v="1"/>
    <n v="11.574105621805792"/>
  </r>
  <r>
    <s v="ID-179"/>
    <n v="1"/>
    <x v="0"/>
    <n v="40"/>
    <n v="0"/>
    <n v="213"/>
    <n v="4"/>
    <n v="10"/>
    <n v="6"/>
    <n v="3"/>
    <n v="1"/>
    <n v="2"/>
    <n v="30"/>
    <n v="48.68"/>
    <n v="1"/>
    <n v="1"/>
    <x v="0"/>
    <n v="22.854460093896716"/>
  </r>
  <r>
    <s v="ID-180"/>
    <n v="2"/>
    <x v="0"/>
    <n v="40"/>
    <n v="1"/>
    <n v="1748"/>
    <n v="27"/>
    <n v="10"/>
    <n v="10"/>
    <n v="4"/>
    <n v="1"/>
    <n v="1"/>
    <n v="45"/>
    <n v="69.375"/>
    <n v="0"/>
    <n v="0"/>
    <x v="0"/>
    <n v="3.9688215102974831"/>
  </r>
  <r>
    <s v="ID-181"/>
    <n v="4"/>
    <x v="0"/>
    <n v="37"/>
    <n v="2"/>
    <n v="6865"/>
    <n v="99"/>
    <n v="24"/>
    <n v="26"/>
    <n v="5"/>
    <n v="1"/>
    <n v="1"/>
    <n v="55"/>
    <n v="140.46"/>
    <n v="0"/>
    <n v="0"/>
    <x v="0"/>
    <n v="2.0460305899490168"/>
  </r>
  <r>
    <s v="ID-182"/>
    <n v="1"/>
    <x v="1"/>
    <n v="40"/>
    <n v="0"/>
    <n v="708"/>
    <n v="9"/>
    <n v="19"/>
    <n v="8"/>
    <n v="4"/>
    <n v="1"/>
    <n v="2"/>
    <n v="45"/>
    <n v="65.424999999999997"/>
    <n v="1"/>
    <n v="3"/>
    <x v="1"/>
    <n v="9.2408192090395485"/>
  </r>
  <r>
    <s v="ID-183"/>
    <n v="1"/>
    <x v="0"/>
    <n v="40"/>
    <n v="2"/>
    <n v="418"/>
    <n v="6"/>
    <n v="14"/>
    <n v="6"/>
    <n v="5"/>
    <n v="1"/>
    <n v="1"/>
    <n v="55"/>
    <n v="27.36"/>
    <n v="0"/>
    <n v="0"/>
    <x v="0"/>
    <n v="6.5454545454545459"/>
  </r>
  <r>
    <s v="ID-184"/>
    <n v="26"/>
    <x v="0"/>
    <n v="35"/>
    <n v="4"/>
    <n v="16155"/>
    <n v="240"/>
    <n v="10"/>
    <n v="84"/>
    <n v="2"/>
    <n v="1"/>
    <n v="1"/>
    <n v="25"/>
    <n v="782.77499999999998"/>
    <n v="0"/>
    <n v="5"/>
    <x v="1"/>
    <n v="4.8454038997214486"/>
  </r>
  <r>
    <s v="ID-185"/>
    <n v="7"/>
    <x v="1"/>
    <n v="38"/>
    <n v="4"/>
    <n v="7045"/>
    <n v="118"/>
    <n v="281"/>
    <n v="37"/>
    <n v="2"/>
    <n v="2"/>
    <n v="1"/>
    <n v="25"/>
    <n v="1586.835"/>
    <n v="0"/>
    <n v="2"/>
    <x v="0"/>
    <n v="22.524272533711851"/>
  </r>
  <r>
    <s v="ID-186"/>
    <n v="3"/>
    <x v="0"/>
    <n v="40"/>
    <n v="1"/>
    <n v="3798"/>
    <n v="84"/>
    <n v="12"/>
    <n v="32"/>
    <n v="3"/>
    <n v="1"/>
    <n v="1"/>
    <n v="30"/>
    <n v="203.28"/>
    <n v="0"/>
    <n v="0"/>
    <x v="0"/>
    <n v="5.3522906793048977"/>
  </r>
  <r>
    <s v="ID-187"/>
    <n v="4"/>
    <x v="0"/>
    <n v="39"/>
    <n v="0"/>
    <n v="1745"/>
    <n v="46"/>
    <n v="48"/>
    <n v="24"/>
    <n v="3"/>
    <n v="1"/>
    <n v="2"/>
    <n v="30"/>
    <n v="263.64"/>
    <n v="0"/>
    <n v="1"/>
    <x v="0"/>
    <n v="15.108309455587394"/>
  </r>
  <r>
    <s v="ID-188"/>
    <n v="7"/>
    <x v="0"/>
    <n v="40"/>
    <n v="1"/>
    <n v="2860"/>
    <n v="55"/>
    <n v="185"/>
    <n v="27"/>
    <n v="2"/>
    <n v="1"/>
    <n v="1"/>
    <n v="25"/>
    <n v="963.67499999999995"/>
    <n v="0"/>
    <n v="0"/>
    <x v="0"/>
    <n v="33.694930069930066"/>
  </r>
  <r>
    <s v="ID-189"/>
    <n v="5"/>
    <x v="0"/>
    <n v="31"/>
    <n v="2"/>
    <n v="1395"/>
    <n v="38"/>
    <n v="203"/>
    <n v="15"/>
    <n v="2"/>
    <n v="2"/>
    <n v="1"/>
    <n v="25"/>
    <n v="977.98500000000001"/>
    <n v="0"/>
    <n v="0"/>
    <x v="0"/>
    <n v="70.106451612903228"/>
  </r>
  <r>
    <s v="ID-190"/>
    <n v="5"/>
    <x v="0"/>
    <n v="30"/>
    <n v="1"/>
    <n v="1648"/>
    <n v="41"/>
    <n v="40"/>
    <n v="72"/>
    <n v="4"/>
    <n v="1"/>
    <n v="1"/>
    <n v="45"/>
    <n v="142.22499999999999"/>
    <n v="0"/>
    <n v="1"/>
    <x v="0"/>
    <n v="8.6301577669902922"/>
  </r>
  <r>
    <s v="ID-191"/>
    <n v="12"/>
    <x v="0"/>
    <n v="31"/>
    <n v="0"/>
    <n v="780"/>
    <n v="27"/>
    <n v="20"/>
    <n v="11"/>
    <n v="3"/>
    <n v="1"/>
    <n v="2"/>
    <n v="30"/>
    <n v="112.28"/>
    <n v="0"/>
    <n v="3"/>
    <x v="1"/>
    <n v="14.394871794871793"/>
  </r>
  <r>
    <s v="ID-192"/>
    <n v="1"/>
    <x v="0"/>
    <n v="30"/>
    <n v="0"/>
    <n v="905"/>
    <n v="12"/>
    <n v="31"/>
    <n v="7"/>
    <n v="4"/>
    <n v="1"/>
    <n v="2"/>
    <n v="45"/>
    <n v="100.425"/>
    <n v="0"/>
    <n v="1"/>
    <x v="0"/>
    <n v="11.096685082872929"/>
  </r>
  <r>
    <s v="ID-193"/>
    <n v="11"/>
    <x v="0"/>
    <n v="29"/>
    <n v="1"/>
    <n v="1305"/>
    <n v="34"/>
    <n v="29"/>
    <n v="17"/>
    <n v="2"/>
    <n v="1"/>
    <n v="1"/>
    <n v="25"/>
    <n v="190.755"/>
    <n v="0"/>
    <n v="2"/>
    <x v="0"/>
    <n v="14.617241379310345"/>
  </r>
  <r>
    <s v="ID-194"/>
    <n v="3"/>
    <x v="0"/>
    <n v="29"/>
    <n v="1"/>
    <n v="3305"/>
    <n v="63"/>
    <n v="18"/>
    <n v="27"/>
    <n v="3"/>
    <n v="1"/>
    <n v="1"/>
    <n v="30"/>
    <n v="206.72"/>
    <n v="0"/>
    <n v="0"/>
    <x v="0"/>
    <n v="6.2547655068078676"/>
  </r>
  <r>
    <s v="ID-195"/>
    <n v="3"/>
    <x v="0"/>
    <n v="22"/>
    <n v="1"/>
    <n v="1775"/>
    <n v="28"/>
    <n v="38"/>
    <n v="18"/>
    <n v="2"/>
    <n v="1"/>
    <n v="1"/>
    <n v="25"/>
    <n v="252.13499999999999"/>
    <n v="0"/>
    <n v="0"/>
    <x v="0"/>
    <n v="14.204788732394366"/>
  </r>
  <r>
    <s v="ID-196"/>
    <n v="17"/>
    <x v="0"/>
    <n v="21"/>
    <n v="2"/>
    <n v="6473"/>
    <n v="143"/>
    <n v="95"/>
    <n v="46"/>
    <n v="2"/>
    <n v="2"/>
    <n v="1"/>
    <n v="25"/>
    <n v="725.22"/>
    <n v="0"/>
    <n v="4"/>
    <x v="1"/>
    <n v="11.203769504093929"/>
  </r>
  <r>
    <s v="ID-197"/>
    <n v="13"/>
    <x v="0"/>
    <n v="19"/>
    <n v="1"/>
    <n v="9013"/>
    <n v="173"/>
    <n v="83"/>
    <n v="44"/>
    <n v="5"/>
    <n v="1"/>
    <n v="1"/>
    <n v="55"/>
    <n v="262.29000000000002"/>
    <n v="0"/>
    <n v="4"/>
    <x v="1"/>
    <n v="2.9101298124930657"/>
  </r>
  <r>
    <s v="ID-198"/>
    <n v="9"/>
    <x v="0"/>
    <n v="20"/>
    <n v="4"/>
    <n v="2933"/>
    <n v="47"/>
    <n v="41"/>
    <n v="23"/>
    <n v="3"/>
    <n v="1"/>
    <n v="1"/>
    <n v="30"/>
    <n v="283.2"/>
    <n v="0"/>
    <n v="0"/>
    <x v="0"/>
    <n v="9.6556426866689389"/>
  </r>
  <r>
    <s v="ID-199"/>
    <n v="3"/>
    <x v="0"/>
    <n v="13"/>
    <n v="2"/>
    <n v="4470"/>
    <n v="42"/>
    <n v="225"/>
    <n v="14"/>
    <n v="3"/>
    <n v="1"/>
    <n v="1"/>
    <n v="30"/>
    <n v="1080.48"/>
    <n v="0"/>
    <n v="0"/>
    <x v="0"/>
    <n v="24.171812080536913"/>
  </r>
  <r>
    <s v="ID-200"/>
    <n v="4"/>
    <x v="0"/>
    <n v="13"/>
    <n v="2"/>
    <n v="1568"/>
    <n v="21"/>
    <n v="10"/>
    <n v="11"/>
    <n v="3"/>
    <n v="1"/>
    <n v="1"/>
    <n v="30"/>
    <n v="103.56"/>
    <n v="1"/>
    <n v="0"/>
    <x v="0"/>
    <n v="6.6045918367346941"/>
  </r>
  <r>
    <s v="ID-201"/>
    <n v="7"/>
    <x v="0"/>
    <n v="34"/>
    <n v="0"/>
    <n v="4290"/>
    <n v="69"/>
    <n v="0"/>
    <n v="13"/>
    <n v="2"/>
    <n v="1"/>
    <n v="1"/>
    <n v="25"/>
    <n v="196.155"/>
    <n v="0"/>
    <n v="1"/>
    <x v="0"/>
    <n v="4.5723776223776227"/>
  </r>
  <r>
    <s v="ID-202"/>
    <n v="0"/>
    <x v="0"/>
    <n v="35"/>
    <n v="0"/>
    <n v="0"/>
    <n v="0"/>
    <n v="0"/>
    <n v="0"/>
    <n v="2"/>
    <n v="1"/>
    <n v="2"/>
    <n v="25"/>
    <n v="0"/>
    <n v="0"/>
    <n v="1"/>
    <x v="0"/>
    <n v="0"/>
  </r>
  <r>
    <s v="ID-203"/>
    <n v="9"/>
    <x v="0"/>
    <n v="33"/>
    <n v="0"/>
    <n v="2373"/>
    <n v="58"/>
    <n v="349"/>
    <n v="20"/>
    <n v="2"/>
    <n v="1"/>
    <n v="1"/>
    <n v="25"/>
    <n v="1679.895"/>
    <n v="0"/>
    <n v="1"/>
    <x v="0"/>
    <n v="70.792035398230098"/>
  </r>
  <r>
    <s v="ID-204"/>
    <n v="9"/>
    <x v="0"/>
    <n v="34"/>
    <n v="0"/>
    <n v="4118"/>
    <n v="64"/>
    <n v="0"/>
    <n v="31"/>
    <n v="1"/>
    <n v="1"/>
    <n v="1"/>
    <n v="15"/>
    <n v="230.01"/>
    <n v="0"/>
    <n v="1"/>
    <x v="0"/>
    <n v="5.5854783875667797"/>
  </r>
  <r>
    <s v="ID-205"/>
    <n v="2"/>
    <x v="0"/>
    <n v="34"/>
    <n v="0"/>
    <n v="2313"/>
    <n v="56"/>
    <n v="0"/>
    <n v="29"/>
    <n v="1"/>
    <n v="1"/>
    <n v="1"/>
    <n v="15"/>
    <n v="130.29499999999999"/>
    <n v="0"/>
    <n v="1"/>
    <x v="0"/>
    <n v="5.633160397751837"/>
  </r>
  <r>
    <s v="ID-206"/>
    <n v="10"/>
    <x v="0"/>
    <n v="34"/>
    <n v="0"/>
    <n v="3695"/>
    <n v="80"/>
    <n v="22"/>
    <n v="24"/>
    <n v="3"/>
    <n v="1"/>
    <n v="1"/>
    <n v="30"/>
    <n v="239"/>
    <n v="0"/>
    <n v="1"/>
    <x v="0"/>
    <n v="6.4682002706359949"/>
  </r>
  <r>
    <s v="ID-207"/>
    <n v="3"/>
    <x v="0"/>
    <n v="34"/>
    <n v="0"/>
    <n v="2280"/>
    <n v="37"/>
    <n v="275"/>
    <n v="14"/>
    <n v="3"/>
    <n v="1"/>
    <n v="1"/>
    <n v="30"/>
    <n v="1192.68"/>
    <n v="0"/>
    <n v="1"/>
    <x v="0"/>
    <n v="52.310526315789474"/>
  </r>
  <r>
    <s v="ID-208"/>
    <n v="12"/>
    <x v="0"/>
    <n v="33"/>
    <n v="1"/>
    <n v="9035"/>
    <n v="119"/>
    <n v="134"/>
    <n v="39"/>
    <n v="3"/>
    <n v="1"/>
    <n v="1"/>
    <n v="30"/>
    <n v="902.16"/>
    <n v="0"/>
    <n v="2"/>
    <x v="0"/>
    <n v="9.9851687880464866"/>
  </r>
  <r>
    <s v="ID-209"/>
    <n v="6"/>
    <x v="0"/>
    <n v="34"/>
    <n v="0"/>
    <n v="13693"/>
    <n v="167"/>
    <n v="0"/>
    <n v="40"/>
    <n v="3"/>
    <n v="1"/>
    <n v="1"/>
    <n v="30"/>
    <n v="554.4"/>
    <n v="0"/>
    <n v="3"/>
    <x v="1"/>
    <n v="4.0487840502446506"/>
  </r>
  <r>
    <s v="ID-210"/>
    <n v="6"/>
    <x v="0"/>
    <n v="34"/>
    <n v="0"/>
    <n v="4435"/>
    <n v="81"/>
    <n v="0"/>
    <n v="21"/>
    <n v="3"/>
    <n v="1"/>
    <n v="1"/>
    <n v="30"/>
    <n v="180.64"/>
    <n v="0"/>
    <n v="1"/>
    <x v="0"/>
    <n v="4.0730552423900788"/>
  </r>
  <r>
    <s v="ID-211"/>
    <n v="5"/>
    <x v="0"/>
    <n v="34"/>
    <n v="0"/>
    <n v="5838"/>
    <n v="93"/>
    <n v="0"/>
    <n v="8"/>
    <n v="2"/>
    <n v="1"/>
    <n v="1"/>
    <n v="25"/>
    <n v="266.89499999999998"/>
    <n v="0"/>
    <n v="1"/>
    <x v="0"/>
    <n v="4.5716855087358681"/>
  </r>
  <r>
    <s v="ID-212"/>
    <n v="8"/>
    <x v="0"/>
    <n v="34"/>
    <n v="0"/>
    <n v="2158"/>
    <n v="52"/>
    <n v="0"/>
    <n v="13"/>
    <n v="3"/>
    <n v="1"/>
    <n v="2"/>
    <n v="30"/>
    <n v="88.4"/>
    <n v="0"/>
    <n v="1"/>
    <x v="0"/>
    <n v="4.096385542168675"/>
  </r>
  <r>
    <s v="ID-213"/>
    <n v="24"/>
    <x v="0"/>
    <n v="34"/>
    <n v="2"/>
    <n v="15060"/>
    <n v="223"/>
    <n v="44"/>
    <n v="28"/>
    <n v="3"/>
    <n v="1"/>
    <n v="1"/>
    <n v="30"/>
    <n v="787.32"/>
    <n v="0"/>
    <n v="4"/>
    <x v="1"/>
    <n v="5.2278884462151396"/>
  </r>
  <r>
    <s v="ID-214"/>
    <n v="3"/>
    <x v="0"/>
    <n v="34"/>
    <n v="0"/>
    <n v="3015"/>
    <n v="25"/>
    <n v="473"/>
    <n v="4"/>
    <n v="3"/>
    <n v="1"/>
    <n v="1"/>
    <n v="30"/>
    <n v="2013.6"/>
    <n v="0"/>
    <n v="1"/>
    <x v="0"/>
    <n v="66.786069651741286"/>
  </r>
  <r>
    <s v="ID-215"/>
    <n v="8"/>
    <x v="0"/>
    <n v="33"/>
    <n v="0"/>
    <n v="15405"/>
    <n v="180"/>
    <n v="140"/>
    <n v="26"/>
    <n v="2"/>
    <n v="1"/>
    <n v="1"/>
    <n v="25"/>
    <n v="1331.325"/>
    <n v="0"/>
    <n v="3"/>
    <x v="1"/>
    <n v="8.6421616358325224"/>
  </r>
  <r>
    <s v="ID-216"/>
    <n v="2"/>
    <x v="0"/>
    <n v="33"/>
    <n v="0"/>
    <n v="6420"/>
    <n v="84"/>
    <n v="176"/>
    <n v="22"/>
    <n v="3"/>
    <n v="1"/>
    <n v="1"/>
    <n v="30"/>
    <n v="964.16"/>
    <n v="0"/>
    <n v="1"/>
    <x v="0"/>
    <n v="15.018068535825543"/>
  </r>
  <r>
    <s v="ID-217"/>
    <n v="0"/>
    <x v="0"/>
    <n v="33"/>
    <n v="0"/>
    <n v="795"/>
    <n v="12"/>
    <n v="0"/>
    <n v="7"/>
    <n v="2"/>
    <n v="1"/>
    <n v="2"/>
    <n v="25"/>
    <n v="36.314999999999998"/>
    <n v="0"/>
    <n v="1"/>
    <x v="0"/>
    <n v="4.5679245283018863"/>
  </r>
  <r>
    <s v="ID-218"/>
    <n v="1"/>
    <x v="0"/>
    <n v="34"/>
    <n v="0"/>
    <n v="630"/>
    <n v="12"/>
    <n v="3"/>
    <n v="4"/>
    <n v="2"/>
    <n v="1"/>
    <n v="2"/>
    <n v="25"/>
    <n v="42.39"/>
    <n v="0"/>
    <n v="1"/>
    <x v="0"/>
    <n v="6.7285714285714278"/>
  </r>
  <r>
    <s v="ID-219"/>
    <n v="0"/>
    <x v="0"/>
    <n v="33"/>
    <n v="0"/>
    <n v="0"/>
    <n v="0"/>
    <n v="0"/>
    <n v="0"/>
    <n v="2"/>
    <n v="1"/>
    <n v="2"/>
    <n v="25"/>
    <n v="0"/>
    <n v="1"/>
    <n v="1"/>
    <x v="0"/>
    <n v="0"/>
  </r>
  <r>
    <s v="ID-220"/>
    <n v="2"/>
    <x v="0"/>
    <n v="33"/>
    <n v="0"/>
    <n v="7428"/>
    <n v="125"/>
    <n v="374"/>
    <n v="39"/>
    <n v="2"/>
    <n v="1"/>
    <n v="1"/>
    <n v="25"/>
    <n v="2022.885"/>
    <n v="0"/>
    <n v="1"/>
    <x v="0"/>
    <n v="27.233239095315025"/>
  </r>
  <r>
    <s v="ID-221"/>
    <n v="6"/>
    <x v="0"/>
    <n v="33"/>
    <n v="0"/>
    <n v="11385"/>
    <n v="152"/>
    <n v="1"/>
    <n v="43"/>
    <n v="3"/>
    <n v="1"/>
    <n v="1"/>
    <n v="30"/>
    <n v="465.48"/>
    <n v="0"/>
    <n v="3"/>
    <x v="1"/>
    <n v="4.088537549407115"/>
  </r>
  <r>
    <s v="ID-222"/>
    <n v="7"/>
    <x v="0"/>
    <n v="33"/>
    <n v="0"/>
    <n v="6638"/>
    <n v="73"/>
    <n v="98"/>
    <n v="33"/>
    <n v="2"/>
    <n v="1"/>
    <n v="1"/>
    <n v="25"/>
    <n v="742.995"/>
    <n v="0"/>
    <n v="1"/>
    <x v="0"/>
    <n v="11.193055137089484"/>
  </r>
  <r>
    <s v="ID-223"/>
    <n v="22"/>
    <x v="0"/>
    <n v="29"/>
    <n v="0"/>
    <n v="875"/>
    <n v="45"/>
    <n v="6"/>
    <n v="13"/>
    <n v="2"/>
    <n v="1"/>
    <n v="2"/>
    <n v="25"/>
    <n v="68.400000000000006"/>
    <n v="1"/>
    <n v="3"/>
    <x v="1"/>
    <n v="7.8171428571428576"/>
  </r>
  <r>
    <s v="ID-224"/>
    <n v="20"/>
    <x v="0"/>
    <n v="32"/>
    <n v="7"/>
    <n v="10355"/>
    <n v="91"/>
    <n v="0"/>
    <n v="38"/>
    <n v="4"/>
    <n v="1"/>
    <n v="1"/>
    <n v="45"/>
    <n v="261.14999999999998"/>
    <n v="0"/>
    <n v="2"/>
    <x v="0"/>
    <n v="2.521970062771608"/>
  </r>
  <r>
    <s v="ID-225"/>
    <n v="12"/>
    <x v="1"/>
    <n v="32"/>
    <n v="0"/>
    <n v="5738"/>
    <n v="96"/>
    <n v="16"/>
    <n v="20"/>
    <n v="2"/>
    <n v="1"/>
    <n v="1"/>
    <n v="25"/>
    <n v="334.53"/>
    <n v="1"/>
    <n v="5"/>
    <x v="1"/>
    <n v="5.830080167305681"/>
  </r>
  <r>
    <s v="ID-226"/>
    <n v="0"/>
    <x v="0"/>
    <n v="30"/>
    <n v="0"/>
    <n v="2760"/>
    <n v="20"/>
    <n v="0"/>
    <n v="10"/>
    <n v="3"/>
    <n v="1"/>
    <n v="1"/>
    <n v="30"/>
    <n v="111.2"/>
    <n v="0"/>
    <n v="1"/>
    <x v="0"/>
    <n v="4.0289855072463769"/>
  </r>
  <r>
    <s v="ID-227"/>
    <n v="8"/>
    <x v="1"/>
    <n v="31"/>
    <n v="0"/>
    <n v="2910"/>
    <n v="39"/>
    <n v="0"/>
    <n v="12"/>
    <n v="3"/>
    <n v="1"/>
    <n v="2"/>
    <n v="30"/>
    <n v="117.96"/>
    <n v="1"/>
    <n v="3"/>
    <x v="1"/>
    <n v="4.0536082474226802"/>
  </r>
  <r>
    <s v="ID-228"/>
    <n v="8"/>
    <x v="0"/>
    <n v="32"/>
    <n v="0"/>
    <n v="2188"/>
    <n v="42"/>
    <n v="24"/>
    <n v="27"/>
    <n v="3"/>
    <n v="1"/>
    <n v="2"/>
    <n v="30"/>
    <n v="185.2"/>
    <n v="1"/>
    <n v="1"/>
    <x v="0"/>
    <n v="8.4643510054844597"/>
  </r>
  <r>
    <s v="ID-229"/>
    <n v="0"/>
    <x v="1"/>
    <n v="32"/>
    <n v="0"/>
    <n v="0"/>
    <n v="0"/>
    <n v="0"/>
    <n v="0"/>
    <n v="3"/>
    <n v="1"/>
    <n v="2"/>
    <n v="30"/>
    <n v="0"/>
    <n v="1"/>
    <n v="3"/>
    <x v="1"/>
    <n v="0"/>
  </r>
  <r>
    <s v="ID-230"/>
    <n v="0"/>
    <x v="0"/>
    <n v="32"/>
    <n v="0"/>
    <n v="1588"/>
    <n v="23"/>
    <n v="0"/>
    <n v="2"/>
    <n v="3"/>
    <n v="1"/>
    <n v="1"/>
    <n v="30"/>
    <n v="64.44"/>
    <n v="0"/>
    <n v="1"/>
    <x v="0"/>
    <n v="4.0579345088161212"/>
  </r>
  <r>
    <s v="ID-231"/>
    <n v="2"/>
    <x v="0"/>
    <n v="29"/>
    <n v="0"/>
    <n v="6705"/>
    <n v="95"/>
    <n v="4"/>
    <n v="18"/>
    <n v="4"/>
    <n v="1"/>
    <n v="1"/>
    <n v="45"/>
    <n v="180"/>
    <n v="0"/>
    <n v="1"/>
    <x v="0"/>
    <n v="2.6845637583892619"/>
  </r>
  <r>
    <s v="ID-232"/>
    <n v="0"/>
    <x v="0"/>
    <n v="32"/>
    <n v="0"/>
    <n v="0"/>
    <n v="0"/>
    <n v="0"/>
    <n v="0"/>
    <n v="4"/>
    <n v="1"/>
    <n v="2"/>
    <n v="45"/>
    <n v="0"/>
    <n v="1"/>
    <n v="1"/>
    <x v="0"/>
    <n v="0"/>
  </r>
  <r>
    <s v="ID-233"/>
    <n v="0"/>
    <x v="0"/>
    <n v="32"/>
    <n v="0"/>
    <n v="0"/>
    <n v="0"/>
    <n v="0"/>
    <n v="0"/>
    <n v="5"/>
    <n v="1"/>
    <n v="1"/>
    <n v="55"/>
    <n v="0"/>
    <n v="0"/>
    <n v="1"/>
    <x v="0"/>
    <n v="0"/>
  </r>
  <r>
    <s v="ID-234"/>
    <n v="24"/>
    <x v="0"/>
    <n v="27"/>
    <n v="2"/>
    <n v="15995"/>
    <n v="236"/>
    <n v="0"/>
    <n v="76"/>
    <n v="2"/>
    <n v="1"/>
    <n v="1"/>
    <n v="25"/>
    <n v="730.39499999999998"/>
    <n v="0"/>
    <n v="5"/>
    <x v="1"/>
    <n v="4.5663957486714599"/>
  </r>
  <r>
    <s v="ID-235"/>
    <n v="5"/>
    <x v="0"/>
    <n v="30"/>
    <n v="2"/>
    <n v="6885"/>
    <n v="114"/>
    <n v="261"/>
    <n v="29"/>
    <n v="2"/>
    <n v="2"/>
    <n v="1"/>
    <n v="25"/>
    <n v="1489.4549999999999"/>
    <n v="0"/>
    <n v="0"/>
    <x v="0"/>
    <n v="21.633333333333333"/>
  </r>
  <r>
    <s v="ID-236"/>
    <n v="1"/>
    <x v="0"/>
    <n v="32"/>
    <n v="0"/>
    <n v="3638"/>
    <n v="80"/>
    <n v="0"/>
    <n v="24"/>
    <n v="2"/>
    <n v="1"/>
    <n v="1"/>
    <n v="25"/>
    <n v="167.31"/>
    <n v="0"/>
    <n v="1"/>
    <x v="0"/>
    <n v="4.5989554700384829"/>
  </r>
  <r>
    <s v="ID-237"/>
    <n v="2"/>
    <x v="0"/>
    <n v="31"/>
    <n v="0"/>
    <n v="1585"/>
    <n v="42"/>
    <n v="28"/>
    <n v="16"/>
    <n v="3"/>
    <n v="1"/>
    <n v="2"/>
    <n v="30"/>
    <n v="177.08"/>
    <n v="0"/>
    <n v="1"/>
    <x v="0"/>
    <n v="11.17223974763407"/>
  </r>
  <r>
    <s v="ID-238"/>
    <n v="5"/>
    <x v="0"/>
    <n v="32"/>
    <n v="0"/>
    <n v="2700"/>
    <n v="51"/>
    <n v="165"/>
    <n v="19"/>
    <n v="2"/>
    <n v="1"/>
    <n v="1"/>
    <n v="25"/>
    <n v="866.29499999999996"/>
    <n v="0"/>
    <n v="1"/>
    <x v="0"/>
    <n v="32.084999999999994"/>
  </r>
  <r>
    <s v="ID-239"/>
    <n v="3"/>
    <x v="0"/>
    <n v="23"/>
    <n v="0"/>
    <n v="1235"/>
    <n v="34"/>
    <n v="183"/>
    <n v="7"/>
    <n v="2"/>
    <n v="2"/>
    <n v="1"/>
    <n v="25"/>
    <n v="880.60500000000002"/>
    <n v="0"/>
    <n v="1"/>
    <x v="0"/>
    <n v="71.304048582995947"/>
  </r>
  <r>
    <s v="ID-240"/>
    <n v="3"/>
    <x v="0"/>
    <n v="22"/>
    <n v="0"/>
    <n v="1488"/>
    <n v="37"/>
    <n v="20"/>
    <n v="64"/>
    <n v="4"/>
    <n v="1"/>
    <n v="1"/>
    <n v="45"/>
    <n v="88.125"/>
    <n v="0"/>
    <n v="2"/>
    <x v="0"/>
    <n v="5.9223790322580649"/>
  </r>
  <r>
    <s v="ID-241"/>
    <n v="10"/>
    <x v="0"/>
    <n v="23"/>
    <n v="0"/>
    <n v="620"/>
    <n v="23"/>
    <n v="0"/>
    <n v="3"/>
    <n v="2"/>
    <n v="1"/>
    <n v="2"/>
    <n v="25"/>
    <n v="28.934999999999999"/>
    <n v="0"/>
    <n v="1"/>
    <x v="0"/>
    <n v="4.6669354838709678"/>
  </r>
  <r>
    <s v="ID-242"/>
    <n v="0"/>
    <x v="0"/>
    <n v="22"/>
    <n v="0"/>
    <n v="0"/>
    <n v="0"/>
    <n v="11"/>
    <n v="0"/>
    <n v="4"/>
    <n v="1"/>
    <n v="2"/>
    <n v="45"/>
    <n v="27.5"/>
    <n v="0"/>
    <n v="1"/>
    <x v="0"/>
    <n v="0"/>
  </r>
  <r>
    <s v="ID-243"/>
    <n v="9"/>
    <x v="0"/>
    <n v="21"/>
    <n v="0"/>
    <n v="1145"/>
    <n v="30"/>
    <n v="9"/>
    <n v="9"/>
    <n v="2"/>
    <n v="1"/>
    <n v="1"/>
    <n v="25"/>
    <n v="93.375"/>
    <n v="0"/>
    <n v="1"/>
    <x v="0"/>
    <n v="8.1550218340611345"/>
  </r>
  <r>
    <s v="ID-244"/>
    <n v="1"/>
    <x v="0"/>
    <n v="21"/>
    <n v="0"/>
    <n v="3145"/>
    <n v="59"/>
    <n v="0"/>
    <n v="19"/>
    <n v="3"/>
    <n v="1"/>
    <n v="1"/>
    <n v="30"/>
    <n v="128.16"/>
    <n v="0"/>
    <n v="1"/>
    <x v="0"/>
    <n v="4.075039745627981"/>
  </r>
  <r>
    <s v="ID-245"/>
    <n v="1"/>
    <x v="0"/>
    <n v="14"/>
    <n v="0"/>
    <n v="1615"/>
    <n v="24"/>
    <n v="18"/>
    <n v="10"/>
    <n v="2"/>
    <n v="1"/>
    <n v="1"/>
    <n v="25"/>
    <n v="154.755"/>
    <n v="0"/>
    <n v="1"/>
    <x v="0"/>
    <n v="9.5823529411764703"/>
  </r>
  <r>
    <s v="ID-246"/>
    <n v="15"/>
    <x v="0"/>
    <n v="13"/>
    <n v="0"/>
    <n v="6313"/>
    <n v="139"/>
    <n v="75"/>
    <n v="38"/>
    <n v="1"/>
    <n v="2"/>
    <n v="1"/>
    <n v="15"/>
    <n v="767.36"/>
    <n v="0"/>
    <n v="5"/>
    <x v="1"/>
    <n v="12.15523522889276"/>
  </r>
  <r>
    <s v="ID-247"/>
    <n v="11"/>
    <x v="0"/>
    <n v="11"/>
    <n v="0"/>
    <n v="8853"/>
    <n v="169"/>
    <n v="63"/>
    <n v="36"/>
    <n v="4"/>
    <n v="1"/>
    <n v="1"/>
    <n v="45"/>
    <n v="383.05"/>
    <n v="0"/>
    <n v="5"/>
    <x v="1"/>
    <n v="4.3267818818479613"/>
  </r>
  <r>
    <s v="ID-248"/>
    <n v="7"/>
    <x v="0"/>
    <n v="12"/>
    <n v="2"/>
    <n v="2773"/>
    <n v="43"/>
    <n v="21"/>
    <n v="15"/>
    <n v="3"/>
    <n v="1"/>
    <n v="1"/>
    <n v="30"/>
    <n v="196.64"/>
    <n v="0"/>
    <n v="0"/>
    <x v="0"/>
    <n v="7.0912369275153262"/>
  </r>
  <r>
    <s v="ID-249"/>
    <n v="1"/>
    <x v="0"/>
    <n v="5"/>
    <n v="0"/>
    <n v="4310"/>
    <n v="38"/>
    <n v="205"/>
    <n v="6"/>
    <n v="3"/>
    <n v="1"/>
    <n v="1"/>
    <n v="30"/>
    <n v="993.92"/>
    <n v="0"/>
    <n v="1"/>
    <x v="0"/>
    <n v="23.060788863109046"/>
  </r>
  <r>
    <s v="ID-250"/>
    <n v="2"/>
    <x v="0"/>
    <n v="5"/>
    <n v="0"/>
    <n v="1408"/>
    <n v="17"/>
    <n v="0"/>
    <n v="3"/>
    <n v="3"/>
    <n v="1"/>
    <n v="1"/>
    <n v="30"/>
    <n v="57"/>
    <n v="1"/>
    <n v="1"/>
    <x v="0"/>
    <n v="4.0482954545454541"/>
  </r>
  <r>
    <s v="ID-251"/>
    <n v="13"/>
    <x v="0"/>
    <n v="44"/>
    <n v="1"/>
    <n v="4630"/>
    <n v="81"/>
    <n v="20"/>
    <n v="23"/>
    <n v="3"/>
    <n v="1"/>
    <n v="1"/>
    <n v="30"/>
    <n v="268.44"/>
    <n v="0"/>
    <n v="2"/>
    <x v="0"/>
    <n v="5.7978401727861772"/>
  </r>
  <r>
    <s v="ID-252"/>
    <n v="5"/>
    <x v="0"/>
    <n v="45"/>
    <n v="0"/>
    <n v="578"/>
    <n v="15"/>
    <n v="22"/>
    <n v="10"/>
    <n v="3"/>
    <n v="1"/>
    <n v="2"/>
    <n v="30"/>
    <n v="111.72"/>
    <n v="0"/>
    <n v="1"/>
    <x v="0"/>
    <n v="19.32871972318339"/>
  </r>
  <r>
    <s v="ID-253"/>
    <n v="15"/>
    <x v="0"/>
    <n v="43"/>
    <n v="1"/>
    <n v="2713"/>
    <n v="70"/>
    <n v="374"/>
    <n v="30"/>
    <n v="3"/>
    <n v="1"/>
    <n v="1"/>
    <n v="30"/>
    <n v="1607.32"/>
    <n v="0"/>
    <n v="2"/>
    <x v="0"/>
    <n v="59.245116107629926"/>
  </r>
  <r>
    <s v="ID-254"/>
    <n v="15"/>
    <x v="0"/>
    <n v="44"/>
    <n v="1"/>
    <n v="4458"/>
    <n v="76"/>
    <n v="16"/>
    <n v="41"/>
    <n v="1"/>
    <n v="1"/>
    <n v="1"/>
    <n v="15"/>
    <n v="337.37"/>
    <n v="0"/>
    <n v="2"/>
    <x v="0"/>
    <n v="7.567743382682818"/>
  </r>
  <r>
    <s v="ID-255"/>
    <n v="8"/>
    <x v="0"/>
    <n v="44"/>
    <n v="1"/>
    <n v="2653"/>
    <n v="68"/>
    <n v="17"/>
    <n v="39"/>
    <n v="2"/>
    <n v="1"/>
    <n v="1"/>
    <n v="25"/>
    <n v="198.94499999999999"/>
    <n v="0"/>
    <n v="0"/>
    <x v="0"/>
    <n v="7.4988692046739542"/>
  </r>
  <r>
    <s v="ID-256"/>
    <n v="16"/>
    <x v="0"/>
    <n v="44"/>
    <n v="2"/>
    <n v="4035"/>
    <n v="92"/>
    <n v="47"/>
    <n v="34"/>
    <n v="3"/>
    <n v="1"/>
    <n v="1"/>
    <n v="30"/>
    <n v="353.08"/>
    <n v="0"/>
    <n v="2"/>
    <x v="0"/>
    <n v="8.7504337050805443"/>
  </r>
  <r>
    <s v="ID-257"/>
    <n v="9"/>
    <x v="0"/>
    <n v="44"/>
    <n v="1"/>
    <n v="2620"/>
    <n v="49"/>
    <n v="300"/>
    <n v="24"/>
    <n v="3"/>
    <n v="1"/>
    <n v="1"/>
    <n v="30"/>
    <n v="1306.76"/>
    <n v="0"/>
    <n v="0"/>
    <x v="0"/>
    <n v="49.876335877862594"/>
  </r>
  <r>
    <s v="ID-258"/>
    <n v="18"/>
    <x v="0"/>
    <n v="43"/>
    <n v="3"/>
    <n v="9375"/>
    <n v="131"/>
    <n v="159"/>
    <n v="49"/>
    <n v="3"/>
    <n v="1"/>
    <n v="1"/>
    <n v="30"/>
    <n v="1016.24"/>
    <n v="0"/>
    <n v="3"/>
    <x v="1"/>
    <n v="10.839893333333334"/>
  </r>
  <r>
    <s v="ID-259"/>
    <n v="12"/>
    <x v="0"/>
    <n v="44"/>
    <n v="1"/>
    <n v="14033"/>
    <n v="179"/>
    <n v="15"/>
    <n v="50"/>
    <n v="3"/>
    <n v="1"/>
    <n v="1"/>
    <n v="30"/>
    <n v="628.48"/>
    <n v="0"/>
    <n v="5"/>
    <x v="1"/>
    <n v="4.4785861896957169"/>
  </r>
  <r>
    <s v="ID-260"/>
    <n v="12"/>
    <x v="0"/>
    <n v="44"/>
    <n v="2"/>
    <n v="4775"/>
    <n v="93"/>
    <n v="17"/>
    <n v="31"/>
    <n v="3"/>
    <n v="1"/>
    <n v="1"/>
    <n v="30"/>
    <n v="262.72000000000003"/>
    <n v="0"/>
    <n v="2"/>
    <x v="0"/>
    <n v="5.5019895287958125"/>
  </r>
  <r>
    <s v="ID-261"/>
    <n v="11"/>
    <x v="0"/>
    <n v="44"/>
    <n v="1"/>
    <n v="6178"/>
    <n v="105"/>
    <n v="22"/>
    <n v="18"/>
    <n v="3"/>
    <n v="1"/>
    <n v="1"/>
    <n v="30"/>
    <n v="339.32"/>
    <n v="0"/>
    <n v="2"/>
    <x v="0"/>
    <n v="5.4923923599870506"/>
  </r>
  <r>
    <s v="ID-262"/>
    <n v="14"/>
    <x v="1"/>
    <n v="44"/>
    <n v="0"/>
    <n v="2498"/>
    <n v="64"/>
    <n v="23"/>
    <n v="23"/>
    <n v="3"/>
    <n v="1"/>
    <n v="2"/>
    <n v="30"/>
    <n v="194.48"/>
    <n v="0"/>
    <n v="5"/>
    <x v="1"/>
    <n v="7.7854283426741393"/>
  </r>
  <r>
    <s v="ID-263"/>
    <n v="30"/>
    <x v="0"/>
    <n v="44"/>
    <n v="4"/>
    <n v="15400"/>
    <n v="235"/>
    <n v="69"/>
    <n v="38"/>
    <n v="3"/>
    <n v="1"/>
    <n v="1"/>
    <n v="30"/>
    <n v="901.4"/>
    <n v="0"/>
    <n v="4"/>
    <x v="1"/>
    <n v="5.8532467532467534"/>
  </r>
  <r>
    <s v="ID-264"/>
    <n v="9"/>
    <x v="0"/>
    <n v="44"/>
    <n v="2"/>
    <n v="3355"/>
    <n v="37"/>
    <n v="498"/>
    <n v="14"/>
    <n v="3"/>
    <n v="1"/>
    <n v="1"/>
    <n v="30"/>
    <n v="2127.6799999999998"/>
    <n v="0"/>
    <n v="0"/>
    <x v="0"/>
    <n v="63.418181818181822"/>
  </r>
  <r>
    <s v="ID-265"/>
    <n v="14"/>
    <x v="0"/>
    <n v="43"/>
    <n v="1"/>
    <n v="15745"/>
    <n v="192"/>
    <n v="165"/>
    <n v="36"/>
    <n v="2"/>
    <n v="1"/>
    <n v="1"/>
    <n v="25"/>
    <n v="1459.665"/>
    <n v="0"/>
    <n v="4"/>
    <x v="1"/>
    <n v="9.2706573515401711"/>
  </r>
  <r>
    <s v="ID-266"/>
    <n v="8"/>
    <x v="0"/>
    <n v="43"/>
    <n v="2"/>
    <n v="6760"/>
    <n v="96"/>
    <n v="201"/>
    <n v="32"/>
    <n v="3"/>
    <n v="1"/>
    <n v="1"/>
    <n v="30"/>
    <n v="1078.24"/>
    <n v="0"/>
    <n v="0"/>
    <x v="0"/>
    <n v="15.950295857988166"/>
  </r>
  <r>
    <s v="ID-267"/>
    <n v="5"/>
    <x v="0"/>
    <n v="43"/>
    <n v="0"/>
    <n v="1135"/>
    <n v="24"/>
    <n v="15"/>
    <n v="17"/>
    <n v="2"/>
    <n v="1"/>
    <n v="2"/>
    <n v="25"/>
    <n v="119.655"/>
    <n v="0"/>
    <n v="1"/>
    <x v="0"/>
    <n v="10.542290748898679"/>
  </r>
  <r>
    <s v="ID-268"/>
    <n v="7"/>
    <x v="0"/>
    <n v="44"/>
    <n v="0"/>
    <n v="970"/>
    <n v="24"/>
    <n v="28"/>
    <n v="14"/>
    <n v="3"/>
    <n v="1"/>
    <n v="2"/>
    <n v="30"/>
    <n v="151.76"/>
    <n v="0"/>
    <n v="1"/>
    <x v="0"/>
    <n v="15.645360824742266"/>
  </r>
  <r>
    <s v="ID-269"/>
    <n v="5"/>
    <x v="0"/>
    <n v="43"/>
    <n v="0"/>
    <n v="260"/>
    <n v="10"/>
    <n v="15"/>
    <n v="6"/>
    <n v="2"/>
    <n v="1"/>
    <n v="2"/>
    <n v="25"/>
    <n v="79.650000000000006"/>
    <n v="1"/>
    <n v="1"/>
    <x v="0"/>
    <n v="30.634615384615387"/>
  </r>
  <r>
    <s v="ID-270"/>
    <n v="8"/>
    <x v="0"/>
    <n v="43"/>
    <n v="1"/>
    <n v="7768"/>
    <n v="137"/>
    <n v="399"/>
    <n v="49"/>
    <n v="3"/>
    <n v="1"/>
    <n v="1"/>
    <n v="30"/>
    <n v="1912.2"/>
    <n v="0"/>
    <n v="1"/>
    <x v="0"/>
    <n v="24.616374871266736"/>
  </r>
  <r>
    <s v="ID-271"/>
    <n v="12"/>
    <x v="0"/>
    <n v="43"/>
    <n v="2"/>
    <n v="11725"/>
    <n v="164"/>
    <n v="26"/>
    <n v="53"/>
    <n v="4"/>
    <n v="1"/>
    <n v="1"/>
    <n v="45"/>
    <n v="362.22500000000002"/>
    <n v="0"/>
    <n v="5"/>
    <x v="1"/>
    <n v="3.0893390191897656"/>
  </r>
  <r>
    <s v="ID-272"/>
    <n v="13"/>
    <x v="0"/>
    <n v="43"/>
    <n v="2"/>
    <n v="6978"/>
    <n v="85"/>
    <n v="123"/>
    <n v="43"/>
    <n v="2"/>
    <n v="1"/>
    <n v="1"/>
    <n v="25"/>
    <n v="871.33500000000004"/>
    <n v="0"/>
    <n v="2"/>
    <x v="0"/>
    <n v="12.486887360275151"/>
  </r>
  <r>
    <s v="ID-273"/>
    <n v="28"/>
    <x v="1"/>
    <n v="39"/>
    <n v="0"/>
    <n v="1215"/>
    <n v="57"/>
    <n v="31"/>
    <n v="23"/>
    <n v="3"/>
    <n v="1"/>
    <n v="2"/>
    <n v="30"/>
    <n v="174.88"/>
    <n v="1"/>
    <n v="5"/>
    <x v="1"/>
    <n v="14.393415637860082"/>
  </r>
  <r>
    <s v="ID-274"/>
    <n v="26"/>
    <x v="0"/>
    <n v="42"/>
    <n v="9"/>
    <n v="10695"/>
    <n v="103"/>
    <n v="16"/>
    <n v="48"/>
    <n v="5"/>
    <n v="2"/>
    <n v="1"/>
    <n v="55"/>
    <n v="185.97"/>
    <n v="0"/>
    <n v="3"/>
    <x v="1"/>
    <n v="1.7388499298737727"/>
  </r>
  <r>
    <s v="ID-275"/>
    <n v="18"/>
    <x v="0"/>
    <n v="42"/>
    <n v="2"/>
    <n v="6078"/>
    <n v="108"/>
    <n v="41"/>
    <n v="30"/>
    <n v="2"/>
    <n v="1"/>
    <n v="1"/>
    <n v="25"/>
    <n v="462.87"/>
    <n v="0"/>
    <n v="2"/>
    <x v="0"/>
    <n v="7.6154985192497531"/>
  </r>
  <r>
    <s v="ID-276"/>
    <n v="6"/>
    <x v="0"/>
    <n v="40"/>
    <n v="1"/>
    <n v="3100"/>
    <n v="32"/>
    <n v="15"/>
    <n v="20"/>
    <n v="3"/>
    <n v="1"/>
    <n v="1"/>
    <n v="30"/>
    <n v="185.28"/>
    <n v="0"/>
    <n v="0"/>
    <x v="0"/>
    <n v="5.9767741935483869"/>
  </r>
  <r>
    <s v="ID-277"/>
    <n v="14"/>
    <x v="1"/>
    <n v="41"/>
    <n v="0"/>
    <n v="3250"/>
    <n v="51"/>
    <n v="24"/>
    <n v="22"/>
    <n v="3"/>
    <n v="1"/>
    <n v="2"/>
    <n v="30"/>
    <n v="228.04"/>
    <n v="1"/>
    <n v="5"/>
    <x v="1"/>
    <n v="7.0166153846153847"/>
  </r>
  <r>
    <s v="ID-278"/>
    <n v="14"/>
    <x v="1"/>
    <n v="42"/>
    <n v="0"/>
    <n v="2528"/>
    <n v="54"/>
    <n v="49"/>
    <n v="37"/>
    <n v="4"/>
    <n v="1"/>
    <n v="2"/>
    <n v="45"/>
    <n v="187.05"/>
    <n v="1"/>
    <n v="5"/>
    <x v="1"/>
    <n v="7.3991297468354436"/>
  </r>
  <r>
    <s v="ID-279"/>
    <n v="5"/>
    <x v="0"/>
    <n v="42"/>
    <n v="0"/>
    <n v="393"/>
    <n v="12"/>
    <n v="15"/>
    <n v="8"/>
    <n v="3"/>
    <n v="1"/>
    <n v="2"/>
    <n v="30"/>
    <n v="76.2"/>
    <n v="1"/>
    <n v="1"/>
    <x v="0"/>
    <n v="19.389312977099237"/>
  </r>
  <r>
    <s v="ID-280"/>
    <n v="6"/>
    <x v="0"/>
    <n v="42"/>
    <n v="1"/>
    <n v="1928"/>
    <n v="35"/>
    <n v="15"/>
    <n v="12"/>
    <n v="4"/>
    <n v="1"/>
    <n v="1"/>
    <n v="45"/>
    <n v="86.575000000000003"/>
    <n v="0"/>
    <n v="0"/>
    <x v="0"/>
    <n v="4.4904045643153525"/>
  </r>
  <r>
    <s v="ID-281"/>
    <n v="8"/>
    <x v="0"/>
    <n v="39"/>
    <n v="2"/>
    <n v="7045"/>
    <n v="107"/>
    <n v="29"/>
    <n v="28"/>
    <n v="5"/>
    <n v="1"/>
    <n v="1"/>
    <n v="55"/>
    <n v="150.78"/>
    <n v="0"/>
    <n v="0"/>
    <x v="0"/>
    <n v="2.1402413058907026"/>
  </r>
  <r>
    <s v="ID-282"/>
    <n v="5"/>
    <x v="0"/>
    <n v="42"/>
    <n v="0"/>
    <n v="888"/>
    <n v="17"/>
    <n v="24"/>
    <n v="10"/>
    <n v="4"/>
    <n v="1"/>
    <n v="2"/>
    <n v="45"/>
    <n v="82.625"/>
    <n v="1"/>
    <n v="1"/>
    <x v="0"/>
    <n v="9.3046171171171164"/>
  </r>
  <r>
    <s v="ID-283"/>
    <n v="5"/>
    <x v="0"/>
    <n v="42"/>
    <n v="2"/>
    <n v="598"/>
    <n v="14"/>
    <n v="19"/>
    <n v="8"/>
    <n v="5"/>
    <n v="1"/>
    <n v="1"/>
    <n v="55"/>
    <n v="37.68"/>
    <n v="0"/>
    <n v="0"/>
    <x v="0"/>
    <n v="6.3010033444816056"/>
  </r>
  <r>
    <s v="ID-284"/>
    <n v="30"/>
    <x v="1"/>
    <n v="37"/>
    <n v="4"/>
    <n v="16335"/>
    <n v="248"/>
    <n v="15"/>
    <n v="86"/>
    <n v="2"/>
    <n v="1"/>
    <n v="1"/>
    <n v="25"/>
    <n v="813.73500000000001"/>
    <n v="0"/>
    <n v="7"/>
    <x v="2"/>
    <n v="4.9815426997245176"/>
  </r>
  <r>
    <s v="ID-285"/>
    <n v="11"/>
    <x v="1"/>
    <n v="40"/>
    <n v="4"/>
    <n v="7225"/>
    <n v="126"/>
    <n v="286"/>
    <n v="39"/>
    <n v="3"/>
    <n v="2"/>
    <n v="1"/>
    <n v="30"/>
    <n v="1438.04"/>
    <n v="0"/>
    <n v="4"/>
    <x v="1"/>
    <n v="19.903667820069202"/>
  </r>
  <r>
    <s v="ID-286"/>
    <n v="7"/>
    <x v="0"/>
    <n v="42"/>
    <n v="1"/>
    <n v="3978"/>
    <n v="92"/>
    <n v="17"/>
    <n v="34"/>
    <n v="3"/>
    <n v="1"/>
    <n v="1"/>
    <n v="30"/>
    <n v="230.8"/>
    <n v="0"/>
    <n v="0"/>
    <x v="0"/>
    <n v="5.8019105077928605"/>
  </r>
  <r>
    <s v="ID-287"/>
    <n v="8"/>
    <x v="0"/>
    <n v="41"/>
    <n v="0"/>
    <n v="1925"/>
    <n v="54"/>
    <n v="53"/>
    <n v="26"/>
    <n v="3"/>
    <n v="1"/>
    <n v="2"/>
    <n v="30"/>
    <n v="291.16000000000003"/>
    <n v="0"/>
    <n v="1"/>
    <x v="0"/>
    <n v="15.125194805194806"/>
  </r>
  <r>
    <s v="ID-288"/>
    <n v="11"/>
    <x v="0"/>
    <n v="42"/>
    <n v="1"/>
    <n v="3040"/>
    <n v="63"/>
    <n v="190"/>
    <n v="29"/>
    <n v="2"/>
    <n v="1"/>
    <n v="1"/>
    <n v="25"/>
    <n v="994.63499999999999"/>
    <n v="0"/>
    <n v="2"/>
    <x v="0"/>
    <n v="32.718256578947368"/>
  </r>
  <r>
    <s v="ID-289"/>
    <n v="9"/>
    <x v="0"/>
    <n v="33"/>
    <n v="2"/>
    <n v="1575"/>
    <n v="46"/>
    <n v="208"/>
    <n v="17"/>
    <n v="3"/>
    <n v="2"/>
    <n v="1"/>
    <n v="30"/>
    <n v="896.84"/>
    <n v="0"/>
    <n v="0"/>
    <x v="0"/>
    <n v="56.942222222222227"/>
  </r>
  <r>
    <s v="ID-290"/>
    <n v="9"/>
    <x v="0"/>
    <n v="32"/>
    <n v="1"/>
    <n v="1828"/>
    <n v="49"/>
    <n v="45"/>
    <n v="74"/>
    <n v="5"/>
    <n v="1"/>
    <n v="1"/>
    <n v="55"/>
    <n v="95.655000000000001"/>
    <n v="0"/>
    <n v="1"/>
    <x v="0"/>
    <n v="5.2327680525164117"/>
  </r>
  <r>
    <s v="ID-291"/>
    <n v="16"/>
    <x v="0"/>
    <n v="33"/>
    <n v="0"/>
    <n v="960"/>
    <n v="35"/>
    <n v="25"/>
    <n v="13"/>
    <n v="3"/>
    <n v="1"/>
    <n v="2"/>
    <n v="30"/>
    <n v="139.80000000000001"/>
    <n v="0"/>
    <n v="3"/>
    <x v="1"/>
    <n v="14.5625"/>
  </r>
  <r>
    <s v="ID-292"/>
    <n v="5"/>
    <x v="0"/>
    <n v="32"/>
    <n v="0"/>
    <n v="1085"/>
    <n v="20"/>
    <n v="36"/>
    <n v="9"/>
    <n v="4"/>
    <n v="1"/>
    <n v="2"/>
    <n v="45"/>
    <n v="117.625"/>
    <n v="0"/>
    <n v="1"/>
    <x v="0"/>
    <n v="10.841013824884794"/>
  </r>
  <r>
    <s v="ID-293"/>
    <n v="15"/>
    <x v="0"/>
    <n v="31"/>
    <n v="1"/>
    <n v="1485"/>
    <n v="42"/>
    <n v="34"/>
    <n v="19"/>
    <n v="2"/>
    <n v="1"/>
    <n v="1"/>
    <n v="25"/>
    <n v="221.715"/>
    <n v="0"/>
    <n v="2"/>
    <x v="0"/>
    <n v="14.93030303030303"/>
  </r>
  <r>
    <s v="ID-294"/>
    <n v="7"/>
    <x v="0"/>
    <n v="31"/>
    <n v="1"/>
    <n v="3485"/>
    <n v="71"/>
    <n v="23"/>
    <n v="29"/>
    <n v="3"/>
    <n v="1"/>
    <n v="1"/>
    <n v="30"/>
    <n v="234.24"/>
    <n v="0"/>
    <n v="0"/>
    <x v="0"/>
    <n v="6.7213773314203733"/>
  </r>
  <r>
    <s v="ID-295"/>
    <n v="7"/>
    <x v="0"/>
    <n v="24"/>
    <n v="1"/>
    <n v="1955"/>
    <n v="36"/>
    <n v="43"/>
    <n v="20"/>
    <n v="3"/>
    <n v="1"/>
    <n v="1"/>
    <n v="30"/>
    <n v="251.64"/>
    <n v="0"/>
    <n v="0"/>
    <x v="0"/>
    <n v="12.87161125319693"/>
  </r>
  <r>
    <s v="ID-296"/>
    <n v="21"/>
    <x v="0"/>
    <n v="23"/>
    <n v="2"/>
    <n v="6653"/>
    <n v="151"/>
    <n v="100"/>
    <n v="48"/>
    <n v="2"/>
    <n v="2"/>
    <n v="1"/>
    <n v="25"/>
    <n v="756.18"/>
    <n v="0"/>
    <n v="5"/>
    <x v="1"/>
    <n v="11.366000300616262"/>
  </r>
  <r>
    <s v="ID-297"/>
    <n v="17"/>
    <x v="0"/>
    <n v="21"/>
    <n v="1"/>
    <n v="9193"/>
    <n v="181"/>
    <n v="88"/>
    <n v="46"/>
    <n v="5"/>
    <n v="1"/>
    <n v="1"/>
    <n v="55"/>
    <n v="272.61"/>
    <n v="0"/>
    <n v="4"/>
    <x v="1"/>
    <n v="2.9654084629609487"/>
  </r>
  <r>
    <s v="ID-298"/>
    <n v="13"/>
    <x v="0"/>
    <n v="22"/>
    <n v="4"/>
    <n v="3113"/>
    <n v="55"/>
    <n v="46"/>
    <n v="25"/>
    <n v="3"/>
    <n v="1"/>
    <n v="1"/>
    <n v="30"/>
    <n v="310.72000000000003"/>
    <n v="0"/>
    <n v="2"/>
    <x v="0"/>
    <n v="9.9813684548666881"/>
  </r>
  <r>
    <s v="ID-299"/>
    <n v="7"/>
    <x v="0"/>
    <n v="15"/>
    <n v="2"/>
    <n v="4650"/>
    <n v="50"/>
    <n v="230"/>
    <n v="16"/>
    <n v="3"/>
    <n v="1"/>
    <n v="1"/>
    <n v="30"/>
    <n v="1108"/>
    <n v="0"/>
    <n v="0"/>
    <x v="0"/>
    <n v="23.827956989247312"/>
  </r>
  <r>
    <s v="ID-300"/>
    <n v="8"/>
    <x v="1"/>
    <n v="15"/>
    <n v="2"/>
    <n v="1748"/>
    <n v="29"/>
    <n v="15"/>
    <n v="13"/>
    <n v="3"/>
    <n v="1"/>
    <n v="1"/>
    <n v="30"/>
    <n v="131.08000000000001"/>
    <n v="1"/>
    <n v="2"/>
    <x v="0"/>
    <n v="7.4988558352402759"/>
  </r>
  <r>
    <s v="ID-301"/>
    <n v="3"/>
    <x v="0"/>
    <n v="32"/>
    <n v="0"/>
    <n v="4110"/>
    <n v="61"/>
    <n v="0"/>
    <n v="11"/>
    <n v="2"/>
    <n v="1"/>
    <n v="1"/>
    <n v="25"/>
    <n v="187.69499999999999"/>
    <n v="0"/>
    <n v="1"/>
    <x v="0"/>
    <n v="4.5667883211678832"/>
  </r>
  <r>
    <s v="ID-302"/>
    <n v="0"/>
    <x v="0"/>
    <n v="33"/>
    <n v="0"/>
    <n v="0"/>
    <n v="0"/>
    <n v="0"/>
    <n v="0"/>
    <n v="2"/>
    <n v="1"/>
    <n v="2"/>
    <n v="25"/>
    <n v="0"/>
    <n v="0"/>
    <n v="1"/>
    <x v="0"/>
    <n v="0"/>
  </r>
  <r>
    <s v="ID-303"/>
    <n v="5"/>
    <x v="0"/>
    <n v="31"/>
    <n v="0"/>
    <n v="2193"/>
    <n v="50"/>
    <n v="344"/>
    <n v="18"/>
    <n v="2"/>
    <n v="1"/>
    <n v="1"/>
    <n v="25"/>
    <n v="1648.9349999999999"/>
    <n v="0"/>
    <n v="1"/>
    <x v="0"/>
    <n v="75.190834473324202"/>
  </r>
  <r>
    <s v="ID-304"/>
    <n v="5"/>
    <x v="0"/>
    <n v="32"/>
    <n v="0"/>
    <n v="3938"/>
    <n v="56"/>
    <n v="0"/>
    <n v="29"/>
    <n v="1"/>
    <n v="1"/>
    <n v="1"/>
    <n v="15"/>
    <n v="219.67"/>
    <n v="0"/>
    <n v="1"/>
    <x v="0"/>
    <n v="5.5782122905027931"/>
  </r>
  <r>
    <s v="ID-305"/>
    <n v="0"/>
    <x v="0"/>
    <n v="32"/>
    <n v="0"/>
    <n v="2133"/>
    <n v="48"/>
    <n v="0"/>
    <n v="27"/>
    <n v="1"/>
    <n v="1"/>
    <n v="1"/>
    <n v="15"/>
    <n v="119.955"/>
    <n v="0"/>
    <n v="1"/>
    <x v="0"/>
    <n v="5.623769338959212"/>
  </r>
  <r>
    <s v="ID-306"/>
    <n v="6"/>
    <x v="0"/>
    <n v="32"/>
    <n v="0"/>
    <n v="3515"/>
    <n v="72"/>
    <n v="17"/>
    <n v="22"/>
    <n v="2"/>
    <n v="1"/>
    <n v="1"/>
    <n v="25"/>
    <n v="237.91499999999999"/>
    <n v="0"/>
    <n v="1"/>
    <x v="0"/>
    <n v="6.7685633001422465"/>
  </r>
  <r>
    <s v="ID-307"/>
    <n v="0"/>
    <x v="0"/>
    <n v="32"/>
    <n v="0"/>
    <n v="2100"/>
    <n v="29"/>
    <n v="270"/>
    <n v="12"/>
    <n v="3"/>
    <n v="1"/>
    <n v="1"/>
    <n v="30"/>
    <n v="1165.1600000000001"/>
    <n v="0"/>
    <n v="1"/>
    <x v="0"/>
    <n v="55.483809523809526"/>
  </r>
  <r>
    <s v="ID-308"/>
    <n v="8"/>
    <x v="0"/>
    <n v="31"/>
    <n v="1"/>
    <n v="8855"/>
    <n v="111"/>
    <n v="129"/>
    <n v="37"/>
    <n v="3"/>
    <n v="1"/>
    <n v="1"/>
    <n v="30"/>
    <n v="874.64"/>
    <n v="0"/>
    <n v="0"/>
    <x v="0"/>
    <n v="9.8773574251835132"/>
  </r>
  <r>
    <s v="ID-309"/>
    <n v="2"/>
    <x v="0"/>
    <n v="32"/>
    <n v="0"/>
    <n v="13513"/>
    <n v="159"/>
    <n v="0"/>
    <n v="38"/>
    <n v="3"/>
    <n v="1"/>
    <n v="1"/>
    <n v="30"/>
    <n v="546.88"/>
    <n v="0"/>
    <n v="3"/>
    <x v="1"/>
    <n v="4.047065788499963"/>
  </r>
  <r>
    <s v="ID-310"/>
    <n v="2"/>
    <x v="0"/>
    <n v="32"/>
    <n v="0"/>
    <n v="4255"/>
    <n v="73"/>
    <n v="0"/>
    <n v="19"/>
    <n v="3"/>
    <n v="1"/>
    <n v="1"/>
    <n v="30"/>
    <n v="173.12"/>
    <n v="0"/>
    <n v="1"/>
    <x v="0"/>
    <n v="4.0686251468860162"/>
  </r>
  <r>
    <s v="ID-311"/>
    <n v="1"/>
    <x v="0"/>
    <n v="32"/>
    <n v="0"/>
    <n v="5658"/>
    <n v="85"/>
    <n v="0"/>
    <n v="6"/>
    <n v="2"/>
    <n v="1"/>
    <n v="1"/>
    <n v="25"/>
    <n v="258.435"/>
    <n v="0"/>
    <n v="1"/>
    <x v="0"/>
    <n v="4.5676033934252391"/>
  </r>
  <r>
    <s v="ID-312"/>
    <n v="4"/>
    <x v="0"/>
    <n v="32"/>
    <n v="0"/>
    <n v="1978"/>
    <n v="44"/>
    <n v="0"/>
    <n v="11"/>
    <n v="3"/>
    <n v="1"/>
    <n v="2"/>
    <n v="30"/>
    <n v="80.88"/>
    <n v="0"/>
    <n v="1"/>
    <x v="0"/>
    <n v="4.0889787664307375"/>
  </r>
  <r>
    <s v="ID-313"/>
    <n v="20"/>
    <x v="0"/>
    <n v="32"/>
    <n v="2"/>
    <n v="14880"/>
    <n v="215"/>
    <n v="39"/>
    <n v="26"/>
    <n v="3"/>
    <n v="1"/>
    <n v="1"/>
    <n v="30"/>
    <n v="759.8"/>
    <n v="0"/>
    <n v="4"/>
    <x v="1"/>
    <n v="5.1061827956989241"/>
  </r>
  <r>
    <s v="ID-314"/>
    <n v="0"/>
    <x v="0"/>
    <n v="32"/>
    <n v="0"/>
    <n v="2835"/>
    <n v="17"/>
    <n v="468"/>
    <n v="2"/>
    <n v="3"/>
    <n v="1"/>
    <n v="1"/>
    <n v="30"/>
    <n v="1986.08"/>
    <n v="0"/>
    <n v="1"/>
    <x v="0"/>
    <n v="70.055731922398593"/>
  </r>
  <r>
    <s v="ID-315"/>
    <n v="4"/>
    <x v="0"/>
    <n v="31"/>
    <n v="0"/>
    <n v="15225"/>
    <n v="172"/>
    <n v="135"/>
    <n v="24"/>
    <n v="2"/>
    <n v="1"/>
    <n v="1"/>
    <n v="25"/>
    <n v="1300.365"/>
    <n v="0"/>
    <n v="3"/>
    <x v="1"/>
    <n v="8.5409852216748767"/>
  </r>
  <r>
    <s v="ID-316"/>
    <n v="0"/>
    <x v="0"/>
    <n v="31"/>
    <n v="0"/>
    <n v="6240"/>
    <n v="76"/>
    <n v="171"/>
    <n v="20"/>
    <n v="3"/>
    <n v="1"/>
    <n v="1"/>
    <n v="30"/>
    <n v="936.64"/>
    <n v="0"/>
    <n v="1"/>
    <x v="0"/>
    <n v="15.010256410256408"/>
  </r>
  <r>
    <s v="ID-317"/>
    <n v="0"/>
    <x v="0"/>
    <n v="31"/>
    <n v="0"/>
    <n v="615"/>
    <n v="4"/>
    <n v="0"/>
    <n v="5"/>
    <n v="2"/>
    <n v="1"/>
    <n v="2"/>
    <n v="25"/>
    <n v="27.855"/>
    <n v="0"/>
    <n v="1"/>
    <x v="0"/>
    <n v="4.5292682926829269"/>
  </r>
  <r>
    <s v="ID-318"/>
    <n v="0"/>
    <x v="0"/>
    <n v="32"/>
    <n v="0"/>
    <n v="450"/>
    <n v="4"/>
    <n v="0"/>
    <n v="2"/>
    <n v="2"/>
    <n v="1"/>
    <n v="2"/>
    <n v="25"/>
    <n v="20.43"/>
    <n v="0"/>
    <n v="1"/>
    <x v="0"/>
    <n v="4.5399999999999991"/>
  </r>
  <r>
    <s v="ID-319"/>
    <n v="0"/>
    <x v="0"/>
    <n v="31"/>
    <n v="0"/>
    <n v="0"/>
    <n v="0"/>
    <n v="0"/>
    <n v="0"/>
    <n v="2"/>
    <n v="1"/>
    <n v="2"/>
    <n v="25"/>
    <n v="0"/>
    <n v="1"/>
    <n v="1"/>
    <x v="0"/>
    <n v="0"/>
  </r>
  <r>
    <s v="ID-320"/>
    <n v="0"/>
    <x v="0"/>
    <n v="31"/>
    <n v="0"/>
    <n v="7248"/>
    <n v="117"/>
    <n v="369"/>
    <n v="37"/>
    <n v="2"/>
    <n v="1"/>
    <n v="1"/>
    <n v="25"/>
    <n v="1991.925"/>
    <n v="0"/>
    <n v="1"/>
    <x v="0"/>
    <n v="27.482408940397352"/>
  </r>
  <r>
    <s v="ID-321"/>
    <n v="2"/>
    <x v="0"/>
    <n v="31"/>
    <n v="0"/>
    <n v="11205"/>
    <n v="144"/>
    <n v="0"/>
    <n v="41"/>
    <n v="3"/>
    <n v="1"/>
    <n v="1"/>
    <n v="30"/>
    <n v="453.96"/>
    <n v="0"/>
    <n v="3"/>
    <x v="1"/>
    <n v="4.0514056224899599"/>
  </r>
  <r>
    <s v="ID-322"/>
    <n v="3"/>
    <x v="0"/>
    <n v="31"/>
    <n v="0"/>
    <n v="6458"/>
    <n v="65"/>
    <n v="93"/>
    <n v="31"/>
    <n v="2"/>
    <n v="1"/>
    <n v="1"/>
    <n v="25"/>
    <n v="712.03499999999997"/>
    <n v="0"/>
    <n v="1"/>
    <x v="0"/>
    <n v="11.025627129142149"/>
  </r>
  <r>
    <s v="ID-323"/>
    <n v="18"/>
    <x v="1"/>
    <n v="27"/>
    <n v="0"/>
    <n v="695"/>
    <n v="37"/>
    <n v="1"/>
    <n v="11"/>
    <n v="2"/>
    <n v="1"/>
    <n v="2"/>
    <n v="25"/>
    <n v="37.44"/>
    <n v="1"/>
    <n v="5"/>
    <x v="1"/>
    <n v="5.3870503597122292"/>
  </r>
  <r>
    <s v="ID-324"/>
    <n v="16"/>
    <x v="0"/>
    <n v="30"/>
    <n v="7"/>
    <n v="10175"/>
    <n v="83"/>
    <n v="0"/>
    <n v="36"/>
    <n v="4"/>
    <n v="1"/>
    <n v="1"/>
    <n v="45"/>
    <n v="256.45"/>
    <n v="0"/>
    <n v="2"/>
    <x v="0"/>
    <n v="2.5203931203931202"/>
  </r>
  <r>
    <s v="ID-325"/>
    <n v="8"/>
    <x v="1"/>
    <n v="30"/>
    <n v="0"/>
    <n v="5558"/>
    <n v="88"/>
    <n v="11"/>
    <n v="18"/>
    <n v="2"/>
    <n v="1"/>
    <n v="1"/>
    <n v="25"/>
    <n v="303.57"/>
    <n v="1"/>
    <n v="3"/>
    <x v="1"/>
    <n v="5.4618567830154729"/>
  </r>
  <r>
    <s v="ID-326"/>
    <n v="0"/>
    <x v="0"/>
    <n v="28"/>
    <n v="0"/>
    <n v="2580"/>
    <n v="12"/>
    <n v="0"/>
    <n v="8"/>
    <n v="3"/>
    <n v="1"/>
    <n v="1"/>
    <n v="30"/>
    <n v="103.68"/>
    <n v="0"/>
    <n v="1"/>
    <x v="0"/>
    <n v="4.0186046511627911"/>
  </r>
  <r>
    <s v="ID-327"/>
    <n v="4"/>
    <x v="0"/>
    <n v="29"/>
    <n v="0"/>
    <n v="2730"/>
    <n v="31"/>
    <n v="0"/>
    <n v="10"/>
    <n v="2"/>
    <n v="1"/>
    <n v="2"/>
    <n v="25"/>
    <n v="124.245"/>
    <n v="1"/>
    <n v="1"/>
    <x v="0"/>
    <n v="4.5510989010989009"/>
  </r>
  <r>
    <s v="ID-328"/>
    <n v="4"/>
    <x v="1"/>
    <n v="30"/>
    <n v="0"/>
    <n v="2008"/>
    <n v="34"/>
    <n v="19"/>
    <n v="25"/>
    <n v="3"/>
    <n v="1"/>
    <n v="2"/>
    <n v="30"/>
    <n v="157.68"/>
    <n v="1"/>
    <n v="3"/>
    <x v="1"/>
    <n v="7.8525896414342631"/>
  </r>
  <r>
    <s v="ID-329"/>
    <n v="0"/>
    <x v="0"/>
    <n v="30"/>
    <n v="0"/>
    <n v="0"/>
    <n v="0"/>
    <n v="0"/>
    <n v="0"/>
    <n v="3"/>
    <n v="1"/>
    <n v="2"/>
    <n v="30"/>
    <n v="0"/>
    <n v="1"/>
    <n v="1"/>
    <x v="0"/>
    <n v="0"/>
  </r>
  <r>
    <s v="ID-330"/>
    <n v="0"/>
    <x v="0"/>
    <n v="30"/>
    <n v="0"/>
    <n v="0"/>
    <n v="0"/>
    <n v="0"/>
    <n v="0"/>
    <n v="3"/>
    <n v="1"/>
    <n v="1"/>
    <n v="30"/>
    <n v="0"/>
    <n v="0"/>
    <n v="1"/>
    <x v="0"/>
    <n v="0"/>
  </r>
  <r>
    <s v="ID-331"/>
    <n v="0"/>
    <x v="0"/>
    <n v="27"/>
    <n v="0"/>
    <n v="6525"/>
    <n v="87"/>
    <n v="0"/>
    <n v="16"/>
    <n v="4"/>
    <n v="1"/>
    <n v="1"/>
    <n v="45"/>
    <n v="165.3"/>
    <n v="0"/>
    <n v="1"/>
    <x v="0"/>
    <n v="2.5333333333333337"/>
  </r>
  <r>
    <s v="ID-332"/>
    <n v="0"/>
    <x v="1"/>
    <n v="30"/>
    <n v="0"/>
    <n v="0"/>
    <n v="0"/>
    <n v="0"/>
    <n v="0"/>
    <n v="4"/>
    <n v="1"/>
    <n v="2"/>
    <n v="45"/>
    <n v="0"/>
    <n v="1"/>
    <n v="3"/>
    <x v="1"/>
    <n v="0"/>
  </r>
  <r>
    <s v="ID-333"/>
    <n v="0"/>
    <x v="1"/>
    <n v="30"/>
    <n v="0"/>
    <n v="0"/>
    <n v="0"/>
    <n v="0"/>
    <n v="0"/>
    <n v="5"/>
    <n v="1"/>
    <n v="1"/>
    <n v="55"/>
    <n v="0"/>
    <n v="1"/>
    <n v="3"/>
    <x v="1"/>
    <n v="0"/>
  </r>
  <r>
    <s v="ID-334"/>
    <n v="20"/>
    <x v="0"/>
    <n v="25"/>
    <n v="2"/>
    <n v="15815"/>
    <n v="228"/>
    <n v="0"/>
    <n v="74"/>
    <n v="2"/>
    <n v="1"/>
    <n v="1"/>
    <n v="25"/>
    <n v="721.93499999999995"/>
    <n v="0"/>
    <n v="5"/>
    <x v="1"/>
    <n v="4.5648751185583309"/>
  </r>
  <r>
    <s v="ID-335"/>
    <n v="1"/>
    <x v="0"/>
    <n v="28"/>
    <n v="2"/>
    <n v="6705"/>
    <n v="106"/>
    <n v="256"/>
    <n v="27"/>
    <n v="2"/>
    <n v="2"/>
    <n v="1"/>
    <n v="25"/>
    <n v="1458.4949999999999"/>
    <n v="0"/>
    <n v="0"/>
    <x v="0"/>
    <n v="21.752348993288589"/>
  </r>
  <r>
    <s v="ID-336"/>
    <n v="0"/>
    <x v="0"/>
    <n v="30"/>
    <n v="0"/>
    <n v="3458"/>
    <n v="72"/>
    <n v="0"/>
    <n v="22"/>
    <n v="2"/>
    <n v="1"/>
    <n v="1"/>
    <n v="25"/>
    <n v="158.85"/>
    <n v="0"/>
    <n v="1"/>
    <x v="0"/>
    <n v="4.5936957779063041"/>
  </r>
  <r>
    <s v="ID-337"/>
    <n v="0"/>
    <x v="0"/>
    <n v="29"/>
    <n v="0"/>
    <n v="1405"/>
    <n v="34"/>
    <n v="23"/>
    <n v="14"/>
    <n v="3"/>
    <n v="1"/>
    <n v="2"/>
    <n v="30"/>
    <n v="149.56"/>
    <n v="0"/>
    <n v="1"/>
    <x v="0"/>
    <n v="10.644839857651247"/>
  </r>
  <r>
    <s v="ID-338"/>
    <n v="1"/>
    <x v="0"/>
    <n v="30"/>
    <n v="0"/>
    <n v="2520"/>
    <n v="43"/>
    <n v="160"/>
    <n v="17"/>
    <n v="2"/>
    <n v="1"/>
    <n v="1"/>
    <n v="25"/>
    <n v="835.33500000000004"/>
    <n v="0"/>
    <n v="1"/>
    <x v="0"/>
    <n v="33.148214285714289"/>
  </r>
  <r>
    <s v="ID-339"/>
    <n v="0"/>
    <x v="0"/>
    <n v="21"/>
    <n v="0"/>
    <n v="1055"/>
    <n v="26"/>
    <n v="178"/>
    <n v="5"/>
    <n v="2"/>
    <n v="2"/>
    <n v="1"/>
    <n v="25"/>
    <n v="849.64499999999998"/>
    <n v="0"/>
    <n v="1"/>
    <x v="0"/>
    <n v="80.535071090047396"/>
  </r>
  <r>
    <s v="ID-340"/>
    <n v="0"/>
    <x v="0"/>
    <n v="20"/>
    <n v="0"/>
    <n v="1308"/>
    <n v="29"/>
    <n v="15"/>
    <n v="62"/>
    <n v="4"/>
    <n v="1"/>
    <n v="1"/>
    <n v="45"/>
    <n v="70.924999999999997"/>
    <n v="0"/>
    <n v="2"/>
    <x v="0"/>
    <n v="5.4224006116207955"/>
  </r>
  <r>
    <s v="ID-341"/>
    <n v="6"/>
    <x v="0"/>
    <n v="21"/>
    <n v="0"/>
    <n v="440"/>
    <n v="15"/>
    <n v="0"/>
    <n v="1"/>
    <n v="2"/>
    <n v="1"/>
    <n v="2"/>
    <n v="25"/>
    <n v="20.475000000000001"/>
    <n v="0"/>
    <n v="1"/>
    <x v="0"/>
    <n v="4.6534090909090917"/>
  </r>
  <r>
    <s v="ID-342"/>
    <n v="0"/>
    <x v="0"/>
    <n v="20"/>
    <n v="0"/>
    <n v="0"/>
    <n v="0"/>
    <n v="6"/>
    <n v="0"/>
    <n v="4"/>
    <n v="1"/>
    <n v="2"/>
    <n v="45"/>
    <n v="15"/>
    <n v="0"/>
    <n v="1"/>
    <x v="0"/>
    <n v="0"/>
  </r>
  <r>
    <s v="ID-343"/>
    <n v="5"/>
    <x v="0"/>
    <n v="19"/>
    <n v="0"/>
    <n v="965"/>
    <n v="22"/>
    <n v="4"/>
    <n v="7"/>
    <n v="2"/>
    <n v="1"/>
    <n v="1"/>
    <n v="25"/>
    <n v="62.414999999999999"/>
    <n v="0"/>
    <n v="1"/>
    <x v="0"/>
    <n v="6.467875647668393"/>
  </r>
  <r>
    <s v="ID-344"/>
    <n v="0"/>
    <x v="0"/>
    <n v="19"/>
    <n v="0"/>
    <n v="2965"/>
    <n v="51"/>
    <n v="0"/>
    <n v="17"/>
    <n v="3"/>
    <n v="1"/>
    <n v="1"/>
    <n v="30"/>
    <n v="120.64"/>
    <n v="0"/>
    <n v="1"/>
    <x v="0"/>
    <n v="4.068802698145026"/>
  </r>
  <r>
    <s v="ID-345"/>
    <n v="0"/>
    <x v="0"/>
    <n v="12"/>
    <n v="0"/>
    <n v="1435"/>
    <n v="16"/>
    <n v="13"/>
    <n v="8"/>
    <n v="2"/>
    <n v="1"/>
    <n v="1"/>
    <n v="25"/>
    <n v="123.795"/>
    <n v="0"/>
    <n v="1"/>
    <x v="0"/>
    <n v="8.626829268292683"/>
  </r>
  <r>
    <s v="ID-346"/>
    <n v="11"/>
    <x v="0"/>
    <n v="11"/>
    <n v="0"/>
    <n v="6133"/>
    <n v="131"/>
    <n v="70"/>
    <n v="36"/>
    <n v="1"/>
    <n v="2"/>
    <n v="1"/>
    <n v="15"/>
    <n v="729.52"/>
    <n v="0"/>
    <n v="3"/>
    <x v="1"/>
    <n v="11.894994293168107"/>
  </r>
  <r>
    <s v="ID-347"/>
    <n v="7"/>
    <x v="0"/>
    <n v="9"/>
    <n v="0"/>
    <n v="8673"/>
    <n v="161"/>
    <n v="58"/>
    <n v="34"/>
    <n v="4"/>
    <n v="1"/>
    <n v="1"/>
    <n v="45"/>
    <n v="365.85"/>
    <n v="0"/>
    <n v="3"/>
    <x v="1"/>
    <n v="4.2182635766170877"/>
  </r>
  <r>
    <s v="ID-348"/>
    <n v="3"/>
    <x v="0"/>
    <n v="10"/>
    <n v="2"/>
    <n v="2593"/>
    <n v="35"/>
    <n v="16"/>
    <n v="13"/>
    <n v="3"/>
    <n v="1"/>
    <n v="1"/>
    <n v="30"/>
    <n v="169.12"/>
    <n v="0"/>
    <n v="0"/>
    <x v="0"/>
    <n v="6.5221750867720791"/>
  </r>
  <r>
    <s v="ID-349"/>
    <n v="0"/>
    <x v="0"/>
    <n v="3"/>
    <n v="0"/>
    <n v="4130"/>
    <n v="30"/>
    <n v="200"/>
    <n v="4"/>
    <n v="3"/>
    <n v="1"/>
    <n v="1"/>
    <n v="30"/>
    <n v="966.4"/>
    <n v="0"/>
    <n v="1"/>
    <x v="0"/>
    <n v="23.399515738498788"/>
  </r>
  <r>
    <s v="ID-350"/>
    <n v="0"/>
    <x v="1"/>
    <n v="3"/>
    <n v="0"/>
    <n v="1228"/>
    <n v="9"/>
    <n v="0"/>
    <n v="1"/>
    <n v="2"/>
    <n v="1"/>
    <n v="1"/>
    <n v="25"/>
    <n v="55.664999999999999"/>
    <n v="1"/>
    <n v="3"/>
    <x v="1"/>
    <n v="4.532980456026058"/>
  </r>
  <r>
    <s v="ID-351"/>
    <n v="10"/>
    <x v="0"/>
    <n v="41"/>
    <n v="0"/>
    <n v="4550"/>
    <n v="79"/>
    <n v="16"/>
    <n v="22"/>
    <n v="3"/>
    <n v="1"/>
    <n v="1"/>
    <n v="30"/>
    <n v="249.16"/>
    <n v="0"/>
    <n v="1"/>
    <x v="0"/>
    <n v="5.4760439560439558"/>
  </r>
  <r>
    <s v="ID-352"/>
    <n v="2"/>
    <x v="0"/>
    <n v="42"/>
    <n v="0"/>
    <n v="498"/>
    <n v="13"/>
    <n v="18"/>
    <n v="9"/>
    <n v="2"/>
    <n v="1"/>
    <n v="2"/>
    <n v="25"/>
    <n v="103.995"/>
    <n v="0"/>
    <n v="1"/>
    <x v="0"/>
    <n v="20.882530120481928"/>
  </r>
  <r>
    <s v="ID-353"/>
    <n v="12"/>
    <x v="0"/>
    <n v="40"/>
    <n v="0"/>
    <n v="2633"/>
    <n v="68"/>
    <n v="370"/>
    <n v="29"/>
    <n v="3"/>
    <n v="1"/>
    <n v="1"/>
    <n v="30"/>
    <n v="1588.04"/>
    <n v="0"/>
    <n v="3"/>
    <x v="1"/>
    <n v="60.312951006456515"/>
  </r>
  <r>
    <s v="ID-354"/>
    <n v="12"/>
    <x v="0"/>
    <n v="41"/>
    <n v="0"/>
    <n v="4378"/>
    <n v="74"/>
    <n v="12"/>
    <n v="40"/>
    <n v="1"/>
    <n v="1"/>
    <n v="1"/>
    <n v="15"/>
    <n v="310.86"/>
    <n v="0"/>
    <n v="3"/>
    <x v="1"/>
    <n v="7.1005025125628149"/>
  </r>
  <r>
    <s v="ID-355"/>
    <n v="5"/>
    <x v="0"/>
    <n v="41"/>
    <n v="0"/>
    <n v="2573"/>
    <n v="66"/>
    <n v="13"/>
    <n v="38"/>
    <n v="1"/>
    <n v="1"/>
    <n v="1"/>
    <n v="15"/>
    <n v="216.64500000000001"/>
    <n v="0"/>
    <n v="1"/>
    <x v="0"/>
    <n v="8.4199378157792459"/>
  </r>
  <r>
    <s v="ID-356"/>
    <n v="13"/>
    <x v="0"/>
    <n v="41"/>
    <n v="1"/>
    <n v="3955"/>
    <n v="90"/>
    <n v="43"/>
    <n v="33"/>
    <n v="3"/>
    <n v="1"/>
    <n v="1"/>
    <n v="30"/>
    <n v="333.8"/>
    <n v="0"/>
    <n v="2"/>
    <x v="0"/>
    <n v="8.4399494310998726"/>
  </r>
  <r>
    <s v="ID-357"/>
    <n v="6"/>
    <x v="0"/>
    <n v="41"/>
    <n v="0"/>
    <n v="2540"/>
    <n v="47"/>
    <n v="296"/>
    <n v="23"/>
    <n v="3"/>
    <n v="1"/>
    <n v="1"/>
    <n v="30"/>
    <n v="1287.48"/>
    <n v="0"/>
    <n v="1"/>
    <x v="0"/>
    <n v="50.688188976377958"/>
  </r>
  <r>
    <s v="ID-358"/>
    <n v="15"/>
    <x v="0"/>
    <n v="40"/>
    <n v="2"/>
    <n v="9295"/>
    <n v="129"/>
    <n v="155"/>
    <n v="48"/>
    <n v="3"/>
    <n v="1"/>
    <n v="1"/>
    <n v="30"/>
    <n v="996.96"/>
    <n v="0"/>
    <n v="3"/>
    <x v="1"/>
    <n v="10.725766541151156"/>
  </r>
  <r>
    <s v="ID-359"/>
    <n v="9"/>
    <x v="0"/>
    <n v="41"/>
    <n v="0"/>
    <n v="13953"/>
    <n v="177"/>
    <n v="11"/>
    <n v="49"/>
    <n v="3"/>
    <n v="1"/>
    <n v="1"/>
    <n v="30"/>
    <n v="609.20000000000005"/>
    <n v="0"/>
    <n v="4"/>
    <x v="1"/>
    <n v="4.3660861463484562"/>
  </r>
  <r>
    <s v="ID-360"/>
    <n v="9"/>
    <x v="0"/>
    <n v="41"/>
    <n v="1"/>
    <n v="4695"/>
    <n v="91"/>
    <n v="13"/>
    <n v="30"/>
    <n v="3"/>
    <n v="1"/>
    <n v="1"/>
    <n v="30"/>
    <n v="243.44"/>
    <n v="0"/>
    <n v="0"/>
    <x v="0"/>
    <n v="5.1850905218317358"/>
  </r>
  <r>
    <s v="ID-361"/>
    <n v="8"/>
    <x v="0"/>
    <n v="41"/>
    <n v="0"/>
    <n v="6098"/>
    <n v="103"/>
    <n v="18"/>
    <n v="17"/>
    <n v="3"/>
    <n v="1"/>
    <n v="1"/>
    <n v="30"/>
    <n v="320.04000000000002"/>
    <n v="0"/>
    <n v="1"/>
    <x v="0"/>
    <n v="5.2482781239750738"/>
  </r>
  <r>
    <s v="ID-362"/>
    <n v="11"/>
    <x v="0"/>
    <n v="41"/>
    <n v="0"/>
    <n v="2418"/>
    <n v="62"/>
    <n v="19"/>
    <n v="22"/>
    <n v="3"/>
    <n v="1"/>
    <n v="2"/>
    <n v="30"/>
    <n v="175.2"/>
    <n v="0"/>
    <n v="3"/>
    <x v="1"/>
    <n v="7.2456575682382134"/>
  </r>
  <r>
    <s v="ID-363"/>
    <n v="27"/>
    <x v="0"/>
    <n v="41"/>
    <n v="3"/>
    <n v="15320"/>
    <n v="233"/>
    <n v="65"/>
    <n v="37"/>
    <n v="3"/>
    <n v="1"/>
    <n v="1"/>
    <n v="30"/>
    <n v="882.12"/>
    <n v="0"/>
    <n v="4"/>
    <x v="1"/>
    <n v="5.7579634464751956"/>
  </r>
  <r>
    <s v="ID-364"/>
    <n v="6"/>
    <x v="0"/>
    <n v="41"/>
    <n v="1"/>
    <n v="3275"/>
    <n v="35"/>
    <n v="494"/>
    <n v="13"/>
    <n v="3"/>
    <n v="1"/>
    <n v="1"/>
    <n v="30"/>
    <n v="2108.4"/>
    <n v="0"/>
    <n v="0"/>
    <x v="0"/>
    <n v="64.378625954198469"/>
  </r>
  <r>
    <s v="ID-365"/>
    <n v="11"/>
    <x v="0"/>
    <n v="40"/>
    <n v="0"/>
    <n v="15665"/>
    <n v="190"/>
    <n v="161"/>
    <n v="35"/>
    <n v="2"/>
    <n v="1"/>
    <n v="1"/>
    <n v="25"/>
    <n v="1437.9749999999999"/>
    <n v="0"/>
    <n v="5"/>
    <x v="1"/>
    <n v="9.1795403766358117"/>
  </r>
  <r>
    <s v="ID-366"/>
    <n v="5"/>
    <x v="0"/>
    <n v="40"/>
    <n v="1"/>
    <n v="6680"/>
    <n v="94"/>
    <n v="197"/>
    <n v="31"/>
    <n v="3"/>
    <n v="1"/>
    <n v="1"/>
    <n v="30"/>
    <n v="1058.96"/>
    <n v="0"/>
    <n v="0"/>
    <x v="0"/>
    <n v="15.852694610778444"/>
  </r>
  <r>
    <s v="ID-367"/>
    <n v="2"/>
    <x v="0"/>
    <n v="40"/>
    <n v="0"/>
    <n v="1055"/>
    <n v="22"/>
    <n v="11"/>
    <n v="16"/>
    <n v="2"/>
    <n v="1"/>
    <n v="2"/>
    <n v="25"/>
    <n v="97.965000000000003"/>
    <n v="0"/>
    <n v="1"/>
    <x v="0"/>
    <n v="9.2857819905213272"/>
  </r>
  <r>
    <s v="ID-368"/>
    <n v="4"/>
    <x v="0"/>
    <n v="41"/>
    <n v="0"/>
    <n v="890"/>
    <n v="22"/>
    <n v="24"/>
    <n v="13"/>
    <n v="3"/>
    <n v="1"/>
    <n v="2"/>
    <n v="30"/>
    <n v="132.47999999999999"/>
    <n v="0"/>
    <n v="1"/>
    <x v="0"/>
    <n v="14.885393258426966"/>
  </r>
  <r>
    <s v="ID-369"/>
    <n v="2"/>
    <x v="0"/>
    <n v="40"/>
    <n v="0"/>
    <n v="180"/>
    <n v="8"/>
    <n v="11"/>
    <n v="5"/>
    <n v="2"/>
    <n v="1"/>
    <n v="2"/>
    <n v="25"/>
    <n v="57.96"/>
    <n v="1"/>
    <n v="1"/>
    <x v="0"/>
    <n v="32.200000000000003"/>
  </r>
  <r>
    <s v="ID-370"/>
    <n v="5"/>
    <x v="0"/>
    <n v="40"/>
    <n v="0"/>
    <n v="7688"/>
    <n v="135"/>
    <n v="395"/>
    <n v="48"/>
    <n v="2"/>
    <n v="1"/>
    <n v="1"/>
    <n v="25"/>
    <n v="2129.5349999999999"/>
    <n v="0"/>
    <n v="2"/>
    <x v="0"/>
    <n v="27.699466701352755"/>
  </r>
  <r>
    <s v="ID-371"/>
    <n v="9"/>
    <x v="0"/>
    <n v="40"/>
    <n v="1"/>
    <n v="11645"/>
    <n v="162"/>
    <n v="22"/>
    <n v="52"/>
    <n v="4"/>
    <n v="1"/>
    <n v="1"/>
    <n v="45"/>
    <n v="350.17500000000001"/>
    <n v="0"/>
    <n v="3"/>
    <x v="1"/>
    <n v="3.0070845856590811"/>
  </r>
  <r>
    <s v="ID-372"/>
    <n v="10"/>
    <x v="0"/>
    <n v="40"/>
    <n v="1"/>
    <n v="6898"/>
    <n v="83"/>
    <n v="119"/>
    <n v="42"/>
    <n v="2"/>
    <n v="1"/>
    <n v="1"/>
    <n v="25"/>
    <n v="849.64499999999998"/>
    <n v="0"/>
    <n v="0"/>
    <x v="0"/>
    <n v="12.317265874166425"/>
  </r>
  <r>
    <s v="ID-373"/>
    <n v="25"/>
    <x v="1"/>
    <n v="36"/>
    <n v="0"/>
    <n v="1135"/>
    <n v="55"/>
    <n v="27"/>
    <n v="22"/>
    <n v="2"/>
    <n v="1"/>
    <n v="2"/>
    <n v="25"/>
    <n v="175.05"/>
    <n v="1"/>
    <n v="5"/>
    <x v="1"/>
    <n v="15.422907488986784"/>
  </r>
  <r>
    <s v="ID-374"/>
    <n v="23"/>
    <x v="0"/>
    <n v="39"/>
    <n v="8"/>
    <n v="10615"/>
    <n v="101"/>
    <n v="12"/>
    <n v="47"/>
    <n v="5"/>
    <n v="1"/>
    <n v="1"/>
    <n v="55"/>
    <n v="178.74"/>
    <n v="0"/>
    <n v="2"/>
    <x v="0"/>
    <n v="1.6838436175223741"/>
  </r>
  <r>
    <s v="ID-375"/>
    <n v="15"/>
    <x v="0"/>
    <n v="39"/>
    <n v="1"/>
    <n v="5998"/>
    <n v="106"/>
    <n v="37"/>
    <n v="29"/>
    <n v="2"/>
    <n v="1"/>
    <n v="1"/>
    <n v="25"/>
    <n v="441.18"/>
    <n v="0"/>
    <n v="2"/>
    <x v="0"/>
    <n v="7.3554518172724235"/>
  </r>
  <r>
    <s v="ID-376"/>
    <n v="3"/>
    <x v="0"/>
    <n v="37"/>
    <n v="0"/>
    <n v="3020"/>
    <n v="30"/>
    <n v="11"/>
    <n v="19"/>
    <n v="3"/>
    <n v="1"/>
    <n v="1"/>
    <n v="30"/>
    <n v="166"/>
    <n v="0"/>
    <n v="1"/>
    <x v="0"/>
    <n v="5.4966887417218544"/>
  </r>
  <r>
    <s v="ID-377"/>
    <n v="11"/>
    <x v="1"/>
    <n v="38"/>
    <n v="0"/>
    <n v="3170"/>
    <n v="49"/>
    <n v="20"/>
    <n v="21"/>
    <n v="3"/>
    <n v="1"/>
    <n v="2"/>
    <n v="30"/>
    <n v="208.76"/>
    <n v="1"/>
    <n v="5"/>
    <x v="1"/>
    <n v="6.5854889589905357"/>
  </r>
  <r>
    <s v="ID-378"/>
    <n v="11"/>
    <x v="1"/>
    <n v="39"/>
    <n v="0"/>
    <n v="2448"/>
    <n v="52"/>
    <n v="45"/>
    <n v="36"/>
    <n v="3"/>
    <n v="1"/>
    <n v="2"/>
    <n v="30"/>
    <n v="280"/>
    <n v="1"/>
    <n v="5"/>
    <x v="1"/>
    <n v="11.437908496732026"/>
  </r>
  <r>
    <s v="ID-379"/>
    <n v="2"/>
    <x v="1"/>
    <n v="39"/>
    <n v="0"/>
    <n v="313"/>
    <n v="10"/>
    <n v="11"/>
    <n v="7"/>
    <n v="3"/>
    <n v="1"/>
    <n v="2"/>
    <n v="30"/>
    <n v="56.92"/>
    <n v="1"/>
    <n v="3"/>
    <x v="1"/>
    <n v="18.185303514376997"/>
  </r>
  <r>
    <s v="ID-380"/>
    <n v="3"/>
    <x v="0"/>
    <n v="39"/>
    <n v="0"/>
    <n v="1848"/>
    <n v="33"/>
    <n v="11"/>
    <n v="11"/>
    <n v="3"/>
    <n v="1"/>
    <n v="1"/>
    <n v="30"/>
    <n v="119.24"/>
    <n v="0"/>
    <n v="1"/>
    <x v="0"/>
    <n v="6.4523809523809526"/>
  </r>
  <r>
    <s v="ID-381"/>
    <n v="5"/>
    <x v="0"/>
    <n v="36"/>
    <n v="1"/>
    <n v="6965"/>
    <n v="105"/>
    <n v="25"/>
    <n v="27"/>
    <n v="5"/>
    <n v="1"/>
    <n v="1"/>
    <n v="55"/>
    <n v="143.55000000000001"/>
    <n v="0"/>
    <n v="0"/>
    <x v="0"/>
    <n v="2.061019382627423"/>
  </r>
  <r>
    <s v="ID-382"/>
    <n v="2"/>
    <x v="0"/>
    <n v="39"/>
    <n v="0"/>
    <n v="808"/>
    <n v="15"/>
    <n v="20"/>
    <n v="9"/>
    <n v="4"/>
    <n v="1"/>
    <n v="2"/>
    <n v="45"/>
    <n v="70.575000000000003"/>
    <n v="1"/>
    <n v="1"/>
    <x v="0"/>
    <n v="8.7345297029702973"/>
  </r>
  <r>
    <s v="ID-383"/>
    <n v="2"/>
    <x v="0"/>
    <n v="39"/>
    <n v="1"/>
    <n v="518"/>
    <n v="12"/>
    <n v="15"/>
    <n v="7"/>
    <n v="5"/>
    <n v="1"/>
    <n v="1"/>
    <n v="55"/>
    <n v="30.45"/>
    <n v="0"/>
    <n v="0"/>
    <x v="0"/>
    <n v="5.8783783783783781"/>
  </r>
  <r>
    <s v="ID-384"/>
    <n v="27"/>
    <x v="1"/>
    <n v="34"/>
    <n v="3"/>
    <n v="16255"/>
    <n v="246"/>
    <n v="11"/>
    <n v="85"/>
    <n v="2"/>
    <n v="1"/>
    <n v="1"/>
    <n v="25"/>
    <n v="792.04499999999996"/>
    <n v="0"/>
    <n v="7"/>
    <x v="2"/>
    <n v="4.8726238080590587"/>
  </r>
  <r>
    <s v="ID-385"/>
    <n v="8"/>
    <x v="0"/>
    <n v="37"/>
    <n v="3"/>
    <n v="7145"/>
    <n v="124"/>
    <n v="282"/>
    <n v="38"/>
    <n v="2"/>
    <n v="2"/>
    <n v="1"/>
    <n v="25"/>
    <n v="1596.105"/>
    <n v="0"/>
    <n v="0"/>
    <x v="0"/>
    <n v="22.338768369489152"/>
  </r>
  <r>
    <s v="ID-386"/>
    <n v="4"/>
    <x v="0"/>
    <n v="39"/>
    <n v="0"/>
    <n v="3898"/>
    <n v="90"/>
    <n v="13"/>
    <n v="33"/>
    <n v="2"/>
    <n v="1"/>
    <n v="1"/>
    <n v="25"/>
    <n v="237.96"/>
    <n v="0"/>
    <n v="1"/>
    <x v="0"/>
    <n v="6.1046690610569527"/>
  </r>
  <r>
    <s v="ID-387"/>
    <n v="5"/>
    <x v="0"/>
    <n v="38"/>
    <n v="0"/>
    <n v="1845"/>
    <n v="52"/>
    <n v="49"/>
    <n v="25"/>
    <n v="3"/>
    <n v="1"/>
    <n v="2"/>
    <n v="30"/>
    <n v="271.88"/>
    <n v="0"/>
    <n v="1"/>
    <x v="0"/>
    <n v="14.736043360433603"/>
  </r>
  <r>
    <s v="ID-388"/>
    <n v="8"/>
    <x v="0"/>
    <n v="39"/>
    <n v="0"/>
    <n v="2960"/>
    <n v="61"/>
    <n v="186"/>
    <n v="28"/>
    <n v="2"/>
    <n v="1"/>
    <n v="1"/>
    <n v="25"/>
    <n v="972.94500000000005"/>
    <n v="0"/>
    <n v="1"/>
    <x v="0"/>
    <n v="32.869763513513519"/>
  </r>
  <r>
    <s v="ID-389"/>
    <n v="6"/>
    <x v="1"/>
    <n v="30"/>
    <n v="1"/>
    <n v="1495"/>
    <n v="44"/>
    <n v="204"/>
    <n v="16"/>
    <n v="2"/>
    <n v="2"/>
    <n v="1"/>
    <n v="25"/>
    <n v="987.255"/>
    <n v="1"/>
    <n v="2"/>
    <x v="0"/>
    <n v="66.037123745819386"/>
  </r>
  <r>
    <s v="ID-390"/>
    <n v="6"/>
    <x v="0"/>
    <n v="29"/>
    <n v="0"/>
    <n v="1748"/>
    <n v="47"/>
    <n v="41"/>
    <n v="73"/>
    <n v="4"/>
    <n v="1"/>
    <n v="1"/>
    <n v="45"/>
    <n v="147.375"/>
    <n v="0"/>
    <n v="2"/>
    <x v="0"/>
    <n v="8.4310640732265441"/>
  </r>
  <r>
    <s v="ID-391"/>
    <n v="13"/>
    <x v="0"/>
    <n v="30"/>
    <n v="0"/>
    <n v="880"/>
    <n v="33"/>
    <n v="21"/>
    <n v="12"/>
    <n v="2"/>
    <n v="1"/>
    <n v="2"/>
    <n v="25"/>
    <n v="135.58500000000001"/>
    <n v="0"/>
    <n v="3"/>
    <x v="1"/>
    <n v="15.407386363636363"/>
  </r>
  <r>
    <s v="ID-392"/>
    <n v="2"/>
    <x v="0"/>
    <n v="29"/>
    <n v="0"/>
    <n v="1005"/>
    <n v="18"/>
    <n v="32"/>
    <n v="8"/>
    <n v="4"/>
    <n v="1"/>
    <n v="2"/>
    <n v="45"/>
    <n v="105.575"/>
    <n v="0"/>
    <n v="1"/>
    <x v="0"/>
    <n v="10.50497512437811"/>
  </r>
  <r>
    <s v="ID-393"/>
    <n v="12"/>
    <x v="0"/>
    <n v="28"/>
    <n v="0"/>
    <n v="1405"/>
    <n v="40"/>
    <n v="30"/>
    <n v="18"/>
    <n v="2"/>
    <n v="1"/>
    <n v="1"/>
    <n v="25"/>
    <n v="200.02500000000001"/>
    <n v="0"/>
    <n v="3"/>
    <x v="1"/>
    <n v="14.236654804270463"/>
  </r>
  <r>
    <s v="ID-394"/>
    <n v="4"/>
    <x v="0"/>
    <n v="28"/>
    <n v="0"/>
    <n v="3405"/>
    <n v="69"/>
    <n v="19"/>
    <n v="28"/>
    <n v="3"/>
    <n v="1"/>
    <n v="1"/>
    <n v="30"/>
    <n v="214.96"/>
    <n v="0"/>
    <n v="1"/>
    <x v="0"/>
    <n v="6.313069016152717"/>
  </r>
  <r>
    <s v="ID-395"/>
    <n v="4"/>
    <x v="0"/>
    <n v="21"/>
    <n v="0"/>
    <n v="1875"/>
    <n v="34"/>
    <n v="39"/>
    <n v="19"/>
    <n v="2"/>
    <n v="1"/>
    <n v="1"/>
    <n v="25"/>
    <n v="261.40499999999997"/>
    <n v="0"/>
    <n v="1"/>
    <x v="0"/>
    <n v="13.941599999999998"/>
  </r>
  <r>
    <s v="ID-396"/>
    <n v="18"/>
    <x v="0"/>
    <n v="20"/>
    <n v="1"/>
    <n v="6573"/>
    <n v="149"/>
    <n v="96"/>
    <n v="47"/>
    <n v="2"/>
    <n v="2"/>
    <n v="1"/>
    <n v="25"/>
    <n v="734.49"/>
    <n v="0"/>
    <n v="4"/>
    <x v="1"/>
    <n v="11.174349612049292"/>
  </r>
  <r>
    <s v="ID-397"/>
    <n v="14"/>
    <x v="0"/>
    <n v="18"/>
    <n v="0"/>
    <n v="9113"/>
    <n v="179"/>
    <n v="84"/>
    <n v="45"/>
    <n v="4"/>
    <n v="1"/>
    <n v="1"/>
    <n v="45"/>
    <n v="442.3"/>
    <n v="0"/>
    <n v="5"/>
    <x v="1"/>
    <n v="4.8535059804674647"/>
  </r>
  <r>
    <s v="ID-398"/>
    <n v="10"/>
    <x v="0"/>
    <n v="19"/>
    <n v="3"/>
    <n v="3033"/>
    <n v="53"/>
    <n v="42"/>
    <n v="24"/>
    <n v="3"/>
    <n v="1"/>
    <n v="1"/>
    <n v="30"/>
    <n v="291.44"/>
    <n v="0"/>
    <n v="0"/>
    <x v="0"/>
    <n v="9.6089680184635675"/>
  </r>
  <r>
    <s v="ID-399"/>
    <n v="4"/>
    <x v="0"/>
    <n v="12"/>
    <n v="1"/>
    <n v="4570"/>
    <n v="48"/>
    <n v="226"/>
    <n v="15"/>
    <n v="3"/>
    <n v="1"/>
    <n v="1"/>
    <n v="30"/>
    <n v="1088.72"/>
    <n v="0"/>
    <n v="0"/>
    <x v="0"/>
    <n v="23.823194748358866"/>
  </r>
  <r>
    <s v="ID-400"/>
    <n v="5"/>
    <x v="0"/>
    <n v="12"/>
    <n v="1"/>
    <n v="1668"/>
    <n v="27"/>
    <n v="11"/>
    <n v="12"/>
    <n v="3"/>
    <n v="1"/>
    <n v="1"/>
    <n v="30"/>
    <n v="111.8"/>
    <n v="1"/>
    <n v="0"/>
    <x v="0"/>
    <n v="6.7026378896882495"/>
  </r>
  <r>
    <s v="ID-401"/>
    <n v="6"/>
    <x v="0"/>
    <n v="35"/>
    <n v="0"/>
    <n v="4190"/>
    <n v="63"/>
    <n v="0"/>
    <n v="12"/>
    <n v="3"/>
    <n v="1"/>
    <n v="1"/>
    <n v="30"/>
    <n v="170.12"/>
    <n v="0"/>
    <n v="1"/>
    <x v="0"/>
    <n v="4.0601431980906924"/>
  </r>
  <r>
    <s v="ID-402"/>
    <n v="0"/>
    <x v="0"/>
    <n v="36"/>
    <n v="0"/>
    <n v="0"/>
    <n v="0"/>
    <n v="0"/>
    <n v="0"/>
    <n v="2"/>
    <n v="1"/>
    <n v="2"/>
    <n v="25"/>
    <n v="0"/>
    <n v="0"/>
    <n v="1"/>
    <x v="0"/>
    <n v="0"/>
  </r>
  <r>
    <s v="ID-403"/>
    <n v="8"/>
    <x v="0"/>
    <n v="34"/>
    <n v="0"/>
    <n v="2273"/>
    <n v="52"/>
    <n v="348"/>
    <n v="19"/>
    <n v="3"/>
    <n v="1"/>
    <n v="1"/>
    <n v="30"/>
    <n v="1485"/>
    <n v="0"/>
    <n v="1"/>
    <x v="0"/>
    <n v="65.332160140783103"/>
  </r>
  <r>
    <s v="ID-404"/>
    <n v="8"/>
    <x v="0"/>
    <n v="35"/>
    <n v="0"/>
    <n v="4018"/>
    <n v="58"/>
    <n v="0"/>
    <n v="30"/>
    <n v="1"/>
    <n v="1"/>
    <n v="1"/>
    <n v="15"/>
    <n v="224.18"/>
    <n v="0"/>
    <n v="1"/>
    <x v="0"/>
    <n v="5.5793927327028374"/>
  </r>
  <r>
    <s v="ID-405"/>
    <n v="1"/>
    <x v="0"/>
    <n v="35"/>
    <n v="0"/>
    <n v="2213"/>
    <n v="50"/>
    <n v="0"/>
    <n v="28"/>
    <n v="1"/>
    <n v="1"/>
    <n v="1"/>
    <n v="15"/>
    <n v="124.465"/>
    <n v="0"/>
    <n v="1"/>
    <x v="0"/>
    <n v="5.6242657026660643"/>
  </r>
  <r>
    <s v="ID-406"/>
    <n v="9"/>
    <x v="0"/>
    <n v="35"/>
    <n v="1"/>
    <n v="3595"/>
    <n v="74"/>
    <n v="21"/>
    <n v="23"/>
    <n v="3"/>
    <n v="1"/>
    <n v="1"/>
    <n v="30"/>
    <n v="230.76"/>
    <n v="0"/>
    <n v="0"/>
    <x v="0"/>
    <n v="6.4189151599443672"/>
  </r>
  <r>
    <s v="ID-407"/>
    <n v="2"/>
    <x v="0"/>
    <n v="35"/>
    <n v="0"/>
    <n v="2180"/>
    <n v="31"/>
    <n v="274"/>
    <n v="13"/>
    <n v="3"/>
    <n v="1"/>
    <n v="1"/>
    <n v="30"/>
    <n v="1184.44"/>
    <n v="0"/>
    <n v="1"/>
    <x v="0"/>
    <n v="54.332110091743125"/>
  </r>
  <r>
    <s v="ID-408"/>
    <n v="11"/>
    <x v="0"/>
    <n v="34"/>
    <n v="2"/>
    <n v="8935"/>
    <n v="113"/>
    <n v="133"/>
    <n v="38"/>
    <n v="3"/>
    <n v="1"/>
    <n v="1"/>
    <n v="30"/>
    <n v="893.92"/>
    <n v="0"/>
    <n v="2"/>
    <x v="0"/>
    <n v="10.004700615556798"/>
  </r>
  <r>
    <s v="ID-409"/>
    <n v="5"/>
    <x v="0"/>
    <n v="35"/>
    <n v="0"/>
    <n v="13593"/>
    <n v="161"/>
    <n v="0"/>
    <n v="39"/>
    <n v="3"/>
    <n v="1"/>
    <n v="1"/>
    <n v="30"/>
    <n v="550.16"/>
    <n v="0"/>
    <n v="3"/>
    <x v="1"/>
    <n v="4.0473773265651438"/>
  </r>
  <r>
    <s v="ID-410"/>
    <n v="5"/>
    <x v="0"/>
    <n v="35"/>
    <n v="1"/>
    <n v="4335"/>
    <n v="75"/>
    <n v="0"/>
    <n v="20"/>
    <n v="3"/>
    <n v="1"/>
    <n v="1"/>
    <n v="30"/>
    <n v="176.4"/>
    <n v="0"/>
    <n v="0"/>
    <x v="0"/>
    <n v="4.0692041522491351"/>
  </r>
  <r>
    <s v="ID-411"/>
    <n v="4"/>
    <x v="0"/>
    <n v="35"/>
    <n v="0"/>
    <n v="5738"/>
    <n v="87"/>
    <n v="0"/>
    <n v="7"/>
    <n v="3"/>
    <n v="1"/>
    <n v="1"/>
    <n v="30"/>
    <n v="233"/>
    <n v="0"/>
    <n v="1"/>
    <x v="0"/>
    <n v="4.0606483095155106"/>
  </r>
  <r>
    <s v="ID-412"/>
    <n v="7"/>
    <x v="0"/>
    <n v="35"/>
    <n v="0"/>
    <n v="2058"/>
    <n v="46"/>
    <n v="0"/>
    <n v="12"/>
    <n v="3"/>
    <n v="1"/>
    <n v="2"/>
    <n v="30"/>
    <n v="84.16"/>
    <n v="0"/>
    <n v="1"/>
    <x v="0"/>
    <n v="4.0894071914480081"/>
  </r>
  <r>
    <s v="ID-413"/>
    <n v="23"/>
    <x v="0"/>
    <n v="35"/>
    <n v="3"/>
    <n v="14960"/>
    <n v="217"/>
    <n v="43"/>
    <n v="27"/>
    <n v="3"/>
    <n v="1"/>
    <n v="1"/>
    <n v="30"/>
    <n v="779.08"/>
    <n v="0"/>
    <n v="4"/>
    <x v="1"/>
    <n v="5.2077540106951874"/>
  </r>
  <r>
    <s v="ID-414"/>
    <n v="2"/>
    <x v="0"/>
    <n v="35"/>
    <n v="1"/>
    <n v="2915"/>
    <n v="19"/>
    <n v="472"/>
    <n v="3"/>
    <n v="3"/>
    <n v="1"/>
    <n v="1"/>
    <n v="30"/>
    <n v="2005.36"/>
    <n v="0"/>
    <n v="0"/>
    <x v="0"/>
    <n v="68.794511149228128"/>
  </r>
  <r>
    <s v="ID-415"/>
    <n v="7"/>
    <x v="0"/>
    <n v="34"/>
    <n v="0"/>
    <n v="15305"/>
    <n v="174"/>
    <n v="139"/>
    <n v="25"/>
    <n v="2"/>
    <n v="1"/>
    <n v="1"/>
    <n v="25"/>
    <n v="1322.0550000000001"/>
    <n v="0"/>
    <n v="3"/>
    <x v="1"/>
    <n v="8.638059457693565"/>
  </r>
  <r>
    <s v="ID-416"/>
    <n v="1"/>
    <x v="0"/>
    <n v="34"/>
    <n v="1"/>
    <n v="6320"/>
    <n v="78"/>
    <n v="175"/>
    <n v="21"/>
    <n v="3"/>
    <n v="1"/>
    <n v="1"/>
    <n v="30"/>
    <n v="955.92"/>
    <n v="0"/>
    <n v="0"/>
    <x v="0"/>
    <n v="15.125316455696202"/>
  </r>
  <r>
    <s v="ID-417"/>
    <n v="0"/>
    <x v="0"/>
    <n v="34"/>
    <n v="0"/>
    <n v="695"/>
    <n v="6"/>
    <n v="0"/>
    <n v="6"/>
    <n v="2"/>
    <n v="1"/>
    <n v="2"/>
    <n v="25"/>
    <n v="31.545000000000002"/>
    <n v="0"/>
    <n v="1"/>
    <x v="0"/>
    <n v="4.5388489208633098"/>
  </r>
  <r>
    <s v="ID-418"/>
    <n v="0"/>
    <x v="0"/>
    <n v="35"/>
    <n v="0"/>
    <n v="530"/>
    <n v="6"/>
    <n v="2"/>
    <n v="3"/>
    <n v="3"/>
    <n v="1"/>
    <n v="2"/>
    <n v="30"/>
    <n v="29.44"/>
    <n v="0"/>
    <n v="1"/>
    <x v="0"/>
    <n v="5.5547169811320751"/>
  </r>
  <r>
    <s v="ID-419"/>
    <n v="0"/>
    <x v="1"/>
    <n v="34"/>
    <n v="0"/>
    <n v="0"/>
    <n v="0"/>
    <n v="0"/>
    <n v="0"/>
    <n v="2"/>
    <n v="1"/>
    <n v="2"/>
    <n v="25"/>
    <n v="0"/>
    <n v="1"/>
    <n v="3"/>
    <x v="1"/>
    <n v="0"/>
  </r>
  <r>
    <s v="ID-420"/>
    <n v="1"/>
    <x v="0"/>
    <n v="34"/>
    <n v="0"/>
    <n v="7328"/>
    <n v="119"/>
    <n v="373"/>
    <n v="38"/>
    <n v="2"/>
    <n v="1"/>
    <n v="1"/>
    <n v="25"/>
    <n v="2013.615"/>
    <n v="0"/>
    <n v="1"/>
    <x v="0"/>
    <n v="27.478370633187772"/>
  </r>
  <r>
    <s v="ID-421"/>
    <n v="5"/>
    <x v="0"/>
    <n v="34"/>
    <n v="1"/>
    <n v="11285"/>
    <n v="146"/>
    <n v="0"/>
    <n v="42"/>
    <n v="4"/>
    <n v="1"/>
    <n v="1"/>
    <n v="45"/>
    <n v="285.77499999999998"/>
    <n v="0"/>
    <n v="2"/>
    <x v="0"/>
    <n v="2.532343819229065"/>
  </r>
  <r>
    <s v="ID-422"/>
    <n v="6"/>
    <x v="0"/>
    <n v="34"/>
    <n v="1"/>
    <n v="6538"/>
    <n v="67"/>
    <n v="97"/>
    <n v="32"/>
    <n v="2"/>
    <n v="1"/>
    <n v="1"/>
    <n v="25"/>
    <n v="733.72500000000002"/>
    <n v="0"/>
    <n v="0"/>
    <x v="0"/>
    <n v="11.22246864484552"/>
  </r>
  <r>
    <s v="ID-423"/>
    <n v="21"/>
    <x v="1"/>
    <n v="30"/>
    <n v="0"/>
    <n v="775"/>
    <n v="39"/>
    <n v="5"/>
    <n v="12"/>
    <n v="2"/>
    <n v="1"/>
    <n v="2"/>
    <n v="25"/>
    <n v="59.13"/>
    <n v="1"/>
    <n v="5"/>
    <x v="1"/>
    <n v="7.6296774193548398"/>
  </r>
  <r>
    <s v="ID-424"/>
    <n v="19"/>
    <x v="0"/>
    <n v="33"/>
    <n v="8"/>
    <n v="10255"/>
    <n v="85"/>
    <n v="0"/>
    <n v="37"/>
    <n v="5"/>
    <n v="1"/>
    <n v="1"/>
    <n v="55"/>
    <n v="155.1"/>
    <n v="0"/>
    <n v="2"/>
    <x v="0"/>
    <n v="1.5124329595319355"/>
  </r>
  <r>
    <s v="ID-425"/>
    <n v="11"/>
    <x v="1"/>
    <n v="33"/>
    <n v="1"/>
    <n v="5638"/>
    <n v="90"/>
    <n v="15"/>
    <n v="19"/>
    <n v="2"/>
    <n v="1"/>
    <n v="1"/>
    <n v="25"/>
    <n v="325.26"/>
    <n v="1"/>
    <n v="4"/>
    <x v="1"/>
    <n v="5.769067045051437"/>
  </r>
  <r>
    <s v="ID-426"/>
    <n v="0"/>
    <x v="0"/>
    <n v="31"/>
    <n v="0"/>
    <n v="2660"/>
    <n v="14"/>
    <n v="0"/>
    <n v="9"/>
    <n v="3"/>
    <n v="1"/>
    <n v="1"/>
    <n v="30"/>
    <n v="106.96"/>
    <n v="0"/>
    <n v="1"/>
    <x v="0"/>
    <n v="4.0210526315789474"/>
  </r>
  <r>
    <s v="ID-427"/>
    <n v="7"/>
    <x v="0"/>
    <n v="32"/>
    <n v="0"/>
    <n v="2810"/>
    <n v="33"/>
    <n v="0"/>
    <n v="11"/>
    <n v="3"/>
    <n v="1"/>
    <n v="2"/>
    <n v="30"/>
    <n v="113.72"/>
    <n v="1"/>
    <n v="1"/>
    <x v="0"/>
    <n v="4.0469750889679714"/>
  </r>
  <r>
    <s v="ID-428"/>
    <n v="7"/>
    <x v="1"/>
    <n v="33"/>
    <n v="0"/>
    <n v="2088"/>
    <n v="36"/>
    <n v="23"/>
    <n v="26"/>
    <n v="3"/>
    <n v="1"/>
    <n v="2"/>
    <n v="30"/>
    <n v="176.96"/>
    <n v="1"/>
    <n v="3"/>
    <x v="1"/>
    <n v="8.4750957854406135"/>
  </r>
  <r>
    <s v="ID-429"/>
    <n v="0"/>
    <x v="0"/>
    <n v="33"/>
    <n v="0"/>
    <n v="0"/>
    <n v="0"/>
    <n v="0"/>
    <n v="0"/>
    <n v="3"/>
    <n v="1"/>
    <n v="2"/>
    <n v="30"/>
    <n v="0"/>
    <n v="1"/>
    <n v="1"/>
    <x v="0"/>
    <n v="0"/>
  </r>
  <r>
    <s v="ID-430"/>
    <n v="0"/>
    <x v="0"/>
    <n v="33"/>
    <n v="0"/>
    <n v="1488"/>
    <n v="17"/>
    <n v="0"/>
    <n v="1"/>
    <n v="3"/>
    <n v="1"/>
    <n v="1"/>
    <n v="30"/>
    <n v="60.2"/>
    <n v="0"/>
    <n v="1"/>
    <x v="0"/>
    <n v="4.045698924731183"/>
  </r>
  <r>
    <s v="ID-431"/>
    <n v="1"/>
    <x v="0"/>
    <n v="30"/>
    <n v="1"/>
    <n v="6605"/>
    <n v="89"/>
    <n v="3"/>
    <n v="17"/>
    <n v="5"/>
    <n v="1"/>
    <n v="1"/>
    <n v="55"/>
    <n v="104.91"/>
    <n v="0"/>
    <n v="0"/>
    <x v="0"/>
    <n v="1.5883421650264951"/>
  </r>
  <r>
    <s v="ID-432"/>
    <n v="0"/>
    <x v="0"/>
    <n v="33"/>
    <n v="0"/>
    <n v="0"/>
    <n v="0"/>
    <n v="0"/>
    <n v="0"/>
    <n v="4"/>
    <n v="1"/>
    <n v="2"/>
    <n v="45"/>
    <n v="0"/>
    <n v="1"/>
    <n v="1"/>
    <x v="0"/>
    <n v="0"/>
  </r>
  <r>
    <s v="ID-433"/>
    <n v="0"/>
    <x v="0"/>
    <n v="33"/>
    <n v="0"/>
    <n v="0"/>
    <n v="0"/>
    <n v="0"/>
    <n v="0"/>
    <n v="5"/>
    <n v="1"/>
    <n v="1"/>
    <n v="55"/>
    <n v="0"/>
    <n v="0"/>
    <n v="1"/>
    <x v="0"/>
    <n v="0"/>
  </r>
  <r>
    <s v="ID-434"/>
    <n v="23"/>
    <x v="0"/>
    <n v="28"/>
    <n v="3"/>
    <n v="15895"/>
    <n v="230"/>
    <n v="0"/>
    <n v="75"/>
    <n v="2"/>
    <n v="1"/>
    <n v="1"/>
    <n v="25"/>
    <n v="725.625"/>
    <n v="0"/>
    <n v="5"/>
    <x v="1"/>
    <n v="4.565114815979868"/>
  </r>
  <r>
    <s v="ID-435"/>
    <n v="4"/>
    <x v="0"/>
    <n v="31"/>
    <n v="3"/>
    <n v="6785"/>
    <n v="108"/>
    <n v="260"/>
    <n v="28"/>
    <n v="2"/>
    <n v="2"/>
    <n v="1"/>
    <n v="25"/>
    <n v="1480.1849999999999"/>
    <n v="0"/>
    <n v="0"/>
    <x v="0"/>
    <n v="21.815549005158438"/>
  </r>
  <r>
    <s v="ID-436"/>
    <n v="0"/>
    <x v="0"/>
    <n v="33"/>
    <n v="0"/>
    <n v="3538"/>
    <n v="74"/>
    <n v="0"/>
    <n v="23"/>
    <n v="2"/>
    <n v="1"/>
    <n v="1"/>
    <n v="25"/>
    <n v="162.54"/>
    <n v="0"/>
    <n v="1"/>
    <x v="0"/>
    <n v="4.5941209723007344"/>
  </r>
  <r>
    <s v="ID-437"/>
    <n v="1"/>
    <x v="0"/>
    <n v="32"/>
    <n v="0"/>
    <n v="1485"/>
    <n v="36"/>
    <n v="27"/>
    <n v="15"/>
    <n v="3"/>
    <n v="1"/>
    <n v="2"/>
    <n v="30"/>
    <n v="168.84"/>
    <n v="0"/>
    <n v="1"/>
    <x v="0"/>
    <n v="11.369696969696969"/>
  </r>
  <r>
    <s v="ID-438"/>
    <n v="4"/>
    <x v="0"/>
    <n v="33"/>
    <n v="0"/>
    <n v="2600"/>
    <n v="45"/>
    <n v="164"/>
    <n v="18"/>
    <n v="2"/>
    <n v="1"/>
    <n v="1"/>
    <n v="25"/>
    <n v="857.02499999999998"/>
    <n v="0"/>
    <n v="1"/>
    <x v="0"/>
    <n v="32.962499999999999"/>
  </r>
  <r>
    <s v="ID-439"/>
    <n v="2"/>
    <x v="0"/>
    <n v="24"/>
    <n v="1"/>
    <n v="1135"/>
    <n v="28"/>
    <n v="182"/>
    <n v="6"/>
    <n v="2"/>
    <n v="2"/>
    <n v="1"/>
    <n v="25"/>
    <n v="871.33500000000004"/>
    <n v="0"/>
    <n v="0"/>
    <x v="0"/>
    <n v="76.769603524229083"/>
  </r>
  <r>
    <s v="ID-440"/>
    <n v="2"/>
    <x v="0"/>
    <n v="23"/>
    <n v="0"/>
    <n v="1388"/>
    <n v="31"/>
    <n v="19"/>
    <n v="63"/>
    <n v="4"/>
    <n v="1"/>
    <n v="1"/>
    <n v="45"/>
    <n v="82.974999999999994"/>
    <n v="0"/>
    <n v="2"/>
    <x v="0"/>
    <n v="5.9780259365994226"/>
  </r>
  <r>
    <s v="ID-441"/>
    <n v="9"/>
    <x v="0"/>
    <n v="24"/>
    <n v="0"/>
    <n v="520"/>
    <n v="17"/>
    <n v="0"/>
    <n v="2"/>
    <n v="2"/>
    <n v="1"/>
    <n v="2"/>
    <n v="25"/>
    <n v="24.164999999999999"/>
    <n v="0"/>
    <n v="1"/>
    <x v="0"/>
    <n v="4.6471153846153843"/>
  </r>
  <r>
    <s v="ID-442"/>
    <n v="0"/>
    <x v="0"/>
    <n v="23"/>
    <n v="0"/>
    <n v="0"/>
    <n v="0"/>
    <n v="10"/>
    <n v="0"/>
    <n v="4"/>
    <n v="1"/>
    <n v="2"/>
    <n v="45"/>
    <n v="25"/>
    <n v="0"/>
    <n v="1"/>
    <x v="0"/>
    <n v="0"/>
  </r>
  <r>
    <s v="ID-443"/>
    <n v="8"/>
    <x v="0"/>
    <n v="22"/>
    <n v="0"/>
    <n v="1045"/>
    <n v="24"/>
    <n v="8"/>
    <n v="8"/>
    <n v="2"/>
    <n v="1"/>
    <n v="1"/>
    <n v="25"/>
    <n v="84.105000000000004"/>
    <n v="0"/>
    <n v="1"/>
    <x v="0"/>
    <n v="8.0483253588516757"/>
  </r>
  <r>
    <s v="ID-444"/>
    <n v="0"/>
    <x v="0"/>
    <n v="22"/>
    <n v="0"/>
    <n v="3045"/>
    <n v="53"/>
    <n v="0"/>
    <n v="18"/>
    <n v="3"/>
    <n v="1"/>
    <n v="1"/>
    <n v="30"/>
    <n v="123.92"/>
    <n v="0"/>
    <n v="1"/>
    <x v="0"/>
    <n v="4.0696223316912974"/>
  </r>
  <r>
    <s v="ID-445"/>
    <n v="0"/>
    <x v="0"/>
    <n v="15"/>
    <n v="0"/>
    <n v="1515"/>
    <n v="18"/>
    <n v="17"/>
    <n v="9"/>
    <n v="2"/>
    <n v="1"/>
    <n v="1"/>
    <n v="25"/>
    <n v="145.48500000000001"/>
    <n v="0"/>
    <n v="1"/>
    <x v="0"/>
    <n v="9.6029702970297048"/>
  </r>
  <r>
    <s v="ID-446"/>
    <n v="14"/>
    <x v="0"/>
    <n v="14"/>
    <n v="1"/>
    <n v="6213"/>
    <n v="133"/>
    <n v="74"/>
    <n v="37"/>
    <n v="2"/>
    <n v="2"/>
    <n v="1"/>
    <n v="25"/>
    <n v="618.57000000000005"/>
    <n v="0"/>
    <n v="2"/>
    <x v="0"/>
    <n v="9.9560598744567859"/>
  </r>
  <r>
    <s v="ID-447"/>
    <n v="10"/>
    <x v="0"/>
    <n v="12"/>
    <n v="0"/>
    <n v="8753"/>
    <n v="163"/>
    <n v="62"/>
    <n v="35"/>
    <n v="4"/>
    <n v="1"/>
    <n v="1"/>
    <n v="45"/>
    <n v="377.9"/>
    <n v="0"/>
    <n v="3"/>
    <x v="1"/>
    <n v="4.3173768993487949"/>
  </r>
  <r>
    <s v="ID-448"/>
    <n v="6"/>
    <x v="0"/>
    <n v="13"/>
    <n v="3"/>
    <n v="2673"/>
    <n v="37"/>
    <n v="20"/>
    <n v="14"/>
    <n v="3"/>
    <n v="1"/>
    <n v="1"/>
    <n v="30"/>
    <n v="188.4"/>
    <n v="0"/>
    <n v="0"/>
    <x v="0"/>
    <n v="7.0482603815937157"/>
  </r>
  <r>
    <s v="ID-449"/>
    <n v="0"/>
    <x v="0"/>
    <n v="6"/>
    <n v="1"/>
    <n v="4210"/>
    <n v="32"/>
    <n v="204"/>
    <n v="5"/>
    <n v="3"/>
    <n v="1"/>
    <n v="1"/>
    <n v="30"/>
    <n v="985.68"/>
    <n v="0"/>
    <n v="0"/>
    <x v="0"/>
    <n v="23.412826603325414"/>
  </r>
  <r>
    <s v="ID-450"/>
    <n v="1"/>
    <x v="0"/>
    <n v="6"/>
    <n v="1"/>
    <n v="1308"/>
    <n v="11"/>
    <n v="0"/>
    <n v="2"/>
    <n v="3"/>
    <n v="1"/>
    <n v="1"/>
    <n v="30"/>
    <n v="52.76"/>
    <n v="1"/>
    <n v="0"/>
    <x v="0"/>
    <n v="4.0336391437308867"/>
  </r>
  <r>
    <s v="ID-451"/>
    <n v="12"/>
    <x v="0"/>
    <n v="38"/>
    <n v="2"/>
    <n v="4970"/>
    <n v="81"/>
    <n v="26"/>
    <n v="32"/>
    <n v="3"/>
    <n v="1"/>
    <n v="1"/>
    <n v="30"/>
    <n v="306.04000000000002"/>
    <n v="0"/>
    <n v="2"/>
    <x v="0"/>
    <n v="6.1577464788732401"/>
  </r>
  <r>
    <s v="ID-452"/>
    <n v="4"/>
    <x v="0"/>
    <n v="39"/>
    <n v="0"/>
    <n v="918"/>
    <n v="15"/>
    <n v="28"/>
    <n v="19"/>
    <n v="3"/>
    <n v="1"/>
    <n v="2"/>
    <n v="30"/>
    <n v="149.32"/>
    <n v="0"/>
    <n v="1"/>
    <x v="0"/>
    <n v="16.265795206971674"/>
  </r>
  <r>
    <s v="ID-453"/>
    <n v="14"/>
    <x v="0"/>
    <n v="37"/>
    <n v="2"/>
    <n v="3053"/>
    <n v="70"/>
    <n v="380"/>
    <n v="39"/>
    <n v="3"/>
    <n v="1"/>
    <n v="1"/>
    <n v="30"/>
    <n v="1644.92"/>
    <n v="0"/>
    <n v="2"/>
    <x v="0"/>
    <n v="53.878807730101542"/>
  </r>
  <r>
    <s v="ID-454"/>
    <n v="14"/>
    <x v="0"/>
    <n v="38"/>
    <n v="2"/>
    <n v="4798"/>
    <n v="76"/>
    <n v="22"/>
    <n v="50"/>
    <n v="1"/>
    <n v="1"/>
    <n v="1"/>
    <n v="15"/>
    <n v="389.07"/>
    <n v="0"/>
    <n v="3"/>
    <x v="1"/>
    <n v="8.1090037515631508"/>
  </r>
  <r>
    <s v="ID-455"/>
    <n v="7"/>
    <x v="0"/>
    <n v="38"/>
    <n v="2"/>
    <n v="2993"/>
    <n v="68"/>
    <n v="23"/>
    <n v="48"/>
    <n v="2"/>
    <n v="1"/>
    <n v="1"/>
    <n v="25"/>
    <n v="241.245"/>
    <n v="0"/>
    <n v="1"/>
    <x v="0"/>
    <n v="8.060307383895756"/>
  </r>
  <r>
    <s v="ID-456"/>
    <n v="15"/>
    <x v="0"/>
    <n v="38"/>
    <n v="3"/>
    <n v="4375"/>
    <n v="92"/>
    <n v="53"/>
    <n v="43"/>
    <n v="3"/>
    <n v="1"/>
    <n v="1"/>
    <n v="30"/>
    <n v="390.68"/>
    <n v="0"/>
    <n v="2"/>
    <x v="0"/>
    <n v="8.9298285714285726"/>
  </r>
  <r>
    <s v="ID-457"/>
    <n v="8"/>
    <x v="0"/>
    <n v="38"/>
    <n v="2"/>
    <n v="2960"/>
    <n v="49"/>
    <n v="306"/>
    <n v="33"/>
    <n v="3"/>
    <n v="1"/>
    <n v="1"/>
    <n v="30"/>
    <n v="1344.36"/>
    <n v="0"/>
    <n v="0"/>
    <x v="0"/>
    <n v="45.417567567567559"/>
  </r>
  <r>
    <s v="ID-458"/>
    <n v="17"/>
    <x v="0"/>
    <n v="37"/>
    <n v="4"/>
    <n v="9715"/>
    <n v="131"/>
    <n v="165"/>
    <n v="58"/>
    <n v="3"/>
    <n v="2"/>
    <n v="1"/>
    <n v="30"/>
    <n v="1053.8399999999999"/>
    <n v="0"/>
    <n v="3"/>
    <x v="1"/>
    <n v="10.847555326814204"/>
  </r>
  <r>
    <s v="ID-459"/>
    <n v="11"/>
    <x v="0"/>
    <n v="38"/>
    <n v="2"/>
    <n v="14373"/>
    <n v="179"/>
    <n v="21"/>
    <n v="59"/>
    <n v="3"/>
    <n v="1"/>
    <n v="1"/>
    <n v="30"/>
    <n v="666.08"/>
    <n v="0"/>
    <n v="5"/>
    <x v="1"/>
    <n v="4.6342447644889724"/>
  </r>
  <r>
    <s v="ID-460"/>
    <n v="11"/>
    <x v="0"/>
    <n v="38"/>
    <n v="3"/>
    <n v="5115"/>
    <n v="93"/>
    <n v="23"/>
    <n v="40"/>
    <n v="3"/>
    <n v="1"/>
    <n v="1"/>
    <n v="30"/>
    <n v="300.32"/>
    <n v="0"/>
    <n v="2"/>
    <x v="0"/>
    <n v="5.8713587487781034"/>
  </r>
  <r>
    <s v="ID-461"/>
    <n v="10"/>
    <x v="0"/>
    <n v="38"/>
    <n v="2"/>
    <n v="6518"/>
    <n v="105"/>
    <n v="28"/>
    <n v="27"/>
    <n v="3"/>
    <n v="1"/>
    <n v="1"/>
    <n v="30"/>
    <n v="376.92"/>
    <n v="0"/>
    <n v="0"/>
    <x v="0"/>
    <n v="5.782755446455969"/>
  </r>
  <r>
    <s v="ID-462"/>
    <n v="13"/>
    <x v="0"/>
    <n v="38"/>
    <n v="0"/>
    <n v="2838"/>
    <n v="64"/>
    <n v="29"/>
    <n v="32"/>
    <n v="3"/>
    <n v="1"/>
    <n v="2"/>
    <n v="30"/>
    <n v="232.08"/>
    <n v="0"/>
    <n v="3"/>
    <x v="1"/>
    <n v="8.1775898520084578"/>
  </r>
  <r>
    <s v="ID-463"/>
    <n v="29"/>
    <x v="0"/>
    <n v="38"/>
    <n v="5"/>
    <n v="15740"/>
    <n v="235"/>
    <n v="75"/>
    <n v="47"/>
    <n v="3"/>
    <n v="1"/>
    <n v="1"/>
    <n v="30"/>
    <n v="939"/>
    <n v="0"/>
    <n v="4"/>
    <x v="1"/>
    <n v="5.9656925031766201"/>
  </r>
  <r>
    <s v="ID-464"/>
    <n v="8"/>
    <x v="0"/>
    <n v="38"/>
    <n v="3"/>
    <n v="3695"/>
    <n v="37"/>
    <n v="504"/>
    <n v="23"/>
    <n v="3"/>
    <n v="1"/>
    <n v="1"/>
    <n v="30"/>
    <n v="2165.2800000000002"/>
    <n v="0"/>
    <n v="0"/>
    <x v="0"/>
    <n v="58.60027063599459"/>
  </r>
  <r>
    <s v="ID-465"/>
    <n v="13"/>
    <x v="0"/>
    <n v="37"/>
    <n v="2"/>
    <n v="16085"/>
    <n v="192"/>
    <n v="171"/>
    <n v="45"/>
    <n v="2"/>
    <n v="1"/>
    <n v="1"/>
    <n v="25"/>
    <n v="1501.9649999999999"/>
    <n v="0"/>
    <n v="4"/>
    <x v="1"/>
    <n v="9.3376748523469075"/>
  </r>
  <r>
    <s v="ID-466"/>
    <n v="7"/>
    <x v="0"/>
    <n v="37"/>
    <n v="3"/>
    <n v="7100"/>
    <n v="96"/>
    <n v="207"/>
    <n v="41"/>
    <n v="3"/>
    <n v="1"/>
    <n v="1"/>
    <n v="30"/>
    <n v="1115.8399999999999"/>
    <n v="0"/>
    <n v="0"/>
    <x v="0"/>
    <n v="15.716056338028167"/>
  </r>
  <r>
    <s v="ID-467"/>
    <n v="4"/>
    <x v="0"/>
    <n v="37"/>
    <n v="0"/>
    <n v="1475"/>
    <n v="24"/>
    <n v="21"/>
    <n v="26"/>
    <n v="2"/>
    <n v="1"/>
    <n v="2"/>
    <n v="25"/>
    <n v="161.95500000000001"/>
    <n v="0"/>
    <n v="1"/>
    <x v="0"/>
    <n v="10.98"/>
  </r>
  <r>
    <s v="ID-468"/>
    <n v="6"/>
    <x v="0"/>
    <n v="38"/>
    <n v="0"/>
    <n v="1310"/>
    <n v="24"/>
    <n v="34"/>
    <n v="23"/>
    <n v="3"/>
    <n v="1"/>
    <n v="2"/>
    <n v="30"/>
    <n v="189.36"/>
    <n v="0"/>
    <n v="1"/>
    <x v="0"/>
    <n v="14.45496183206107"/>
  </r>
  <r>
    <s v="ID-469"/>
    <n v="4"/>
    <x v="0"/>
    <n v="37"/>
    <n v="0"/>
    <n v="600"/>
    <n v="10"/>
    <n v="21"/>
    <n v="15"/>
    <n v="2"/>
    <n v="1"/>
    <n v="2"/>
    <n v="25"/>
    <n v="121.95"/>
    <n v="1"/>
    <n v="1"/>
    <x v="0"/>
    <n v="20.325000000000003"/>
  </r>
  <r>
    <s v="ID-470"/>
    <n v="7"/>
    <x v="0"/>
    <n v="37"/>
    <n v="2"/>
    <n v="8108"/>
    <n v="137"/>
    <n v="405"/>
    <n v="58"/>
    <n v="3"/>
    <n v="1"/>
    <n v="1"/>
    <n v="30"/>
    <n v="1949.8"/>
    <n v="0"/>
    <n v="1"/>
    <x v="0"/>
    <n v="24.047853971386285"/>
  </r>
  <r>
    <s v="ID-471"/>
    <n v="11"/>
    <x v="0"/>
    <n v="37"/>
    <n v="3"/>
    <n v="12065"/>
    <n v="164"/>
    <n v="32"/>
    <n v="62"/>
    <n v="4"/>
    <n v="1"/>
    <n v="1"/>
    <n v="45"/>
    <n v="385.72500000000002"/>
    <n v="0"/>
    <n v="5"/>
    <x v="1"/>
    <n v="3.1970576046415253"/>
  </r>
  <r>
    <s v="ID-472"/>
    <n v="12"/>
    <x v="0"/>
    <n v="37"/>
    <n v="3"/>
    <n v="7318"/>
    <n v="85"/>
    <n v="129"/>
    <n v="52"/>
    <n v="2"/>
    <n v="1"/>
    <n v="1"/>
    <n v="25"/>
    <n v="913.63499999999999"/>
    <n v="0"/>
    <n v="3"/>
    <x v="1"/>
    <n v="12.484763596611096"/>
  </r>
  <r>
    <s v="ID-473"/>
    <n v="27"/>
    <x v="1"/>
    <n v="33"/>
    <n v="0"/>
    <n v="1555"/>
    <n v="57"/>
    <n v="37"/>
    <n v="32"/>
    <n v="3"/>
    <n v="1"/>
    <n v="2"/>
    <n v="30"/>
    <n v="212.48"/>
    <n v="1"/>
    <n v="5"/>
    <x v="1"/>
    <n v="13.664308681672024"/>
  </r>
  <r>
    <s v="ID-474"/>
    <n v="25"/>
    <x v="0"/>
    <n v="36"/>
    <n v="10"/>
    <n v="11035"/>
    <n v="103"/>
    <n v="22"/>
    <n v="57"/>
    <n v="5"/>
    <n v="2"/>
    <n v="1"/>
    <n v="55"/>
    <n v="200.07"/>
    <n v="0"/>
    <n v="3"/>
    <x v="1"/>
    <n v="1.813049388309923"/>
  </r>
  <r>
    <s v="ID-475"/>
    <n v="17"/>
    <x v="0"/>
    <n v="36"/>
    <n v="3"/>
    <n v="6418"/>
    <n v="108"/>
    <n v="47"/>
    <n v="39"/>
    <n v="2"/>
    <n v="1"/>
    <n v="1"/>
    <n v="25"/>
    <n v="505.17"/>
    <n v="0"/>
    <n v="2"/>
    <x v="0"/>
    <n v="7.8711436584605803"/>
  </r>
  <r>
    <s v="ID-476"/>
    <n v="5"/>
    <x v="0"/>
    <n v="34"/>
    <n v="2"/>
    <n v="3440"/>
    <n v="32"/>
    <n v="21"/>
    <n v="29"/>
    <n v="3"/>
    <n v="1"/>
    <n v="1"/>
    <n v="30"/>
    <n v="222.88"/>
    <n v="0"/>
    <n v="0"/>
    <x v="0"/>
    <n v="6.4790697674418603"/>
  </r>
  <r>
    <s v="ID-477"/>
    <n v="13"/>
    <x v="1"/>
    <n v="35"/>
    <n v="0"/>
    <n v="3590"/>
    <n v="51"/>
    <n v="30"/>
    <n v="31"/>
    <n v="3"/>
    <n v="1"/>
    <n v="2"/>
    <n v="30"/>
    <n v="265.64"/>
    <n v="1"/>
    <n v="5"/>
    <x v="1"/>
    <n v="7.3994428969359332"/>
  </r>
  <r>
    <s v="ID-478"/>
    <n v="13"/>
    <x v="1"/>
    <n v="36"/>
    <n v="0"/>
    <n v="2868"/>
    <n v="54"/>
    <n v="55"/>
    <n v="46"/>
    <n v="3"/>
    <n v="1"/>
    <n v="2"/>
    <n v="30"/>
    <n v="336.88"/>
    <n v="1"/>
    <n v="5"/>
    <x v="1"/>
    <n v="11.746164574616458"/>
  </r>
  <r>
    <s v="ID-479"/>
    <n v="4"/>
    <x v="0"/>
    <n v="36"/>
    <n v="0"/>
    <n v="733"/>
    <n v="12"/>
    <n v="21"/>
    <n v="17"/>
    <n v="3"/>
    <n v="1"/>
    <n v="2"/>
    <n v="30"/>
    <n v="113.8"/>
    <n v="1"/>
    <n v="1"/>
    <x v="0"/>
    <n v="15.525238744884037"/>
  </r>
  <r>
    <s v="ID-480"/>
    <n v="5"/>
    <x v="0"/>
    <n v="36"/>
    <n v="2"/>
    <n v="2268"/>
    <n v="35"/>
    <n v="21"/>
    <n v="21"/>
    <n v="4"/>
    <n v="1"/>
    <n v="1"/>
    <n v="45"/>
    <n v="110.075"/>
    <n v="0"/>
    <n v="0"/>
    <x v="0"/>
    <n v="4.8533950617283956"/>
  </r>
  <r>
    <s v="ID-481"/>
    <n v="7"/>
    <x v="0"/>
    <n v="33"/>
    <n v="3"/>
    <n v="7385"/>
    <n v="107"/>
    <n v="35"/>
    <n v="37"/>
    <n v="5"/>
    <n v="1"/>
    <n v="1"/>
    <n v="55"/>
    <n v="164.88"/>
    <n v="0"/>
    <n v="0"/>
    <x v="0"/>
    <n v="2.2326337169939063"/>
  </r>
  <r>
    <s v="ID-482"/>
    <n v="4"/>
    <x v="0"/>
    <n v="36"/>
    <n v="0"/>
    <n v="1228"/>
    <n v="17"/>
    <n v="30"/>
    <n v="19"/>
    <n v="4"/>
    <n v="1"/>
    <n v="2"/>
    <n v="45"/>
    <n v="106.125"/>
    <n v="1"/>
    <n v="1"/>
    <x v="0"/>
    <n v="8.6421009771986963"/>
  </r>
  <r>
    <s v="ID-483"/>
    <n v="4"/>
    <x v="0"/>
    <n v="36"/>
    <n v="3"/>
    <n v="938"/>
    <n v="14"/>
    <n v="25"/>
    <n v="17"/>
    <n v="5"/>
    <n v="1"/>
    <n v="1"/>
    <n v="55"/>
    <n v="51.78"/>
    <n v="0"/>
    <n v="0"/>
    <x v="0"/>
    <n v="5.5202558635394459"/>
  </r>
  <r>
    <s v="ID-484"/>
    <n v="29"/>
    <x v="0"/>
    <n v="31"/>
    <n v="5"/>
    <n v="16675"/>
    <n v="248"/>
    <n v="21"/>
    <n v="95"/>
    <n v="2"/>
    <n v="1"/>
    <n v="1"/>
    <n v="25"/>
    <n v="856.03499999999997"/>
    <n v="0"/>
    <n v="5"/>
    <x v="1"/>
    <n v="5.1336431784107948"/>
  </r>
  <r>
    <s v="ID-485"/>
    <n v="10"/>
    <x v="0"/>
    <n v="34"/>
    <n v="5"/>
    <n v="7565"/>
    <n v="126"/>
    <n v="292"/>
    <n v="48"/>
    <n v="2"/>
    <n v="2"/>
    <n v="1"/>
    <n v="25"/>
    <n v="1660.095"/>
    <n v="0"/>
    <n v="1"/>
    <x v="0"/>
    <n v="21.944415069398545"/>
  </r>
  <r>
    <s v="ID-486"/>
    <n v="6"/>
    <x v="0"/>
    <n v="36"/>
    <n v="2"/>
    <n v="4318"/>
    <n v="92"/>
    <n v="23"/>
    <n v="43"/>
    <n v="3"/>
    <n v="1"/>
    <n v="1"/>
    <n v="30"/>
    <n v="268.39999999999998"/>
    <n v="0"/>
    <n v="0"/>
    <x v="0"/>
    <n v="6.2158406669754509"/>
  </r>
  <r>
    <s v="ID-487"/>
    <n v="7"/>
    <x v="1"/>
    <n v="35"/>
    <n v="0"/>
    <n v="2265"/>
    <n v="54"/>
    <n v="59"/>
    <n v="35"/>
    <n v="3"/>
    <n v="1"/>
    <n v="2"/>
    <n v="30"/>
    <n v="328.76"/>
    <n v="1"/>
    <n v="3"/>
    <x v="1"/>
    <n v="14.514790286975717"/>
  </r>
  <r>
    <s v="ID-488"/>
    <n v="10"/>
    <x v="0"/>
    <n v="36"/>
    <n v="2"/>
    <n v="3380"/>
    <n v="63"/>
    <n v="196"/>
    <n v="38"/>
    <n v="2"/>
    <n v="1"/>
    <n v="1"/>
    <n v="25"/>
    <n v="1036.9349999999999"/>
    <n v="0"/>
    <n v="0"/>
    <x v="0"/>
    <n v="30.678550295857988"/>
  </r>
  <r>
    <s v="ID-489"/>
    <n v="8"/>
    <x v="0"/>
    <n v="27"/>
    <n v="3"/>
    <n v="1915"/>
    <n v="46"/>
    <n v="214"/>
    <n v="26"/>
    <n v="2"/>
    <n v="2"/>
    <n v="1"/>
    <n v="25"/>
    <n v="1051.2449999999999"/>
    <n v="0"/>
    <n v="0"/>
    <x v="0"/>
    <n v="54.895300261096601"/>
  </r>
  <r>
    <s v="ID-490"/>
    <n v="8"/>
    <x v="0"/>
    <n v="26"/>
    <n v="2"/>
    <n v="2168"/>
    <n v="49"/>
    <n v="51"/>
    <n v="83"/>
    <n v="4"/>
    <n v="1"/>
    <n v="1"/>
    <n v="45"/>
    <n v="182.92500000000001"/>
    <n v="0"/>
    <n v="1"/>
    <x v="0"/>
    <n v="8.4375"/>
  </r>
  <r>
    <s v="ID-491"/>
    <n v="15"/>
    <x v="0"/>
    <n v="27"/>
    <n v="0"/>
    <n v="1300"/>
    <n v="35"/>
    <n v="31"/>
    <n v="22"/>
    <n v="3"/>
    <n v="1"/>
    <n v="2"/>
    <n v="30"/>
    <n v="177.4"/>
    <n v="0"/>
    <n v="3"/>
    <x v="1"/>
    <n v="13.646153846153847"/>
  </r>
  <r>
    <s v="ID-492"/>
    <n v="4"/>
    <x v="0"/>
    <n v="26"/>
    <n v="0"/>
    <n v="1425"/>
    <n v="20"/>
    <n v="42"/>
    <n v="18"/>
    <n v="4"/>
    <n v="1"/>
    <n v="2"/>
    <n v="45"/>
    <n v="141.125"/>
    <n v="0"/>
    <n v="1"/>
    <x v="0"/>
    <n v="9.9035087719298236"/>
  </r>
  <r>
    <s v="ID-493"/>
    <n v="14"/>
    <x v="0"/>
    <n v="25"/>
    <n v="2"/>
    <n v="1825"/>
    <n v="42"/>
    <n v="40"/>
    <n v="28"/>
    <n v="2"/>
    <n v="1"/>
    <n v="1"/>
    <n v="25"/>
    <n v="264.01499999999999"/>
    <n v="0"/>
    <n v="2"/>
    <x v="0"/>
    <n v="14.466575342465754"/>
  </r>
  <r>
    <s v="ID-494"/>
    <n v="6"/>
    <x v="0"/>
    <n v="25"/>
    <n v="2"/>
    <n v="3825"/>
    <n v="71"/>
    <n v="29"/>
    <n v="38"/>
    <n v="3"/>
    <n v="1"/>
    <n v="1"/>
    <n v="30"/>
    <n v="271.83999999999997"/>
    <n v="0"/>
    <n v="0"/>
    <x v="0"/>
    <n v="7.1069281045751627"/>
  </r>
  <r>
    <s v="ID-495"/>
    <n v="6"/>
    <x v="0"/>
    <n v="18"/>
    <n v="2"/>
    <n v="2295"/>
    <n v="36"/>
    <n v="49"/>
    <n v="29"/>
    <n v="2"/>
    <n v="1"/>
    <n v="1"/>
    <n v="25"/>
    <n v="325.39499999999998"/>
    <n v="0"/>
    <n v="0"/>
    <x v="0"/>
    <n v="14.178431372549019"/>
  </r>
  <r>
    <s v="ID-496"/>
    <n v="20"/>
    <x v="0"/>
    <n v="17"/>
    <n v="3"/>
    <n v="6993"/>
    <n v="151"/>
    <n v="106"/>
    <n v="57"/>
    <n v="2"/>
    <n v="2"/>
    <n v="1"/>
    <n v="25"/>
    <n v="798.48"/>
    <n v="0"/>
    <n v="5"/>
    <x v="1"/>
    <n v="11.418275418275419"/>
  </r>
  <r>
    <s v="ID-497"/>
    <n v="16"/>
    <x v="0"/>
    <n v="15"/>
    <n v="2"/>
    <n v="9533"/>
    <n v="181"/>
    <n v="94"/>
    <n v="55"/>
    <n v="5"/>
    <n v="1"/>
    <n v="1"/>
    <n v="55"/>
    <n v="286.70999999999998"/>
    <n v="0"/>
    <n v="5"/>
    <x v="1"/>
    <n v="3.0075527116332736"/>
  </r>
  <r>
    <s v="ID-498"/>
    <n v="12"/>
    <x v="0"/>
    <n v="16"/>
    <n v="5"/>
    <n v="3453"/>
    <n v="55"/>
    <n v="52"/>
    <n v="34"/>
    <n v="3"/>
    <n v="1"/>
    <n v="1"/>
    <n v="30"/>
    <n v="348.32"/>
    <n v="0"/>
    <n v="2"/>
    <x v="0"/>
    <n v="10.087460179554011"/>
  </r>
  <r>
    <s v="ID-499"/>
    <n v="6"/>
    <x v="0"/>
    <n v="9"/>
    <n v="3"/>
    <n v="4990"/>
    <n v="50"/>
    <n v="236"/>
    <n v="25"/>
    <n v="3"/>
    <n v="1"/>
    <n v="1"/>
    <n v="30"/>
    <n v="1145.5999999999999"/>
    <n v="0"/>
    <n v="0"/>
    <x v="0"/>
    <n v="22.957915831663325"/>
  </r>
  <r>
    <s v="ID-500"/>
    <n v="7"/>
    <x v="1"/>
    <n v="9"/>
    <n v="3"/>
    <n v="2088"/>
    <n v="29"/>
    <n v="21"/>
    <n v="22"/>
    <n v="3"/>
    <n v="1"/>
    <n v="1"/>
    <n v="30"/>
    <n v="168.68"/>
    <n v="1"/>
    <n v="2"/>
    <x v="0"/>
    <n v="8.0785440613026829"/>
  </r>
  <r>
    <s v="ID-501"/>
    <n v="4"/>
    <x v="0"/>
    <n v="38"/>
    <n v="0"/>
    <n v="3770"/>
    <n v="61"/>
    <n v="0"/>
    <n v="2"/>
    <n v="2"/>
    <n v="1"/>
    <n v="1"/>
    <n v="25"/>
    <n v="172.39500000000001"/>
    <n v="0"/>
    <n v="1"/>
    <x v="0"/>
    <n v="4.5728116710875337"/>
  </r>
  <r>
    <s v="ID-502"/>
    <n v="0"/>
    <x v="0"/>
    <n v="39"/>
    <n v="0"/>
    <n v="0"/>
    <n v="0"/>
    <n v="0"/>
    <n v="0"/>
    <n v="2"/>
    <n v="1"/>
    <n v="2"/>
    <n v="25"/>
    <n v="0"/>
    <n v="0"/>
    <n v="1"/>
    <x v="0"/>
    <n v="0"/>
  </r>
  <r>
    <s v="ID-503"/>
    <n v="6"/>
    <x v="0"/>
    <n v="37"/>
    <n v="0"/>
    <n v="1853"/>
    <n v="50"/>
    <n v="338"/>
    <n v="9"/>
    <n v="2"/>
    <n v="1"/>
    <n v="1"/>
    <n v="25"/>
    <n v="1606.635"/>
    <n v="0"/>
    <n v="1"/>
    <x v="0"/>
    <n v="86.704533189422563"/>
  </r>
  <r>
    <s v="ID-504"/>
    <n v="6"/>
    <x v="0"/>
    <n v="38"/>
    <n v="0"/>
    <n v="3598"/>
    <n v="56"/>
    <n v="0"/>
    <n v="20"/>
    <n v="1"/>
    <n v="1"/>
    <n v="1"/>
    <n v="15"/>
    <n v="200.97"/>
    <n v="0"/>
    <n v="1"/>
    <x v="0"/>
    <n v="5.5856031128404666"/>
  </r>
  <r>
    <s v="ID-505"/>
    <n v="0"/>
    <x v="0"/>
    <n v="38"/>
    <n v="0"/>
    <n v="1793"/>
    <n v="48"/>
    <n v="0"/>
    <n v="18"/>
    <n v="1"/>
    <n v="1"/>
    <n v="1"/>
    <n v="15"/>
    <n v="101.255"/>
    <n v="0"/>
    <n v="1"/>
    <x v="0"/>
    <n v="5.647239263803681"/>
  </r>
  <r>
    <s v="ID-506"/>
    <n v="7"/>
    <x v="0"/>
    <n v="38"/>
    <n v="0"/>
    <n v="3175"/>
    <n v="72"/>
    <n v="11"/>
    <n v="13"/>
    <n v="3"/>
    <n v="1"/>
    <n v="1"/>
    <n v="30"/>
    <n v="173.88"/>
    <n v="0"/>
    <n v="1"/>
    <x v="0"/>
    <n v="5.4765354330708655"/>
  </r>
  <r>
    <s v="ID-507"/>
    <n v="0"/>
    <x v="0"/>
    <n v="38"/>
    <n v="0"/>
    <n v="1760"/>
    <n v="29"/>
    <n v="264"/>
    <n v="3"/>
    <n v="3"/>
    <n v="1"/>
    <n v="1"/>
    <n v="30"/>
    <n v="1127.56"/>
    <n v="0"/>
    <n v="1"/>
    <x v="0"/>
    <n v="64.065909090909088"/>
  </r>
  <r>
    <s v="ID-508"/>
    <n v="9"/>
    <x v="0"/>
    <n v="37"/>
    <n v="0"/>
    <n v="8515"/>
    <n v="111"/>
    <n v="123"/>
    <n v="28"/>
    <n v="3"/>
    <n v="1"/>
    <n v="1"/>
    <n v="30"/>
    <n v="837.04"/>
    <n v="0"/>
    <n v="1"/>
    <x v="0"/>
    <n v="9.83018203170875"/>
  </r>
  <r>
    <s v="ID-509"/>
    <n v="3"/>
    <x v="0"/>
    <n v="38"/>
    <n v="0"/>
    <n v="13173"/>
    <n v="159"/>
    <n v="0"/>
    <n v="29"/>
    <n v="3"/>
    <n v="1"/>
    <n v="1"/>
    <n v="30"/>
    <n v="533.28"/>
    <n v="0"/>
    <n v="3"/>
    <x v="1"/>
    <n v="4.0482805739011614"/>
  </r>
  <r>
    <s v="ID-510"/>
    <n v="3"/>
    <x v="0"/>
    <n v="38"/>
    <n v="0"/>
    <n v="3915"/>
    <n v="73"/>
    <n v="0"/>
    <n v="10"/>
    <n v="3"/>
    <n v="1"/>
    <n v="1"/>
    <n v="30"/>
    <n v="159.52000000000001"/>
    <n v="0"/>
    <n v="1"/>
    <x v="0"/>
    <n v="4.0745849297573438"/>
  </r>
  <r>
    <s v="ID-511"/>
    <n v="2"/>
    <x v="0"/>
    <n v="38"/>
    <n v="0"/>
    <n v="5318"/>
    <n v="85"/>
    <n v="0"/>
    <n v="15"/>
    <n v="2"/>
    <n v="1"/>
    <n v="1"/>
    <n v="25"/>
    <n v="243.13499999999999"/>
    <n v="0"/>
    <n v="1"/>
    <x v="0"/>
    <n v="4.5719255359157582"/>
  </r>
  <r>
    <s v="ID-512"/>
    <n v="5"/>
    <x v="0"/>
    <n v="38"/>
    <n v="0"/>
    <n v="1638"/>
    <n v="44"/>
    <n v="0"/>
    <n v="2"/>
    <n v="3"/>
    <n v="1"/>
    <n v="2"/>
    <n v="30"/>
    <n v="67.28"/>
    <n v="0"/>
    <n v="1"/>
    <x v="0"/>
    <n v="4.107448107448108"/>
  </r>
  <r>
    <s v="ID-513"/>
    <n v="21"/>
    <x v="0"/>
    <n v="38"/>
    <n v="1"/>
    <n v="14540"/>
    <n v="215"/>
    <n v="33"/>
    <n v="17"/>
    <n v="3"/>
    <n v="1"/>
    <n v="1"/>
    <n v="30"/>
    <n v="722.2"/>
    <n v="0"/>
    <n v="4"/>
    <x v="1"/>
    <n v="4.9669876203576342"/>
  </r>
  <r>
    <s v="ID-514"/>
    <n v="0"/>
    <x v="0"/>
    <n v="38"/>
    <n v="0"/>
    <n v="2495"/>
    <n v="17"/>
    <n v="462"/>
    <n v="7"/>
    <n v="3"/>
    <n v="1"/>
    <n v="1"/>
    <n v="30"/>
    <n v="1948.48"/>
    <n v="0"/>
    <n v="1"/>
    <x v="0"/>
    <n v="78.095390781563125"/>
  </r>
  <r>
    <s v="ID-515"/>
    <n v="5"/>
    <x v="0"/>
    <n v="37"/>
    <n v="0"/>
    <n v="14885"/>
    <n v="172"/>
    <n v="129"/>
    <n v="15"/>
    <n v="2"/>
    <n v="1"/>
    <n v="1"/>
    <n v="25"/>
    <n v="1258.0650000000001"/>
    <n v="0"/>
    <n v="3"/>
    <x v="1"/>
    <n v="8.4518978837756134"/>
  </r>
  <r>
    <s v="ID-516"/>
    <n v="0"/>
    <x v="0"/>
    <n v="37"/>
    <n v="0"/>
    <n v="5900"/>
    <n v="76"/>
    <n v="165"/>
    <n v="11"/>
    <n v="3"/>
    <n v="1"/>
    <n v="1"/>
    <n v="30"/>
    <n v="899.04"/>
    <n v="0"/>
    <n v="1"/>
    <x v="0"/>
    <n v="15.237966101694914"/>
  </r>
  <r>
    <s v="ID-517"/>
    <n v="0"/>
    <x v="0"/>
    <n v="37"/>
    <n v="0"/>
    <n v="275"/>
    <n v="4"/>
    <n v="0"/>
    <n v="1"/>
    <n v="2"/>
    <n v="1"/>
    <n v="2"/>
    <n v="25"/>
    <n v="12.555"/>
    <n v="0"/>
    <n v="1"/>
    <x v="0"/>
    <n v="4.5654545454545454"/>
  </r>
  <r>
    <s v="ID-518"/>
    <n v="0"/>
    <x v="0"/>
    <n v="38"/>
    <n v="0"/>
    <n v="110"/>
    <n v="4"/>
    <n v="0"/>
    <n v="1"/>
    <n v="2"/>
    <n v="1"/>
    <n v="2"/>
    <n v="25"/>
    <n v="5.13"/>
    <n v="0"/>
    <n v="1"/>
    <x v="0"/>
    <n v="4.6636363636363631"/>
  </r>
  <r>
    <s v="ID-519"/>
    <n v="0"/>
    <x v="0"/>
    <n v="37"/>
    <n v="0"/>
    <n v="0"/>
    <n v="0"/>
    <n v="0"/>
    <n v="0"/>
    <n v="2"/>
    <n v="1"/>
    <n v="2"/>
    <n v="25"/>
    <n v="0"/>
    <n v="1"/>
    <n v="1"/>
    <x v="0"/>
    <n v="0"/>
  </r>
  <r>
    <s v="ID-520"/>
    <n v="0"/>
    <x v="0"/>
    <n v="37"/>
    <n v="0"/>
    <n v="6908"/>
    <n v="117"/>
    <n v="363"/>
    <n v="28"/>
    <n v="2"/>
    <n v="1"/>
    <n v="1"/>
    <n v="25"/>
    <n v="1949.625"/>
    <n v="0"/>
    <n v="1"/>
    <x v="0"/>
    <n v="28.222712796757381"/>
  </r>
  <r>
    <s v="ID-521"/>
    <n v="3"/>
    <x v="0"/>
    <n v="37"/>
    <n v="0"/>
    <n v="10865"/>
    <n v="144"/>
    <n v="0"/>
    <n v="32"/>
    <n v="3"/>
    <n v="1"/>
    <n v="1"/>
    <n v="30"/>
    <n v="440.36"/>
    <n v="0"/>
    <n v="3"/>
    <x v="1"/>
    <n v="4.0530142659917168"/>
  </r>
  <r>
    <s v="ID-522"/>
    <n v="4"/>
    <x v="0"/>
    <n v="37"/>
    <n v="0"/>
    <n v="6118"/>
    <n v="65"/>
    <n v="87"/>
    <n v="22"/>
    <n v="2"/>
    <n v="1"/>
    <n v="1"/>
    <n v="25"/>
    <n v="669.73500000000001"/>
    <n v="0"/>
    <n v="1"/>
    <x v="0"/>
    <n v="10.946959790781301"/>
  </r>
  <r>
    <s v="ID-523"/>
    <n v="19"/>
    <x v="0"/>
    <n v="33"/>
    <n v="0"/>
    <n v="355"/>
    <n v="37"/>
    <n v="0"/>
    <n v="2"/>
    <n v="2"/>
    <n v="1"/>
    <n v="2"/>
    <n v="25"/>
    <n v="17.64"/>
    <n v="1"/>
    <n v="3"/>
    <x v="1"/>
    <n v="4.9690140845070427"/>
  </r>
  <r>
    <s v="ID-524"/>
    <n v="17"/>
    <x v="0"/>
    <n v="36"/>
    <n v="6"/>
    <n v="9835"/>
    <n v="83"/>
    <n v="0"/>
    <n v="27"/>
    <n v="4"/>
    <n v="1"/>
    <n v="1"/>
    <n v="45"/>
    <n v="247.95"/>
    <n v="0"/>
    <n v="2"/>
    <x v="0"/>
    <n v="2.5210981189628874"/>
  </r>
  <r>
    <s v="ID-525"/>
    <n v="9"/>
    <x v="1"/>
    <n v="36"/>
    <n v="0"/>
    <n v="5218"/>
    <n v="88"/>
    <n v="5"/>
    <n v="9"/>
    <n v="2"/>
    <n v="1"/>
    <n v="1"/>
    <n v="25"/>
    <n v="261.27"/>
    <n v="1"/>
    <n v="3"/>
    <x v="1"/>
    <n v="5.0070908394020694"/>
  </r>
  <r>
    <s v="ID-526"/>
    <n v="0"/>
    <x v="0"/>
    <n v="34"/>
    <n v="0"/>
    <n v="2240"/>
    <n v="12"/>
    <n v="0"/>
    <n v="4"/>
    <n v="3"/>
    <n v="1"/>
    <n v="1"/>
    <n v="30"/>
    <n v="90.08"/>
    <n v="0"/>
    <n v="1"/>
    <x v="0"/>
    <n v="4.0214285714285714"/>
  </r>
  <r>
    <s v="ID-527"/>
    <n v="5"/>
    <x v="0"/>
    <n v="35"/>
    <n v="0"/>
    <n v="2390"/>
    <n v="31"/>
    <n v="0"/>
    <n v="1"/>
    <n v="3"/>
    <n v="1"/>
    <n v="2"/>
    <n v="30"/>
    <n v="96.84"/>
    <n v="1"/>
    <n v="1"/>
    <x v="0"/>
    <n v="4.0518828451882847"/>
  </r>
  <r>
    <s v="ID-528"/>
    <n v="5"/>
    <x v="0"/>
    <n v="36"/>
    <n v="0"/>
    <n v="1668"/>
    <n v="34"/>
    <n v="13"/>
    <n v="16"/>
    <n v="3"/>
    <n v="1"/>
    <n v="2"/>
    <n v="30"/>
    <n v="120.08"/>
    <n v="1"/>
    <n v="1"/>
    <x v="0"/>
    <n v="7.1990407673860908"/>
  </r>
  <r>
    <s v="ID-529"/>
    <n v="0"/>
    <x v="0"/>
    <n v="36"/>
    <n v="0"/>
    <n v="0"/>
    <n v="0"/>
    <n v="0"/>
    <n v="0"/>
    <n v="3"/>
    <n v="1"/>
    <n v="2"/>
    <n v="30"/>
    <n v="0"/>
    <n v="1"/>
    <n v="1"/>
    <x v="0"/>
    <n v="0"/>
  </r>
  <r>
    <s v="ID-530"/>
    <n v="0"/>
    <x v="0"/>
    <n v="36"/>
    <n v="0"/>
    <n v="1068"/>
    <n v="15"/>
    <n v="0"/>
    <n v="3"/>
    <n v="3"/>
    <n v="1"/>
    <n v="1"/>
    <n v="30"/>
    <n v="43.32"/>
    <n v="0"/>
    <n v="1"/>
    <x v="0"/>
    <n v="4.0561797752808992"/>
  </r>
  <r>
    <s v="ID-531"/>
    <n v="0"/>
    <x v="0"/>
    <n v="33"/>
    <n v="0"/>
    <n v="6185"/>
    <n v="87"/>
    <n v="0"/>
    <n v="7"/>
    <n v="4"/>
    <n v="1"/>
    <n v="1"/>
    <n v="45"/>
    <n v="156.80000000000001"/>
    <n v="0"/>
    <n v="1"/>
    <x v="0"/>
    <n v="2.5351657235246563"/>
  </r>
  <r>
    <s v="ID-532"/>
    <n v="0"/>
    <x v="0"/>
    <n v="36"/>
    <n v="0"/>
    <n v="0"/>
    <n v="0"/>
    <n v="0"/>
    <n v="0"/>
    <n v="4"/>
    <n v="1"/>
    <n v="2"/>
    <n v="45"/>
    <n v="0"/>
    <n v="1"/>
    <n v="1"/>
    <x v="0"/>
    <n v="0"/>
  </r>
  <r>
    <s v="ID-533"/>
    <n v="0"/>
    <x v="0"/>
    <n v="36"/>
    <n v="0"/>
    <n v="0"/>
    <n v="0"/>
    <n v="0"/>
    <n v="0"/>
    <n v="5"/>
    <n v="1"/>
    <n v="1"/>
    <n v="55"/>
    <n v="0"/>
    <n v="0"/>
    <n v="1"/>
    <x v="0"/>
    <n v="0"/>
  </r>
  <r>
    <s v="ID-534"/>
    <n v="21"/>
    <x v="0"/>
    <n v="31"/>
    <n v="1"/>
    <n v="15475"/>
    <n v="228"/>
    <n v="0"/>
    <n v="65"/>
    <n v="2"/>
    <n v="1"/>
    <n v="1"/>
    <n v="25"/>
    <n v="706.63499999999999"/>
    <n v="0"/>
    <n v="5"/>
    <x v="1"/>
    <n v="4.5663004846526656"/>
  </r>
  <r>
    <s v="ID-535"/>
    <n v="2"/>
    <x v="0"/>
    <n v="34"/>
    <n v="1"/>
    <n v="6365"/>
    <n v="106"/>
    <n v="250"/>
    <n v="18"/>
    <n v="2"/>
    <n v="2"/>
    <n v="1"/>
    <n v="25"/>
    <n v="1416.1949999999999"/>
    <n v="0"/>
    <n v="0"/>
    <x v="0"/>
    <n v="22.249725058915946"/>
  </r>
  <r>
    <s v="ID-536"/>
    <n v="0"/>
    <x v="0"/>
    <n v="36"/>
    <n v="0"/>
    <n v="3118"/>
    <n v="72"/>
    <n v="0"/>
    <n v="13"/>
    <n v="2"/>
    <n v="1"/>
    <n v="1"/>
    <n v="25"/>
    <n v="143.55000000000001"/>
    <n v="0"/>
    <n v="1"/>
    <x v="0"/>
    <n v="4.6039127645926881"/>
  </r>
  <r>
    <s v="ID-537"/>
    <n v="0"/>
    <x v="0"/>
    <n v="35"/>
    <n v="0"/>
    <n v="1065"/>
    <n v="34"/>
    <n v="17"/>
    <n v="5"/>
    <n v="3"/>
    <n v="1"/>
    <n v="2"/>
    <n v="30"/>
    <n v="111.96"/>
    <n v="0"/>
    <n v="1"/>
    <x v="0"/>
    <n v="10.512676056338027"/>
  </r>
  <r>
    <s v="ID-538"/>
    <n v="2"/>
    <x v="0"/>
    <n v="36"/>
    <n v="0"/>
    <n v="2180"/>
    <n v="43"/>
    <n v="154"/>
    <n v="8"/>
    <n v="2"/>
    <n v="1"/>
    <n v="1"/>
    <n v="25"/>
    <n v="793.03499999999997"/>
    <n v="0"/>
    <n v="1"/>
    <x v="0"/>
    <n v="36.377752293577984"/>
  </r>
  <r>
    <s v="ID-539"/>
    <n v="0"/>
    <x v="0"/>
    <n v="27"/>
    <n v="0"/>
    <n v="715"/>
    <n v="26"/>
    <n v="172"/>
    <n v="1"/>
    <n v="2"/>
    <n v="2"/>
    <n v="1"/>
    <n v="25"/>
    <n v="807.34500000000003"/>
    <n v="0"/>
    <n v="1"/>
    <x v="0"/>
    <n v="112.91538461538462"/>
  </r>
  <r>
    <s v="ID-540"/>
    <n v="0"/>
    <x v="0"/>
    <n v="26"/>
    <n v="0"/>
    <n v="968"/>
    <n v="29"/>
    <n v="9"/>
    <n v="53"/>
    <n v="4"/>
    <n v="1"/>
    <n v="1"/>
    <n v="45"/>
    <n v="47.424999999999997"/>
    <n v="0"/>
    <n v="2"/>
    <x v="0"/>
    <n v="4.8992768595041323"/>
  </r>
  <r>
    <s v="ID-541"/>
    <n v="7"/>
    <x v="0"/>
    <n v="27"/>
    <n v="0"/>
    <n v="100"/>
    <n v="15"/>
    <n v="0"/>
    <n v="3"/>
    <n v="2"/>
    <n v="1"/>
    <n v="2"/>
    <n v="25"/>
    <n v="5.1749999999999998"/>
    <n v="0"/>
    <n v="1"/>
    <x v="0"/>
    <n v="5.1749999999999998"/>
  </r>
  <r>
    <s v="ID-542"/>
    <n v="0"/>
    <x v="0"/>
    <n v="26"/>
    <n v="0"/>
    <n v="0"/>
    <n v="0"/>
    <n v="0"/>
    <n v="0"/>
    <n v="4"/>
    <n v="1"/>
    <n v="2"/>
    <n v="45"/>
    <n v="0"/>
    <n v="0"/>
    <n v="1"/>
    <x v="0"/>
    <n v="0"/>
  </r>
  <r>
    <s v="ID-543"/>
    <n v="6"/>
    <x v="0"/>
    <n v="25"/>
    <n v="0"/>
    <n v="625"/>
    <n v="22"/>
    <n v="0"/>
    <n v="2"/>
    <n v="2"/>
    <n v="1"/>
    <n v="1"/>
    <n v="25"/>
    <n v="29.114999999999998"/>
    <n v="0"/>
    <n v="1"/>
    <x v="0"/>
    <n v="4.6584000000000003"/>
  </r>
  <r>
    <s v="ID-544"/>
    <n v="0"/>
    <x v="0"/>
    <n v="25"/>
    <n v="0"/>
    <n v="2625"/>
    <n v="51"/>
    <n v="0"/>
    <n v="8"/>
    <n v="3"/>
    <n v="1"/>
    <n v="1"/>
    <n v="30"/>
    <n v="107.04"/>
    <n v="0"/>
    <n v="1"/>
    <x v="0"/>
    <n v="4.0777142857142863"/>
  </r>
  <r>
    <s v="ID-545"/>
    <n v="0"/>
    <x v="0"/>
    <n v="18"/>
    <n v="0"/>
    <n v="1095"/>
    <n v="16"/>
    <n v="7"/>
    <n v="6"/>
    <n v="2"/>
    <n v="1"/>
    <n v="1"/>
    <n v="25"/>
    <n v="81.495000000000005"/>
    <n v="0"/>
    <n v="1"/>
    <x v="0"/>
    <n v="7.4424657534246581"/>
  </r>
  <r>
    <s v="ID-546"/>
    <n v="12"/>
    <x v="0"/>
    <n v="17"/>
    <n v="0"/>
    <n v="5793"/>
    <n v="131"/>
    <n v="64"/>
    <n v="27"/>
    <n v="1"/>
    <n v="2"/>
    <n v="1"/>
    <n v="15"/>
    <n v="677.82"/>
    <n v="0"/>
    <n v="3"/>
    <x v="1"/>
    <n v="11.700673226307613"/>
  </r>
  <r>
    <s v="ID-547"/>
    <n v="8"/>
    <x v="0"/>
    <n v="15"/>
    <n v="0"/>
    <n v="8333"/>
    <n v="161"/>
    <n v="52"/>
    <n v="25"/>
    <n v="4"/>
    <n v="1"/>
    <n v="1"/>
    <n v="45"/>
    <n v="342.35"/>
    <n v="0"/>
    <n v="3"/>
    <x v="1"/>
    <n v="4.1083643345733831"/>
  </r>
  <r>
    <s v="ID-548"/>
    <n v="4"/>
    <x v="0"/>
    <n v="16"/>
    <n v="1"/>
    <n v="2253"/>
    <n v="35"/>
    <n v="10"/>
    <n v="4"/>
    <n v="3"/>
    <n v="1"/>
    <n v="1"/>
    <n v="30"/>
    <n v="131.52000000000001"/>
    <n v="0"/>
    <n v="0"/>
    <x v="0"/>
    <n v="5.8375499334221042"/>
  </r>
  <r>
    <s v="ID-549"/>
    <n v="0"/>
    <x v="0"/>
    <n v="9"/>
    <n v="0"/>
    <n v="3790"/>
    <n v="30"/>
    <n v="194"/>
    <n v="23"/>
    <n v="3"/>
    <n v="1"/>
    <n v="1"/>
    <n v="30"/>
    <n v="928.8"/>
    <n v="0"/>
    <n v="1"/>
    <x v="0"/>
    <n v="24.506596306068602"/>
  </r>
  <r>
    <s v="ID-550"/>
    <n v="0"/>
    <x v="1"/>
    <n v="9"/>
    <n v="0"/>
    <n v="888"/>
    <n v="9"/>
    <n v="0"/>
    <n v="3"/>
    <n v="3"/>
    <n v="1"/>
    <n v="1"/>
    <n v="30"/>
    <n v="35.880000000000003"/>
    <n v="1"/>
    <n v="3"/>
    <x v="1"/>
    <n v="4.0405405405405412"/>
  </r>
  <r>
    <s v="ID-551"/>
    <n v="8"/>
    <x v="0"/>
    <n v="39"/>
    <n v="1"/>
    <n v="4485"/>
    <n v="77"/>
    <n v="37"/>
    <n v="21"/>
    <n v="3"/>
    <n v="1"/>
    <n v="1"/>
    <n v="30"/>
    <n v="330.48"/>
    <n v="0"/>
    <n v="0"/>
    <x v="0"/>
    <n v="7.3685618729096998"/>
  </r>
  <r>
    <s v="ID-552"/>
    <n v="0"/>
    <x v="0"/>
    <n v="40"/>
    <n v="0"/>
    <n v="433"/>
    <n v="11"/>
    <n v="39"/>
    <n v="8"/>
    <n v="3"/>
    <n v="1"/>
    <n v="2"/>
    <n v="30"/>
    <n v="173.76"/>
    <n v="0"/>
    <n v="1"/>
    <x v="0"/>
    <n v="40.12933025404157"/>
  </r>
  <r>
    <s v="ID-553"/>
    <n v="10"/>
    <x v="0"/>
    <n v="38"/>
    <n v="1"/>
    <n v="2568"/>
    <n v="66"/>
    <n v="391"/>
    <n v="28"/>
    <n v="3"/>
    <n v="1"/>
    <n v="1"/>
    <n v="30"/>
    <n v="1669.36"/>
    <n v="0"/>
    <n v="0"/>
    <x v="0"/>
    <n v="65.006230529595015"/>
  </r>
  <r>
    <s v="ID-554"/>
    <n v="10"/>
    <x v="0"/>
    <n v="39"/>
    <n v="1"/>
    <n v="4313"/>
    <n v="72"/>
    <n v="33"/>
    <n v="39"/>
    <n v="1"/>
    <n v="1"/>
    <n v="1"/>
    <n v="15"/>
    <n v="422.67500000000001"/>
    <n v="0"/>
    <n v="0"/>
    <x v="0"/>
    <n v="9.8000231857175972"/>
  </r>
  <r>
    <s v="ID-555"/>
    <n v="3"/>
    <x v="0"/>
    <n v="39"/>
    <n v="1"/>
    <n v="2508"/>
    <n v="64"/>
    <n v="34"/>
    <n v="37"/>
    <n v="2"/>
    <n v="1"/>
    <n v="1"/>
    <n v="25"/>
    <n v="268.74"/>
    <n v="0"/>
    <n v="0"/>
    <x v="0"/>
    <n v="10.715311004784688"/>
  </r>
  <r>
    <s v="ID-556"/>
    <n v="11"/>
    <x v="0"/>
    <n v="39"/>
    <n v="2"/>
    <n v="3890"/>
    <n v="88"/>
    <n v="64"/>
    <n v="32"/>
    <n v="3"/>
    <n v="1"/>
    <n v="1"/>
    <n v="30"/>
    <n v="415.12"/>
    <n v="0"/>
    <n v="2"/>
    <x v="0"/>
    <n v="10.671465295629821"/>
  </r>
  <r>
    <s v="ID-557"/>
    <n v="4"/>
    <x v="0"/>
    <n v="39"/>
    <n v="1"/>
    <n v="2475"/>
    <n v="45"/>
    <n v="317"/>
    <n v="22"/>
    <n v="4"/>
    <n v="1"/>
    <n v="1"/>
    <n v="45"/>
    <n v="855.5"/>
    <n v="0"/>
    <n v="0"/>
    <x v="0"/>
    <n v="34.565656565656568"/>
  </r>
  <r>
    <s v="ID-558"/>
    <n v="13"/>
    <x v="0"/>
    <n v="38"/>
    <n v="3"/>
    <n v="9230"/>
    <n v="127"/>
    <n v="176"/>
    <n v="47"/>
    <n v="3"/>
    <n v="1"/>
    <n v="1"/>
    <n v="30"/>
    <n v="1078.28"/>
    <n v="0"/>
    <n v="2"/>
    <x v="0"/>
    <n v="11.682340195016252"/>
  </r>
  <r>
    <s v="ID-559"/>
    <n v="7"/>
    <x v="0"/>
    <n v="39"/>
    <n v="1"/>
    <n v="13888"/>
    <n v="175"/>
    <n v="32"/>
    <n v="48"/>
    <n v="3"/>
    <n v="1"/>
    <n v="1"/>
    <n v="30"/>
    <n v="690.52"/>
    <n v="0"/>
    <n v="3"/>
    <x v="1"/>
    <n v="4.9720622119815667"/>
  </r>
  <r>
    <s v="ID-560"/>
    <n v="7"/>
    <x v="0"/>
    <n v="39"/>
    <n v="2"/>
    <n v="4630"/>
    <n v="89"/>
    <n v="34"/>
    <n v="29"/>
    <n v="3"/>
    <n v="1"/>
    <n v="1"/>
    <n v="30"/>
    <n v="324.76"/>
    <n v="0"/>
    <n v="0"/>
    <x v="0"/>
    <n v="7.0142548596112313"/>
  </r>
  <r>
    <s v="ID-561"/>
    <n v="6"/>
    <x v="0"/>
    <n v="39"/>
    <n v="1"/>
    <n v="6033"/>
    <n v="101"/>
    <n v="39"/>
    <n v="16"/>
    <n v="3"/>
    <n v="1"/>
    <n v="1"/>
    <n v="30"/>
    <n v="401.36"/>
    <n v="0"/>
    <n v="0"/>
    <x v="0"/>
    <n v="6.652743245483177"/>
  </r>
  <r>
    <s v="ID-562"/>
    <n v="9"/>
    <x v="1"/>
    <n v="39"/>
    <n v="0"/>
    <n v="2353"/>
    <n v="60"/>
    <n v="40"/>
    <n v="21"/>
    <n v="3"/>
    <n v="1"/>
    <n v="2"/>
    <n v="30"/>
    <n v="256.52"/>
    <n v="0"/>
    <n v="3"/>
    <x v="1"/>
    <n v="10.901827454313642"/>
  </r>
  <r>
    <s v="ID-563"/>
    <n v="25"/>
    <x v="0"/>
    <n v="39"/>
    <n v="4"/>
    <n v="15255"/>
    <n v="231"/>
    <n v="86"/>
    <n v="36"/>
    <n v="3"/>
    <n v="1"/>
    <n v="1"/>
    <n v="30"/>
    <n v="963.44"/>
    <n v="0"/>
    <n v="4"/>
    <x v="1"/>
    <n v="6.3155686660111439"/>
  </r>
  <r>
    <s v="ID-564"/>
    <n v="4"/>
    <x v="0"/>
    <n v="39"/>
    <n v="2"/>
    <n v="3210"/>
    <n v="33"/>
    <n v="515"/>
    <n v="12"/>
    <n v="4"/>
    <n v="1"/>
    <n v="1"/>
    <n v="45"/>
    <n v="1368.575"/>
    <n v="0"/>
    <n v="0"/>
    <x v="0"/>
    <n v="42.634735202492216"/>
  </r>
  <r>
    <s v="ID-565"/>
    <n v="9"/>
    <x v="0"/>
    <n v="38"/>
    <n v="1"/>
    <n v="15600"/>
    <n v="188"/>
    <n v="182"/>
    <n v="34"/>
    <n v="2"/>
    <n v="1"/>
    <n v="1"/>
    <n v="25"/>
    <n v="1529.46"/>
    <n v="0"/>
    <n v="2"/>
    <x v="0"/>
    <n v="9.8042307692307684"/>
  </r>
  <r>
    <s v="ID-566"/>
    <n v="3"/>
    <x v="0"/>
    <n v="38"/>
    <n v="2"/>
    <n v="6615"/>
    <n v="92"/>
    <n v="218"/>
    <n v="30"/>
    <n v="3"/>
    <n v="1"/>
    <n v="1"/>
    <n v="30"/>
    <n v="1140.28"/>
    <n v="0"/>
    <n v="0"/>
    <x v="0"/>
    <n v="17.237792894935751"/>
  </r>
  <r>
    <s v="ID-567"/>
    <n v="0"/>
    <x v="0"/>
    <n v="38"/>
    <n v="0"/>
    <n v="990"/>
    <n v="20"/>
    <n v="32"/>
    <n v="15"/>
    <n v="2"/>
    <n v="1"/>
    <n v="2"/>
    <n v="25"/>
    <n v="189.45"/>
    <n v="0"/>
    <n v="1"/>
    <x v="0"/>
    <n v="19.136363636363633"/>
  </r>
  <r>
    <s v="ID-568"/>
    <n v="2"/>
    <x v="0"/>
    <n v="39"/>
    <n v="0"/>
    <n v="825"/>
    <n v="20"/>
    <n v="45"/>
    <n v="12"/>
    <n v="3"/>
    <n v="1"/>
    <n v="2"/>
    <n v="30"/>
    <n v="213.8"/>
    <n v="0"/>
    <n v="1"/>
    <x v="0"/>
    <n v="25.915151515151518"/>
  </r>
  <r>
    <s v="ID-569"/>
    <n v="0"/>
    <x v="0"/>
    <n v="38"/>
    <n v="0"/>
    <n v="115"/>
    <n v="6"/>
    <n v="32"/>
    <n v="4"/>
    <n v="2"/>
    <n v="1"/>
    <n v="2"/>
    <n v="25"/>
    <n v="149.44499999999999"/>
    <n v="1"/>
    <n v="1"/>
    <x v="0"/>
    <n v="129.95217391304348"/>
  </r>
  <r>
    <s v="ID-570"/>
    <n v="3"/>
    <x v="0"/>
    <n v="38"/>
    <n v="1"/>
    <n v="7623"/>
    <n v="133"/>
    <n v="416"/>
    <n v="47"/>
    <n v="3"/>
    <n v="1"/>
    <n v="1"/>
    <n v="30"/>
    <n v="1974.24"/>
    <n v="0"/>
    <n v="0"/>
    <x v="0"/>
    <n v="25.898465171192441"/>
  </r>
  <r>
    <s v="ID-571"/>
    <n v="7"/>
    <x v="0"/>
    <n v="38"/>
    <n v="2"/>
    <n v="11580"/>
    <n v="160"/>
    <n v="43"/>
    <n v="51"/>
    <n v="4"/>
    <n v="1"/>
    <n v="1"/>
    <n v="45"/>
    <n v="401"/>
    <n v="0"/>
    <n v="3"/>
    <x v="1"/>
    <n v="3.4628670120898097"/>
  </r>
  <r>
    <s v="ID-572"/>
    <n v="8"/>
    <x v="0"/>
    <n v="38"/>
    <n v="2"/>
    <n v="6833"/>
    <n v="81"/>
    <n v="140"/>
    <n v="41"/>
    <n v="2"/>
    <n v="1"/>
    <n v="1"/>
    <n v="25"/>
    <n v="941.13"/>
    <n v="0"/>
    <n v="0"/>
    <x v="0"/>
    <n v="13.773306014927558"/>
  </r>
  <r>
    <s v="ID-573"/>
    <n v="23"/>
    <x v="1"/>
    <n v="34"/>
    <n v="0"/>
    <n v="1070"/>
    <n v="53"/>
    <n v="48"/>
    <n v="21"/>
    <n v="3"/>
    <n v="1"/>
    <n v="2"/>
    <n v="30"/>
    <n v="236.92"/>
    <n v="1"/>
    <n v="5"/>
    <x v="1"/>
    <n v="22.142056074766352"/>
  </r>
  <r>
    <s v="ID-574"/>
    <n v="21"/>
    <x v="0"/>
    <n v="37"/>
    <n v="9"/>
    <n v="10550"/>
    <n v="99"/>
    <n v="33"/>
    <n v="46"/>
    <n v="5"/>
    <n v="1"/>
    <n v="1"/>
    <n v="55"/>
    <n v="209.23500000000001"/>
    <n v="0"/>
    <n v="2"/>
    <x v="0"/>
    <n v="1.9832701421800949"/>
  </r>
  <r>
    <s v="ID-575"/>
    <n v="13"/>
    <x v="0"/>
    <n v="37"/>
    <n v="2"/>
    <n v="5933"/>
    <n v="104"/>
    <n v="58"/>
    <n v="28"/>
    <n v="3"/>
    <n v="1"/>
    <n v="1"/>
    <n v="30"/>
    <n v="473.48"/>
    <n v="0"/>
    <n v="2"/>
    <x v="0"/>
    <n v="7.9804483397943704"/>
  </r>
  <r>
    <s v="ID-576"/>
    <n v="1"/>
    <x v="0"/>
    <n v="35"/>
    <n v="1"/>
    <n v="2955"/>
    <n v="28"/>
    <n v="32"/>
    <n v="18"/>
    <n v="3"/>
    <n v="1"/>
    <n v="1"/>
    <n v="30"/>
    <n v="247.32"/>
    <n v="0"/>
    <n v="0"/>
    <x v="0"/>
    <n v="8.3695431472081214"/>
  </r>
  <r>
    <s v="ID-577"/>
    <n v="9"/>
    <x v="1"/>
    <n v="36"/>
    <n v="0"/>
    <n v="3105"/>
    <n v="47"/>
    <n v="41"/>
    <n v="20"/>
    <n v="3"/>
    <n v="1"/>
    <n v="2"/>
    <n v="30"/>
    <n v="290.08"/>
    <n v="1"/>
    <n v="3"/>
    <x v="1"/>
    <n v="9.3423510466988731"/>
  </r>
  <r>
    <s v="ID-578"/>
    <n v="9"/>
    <x v="0"/>
    <n v="37"/>
    <n v="0"/>
    <n v="2383"/>
    <n v="50"/>
    <n v="66"/>
    <n v="35"/>
    <n v="4"/>
    <n v="1"/>
    <n v="2"/>
    <n v="45"/>
    <n v="225.82499999999999"/>
    <n v="1"/>
    <n v="1"/>
    <x v="0"/>
    <n v="9.4765002098195552"/>
  </r>
  <r>
    <s v="ID-579"/>
    <n v="0"/>
    <x v="0"/>
    <n v="37"/>
    <n v="0"/>
    <n v="248"/>
    <n v="8"/>
    <n v="32"/>
    <n v="6"/>
    <n v="3"/>
    <n v="1"/>
    <n v="2"/>
    <n v="30"/>
    <n v="138.24"/>
    <n v="1"/>
    <n v="1"/>
    <x v="0"/>
    <n v="55.741935483870975"/>
  </r>
  <r>
    <s v="ID-580"/>
    <n v="1"/>
    <x v="0"/>
    <n v="37"/>
    <n v="1"/>
    <n v="1783"/>
    <n v="31"/>
    <n v="32"/>
    <n v="10"/>
    <n v="4"/>
    <n v="1"/>
    <n v="1"/>
    <n v="45"/>
    <n v="125.35"/>
    <n v="0"/>
    <n v="0"/>
    <x v="0"/>
    <n v="7.0302860347728551"/>
  </r>
  <r>
    <s v="ID-581"/>
    <n v="3"/>
    <x v="0"/>
    <n v="34"/>
    <n v="2"/>
    <n v="6900"/>
    <n v="103"/>
    <n v="46"/>
    <n v="26"/>
    <n v="5"/>
    <n v="1"/>
    <n v="1"/>
    <n v="55"/>
    <n v="174.04499999999999"/>
    <n v="0"/>
    <n v="0"/>
    <x v="0"/>
    <n v="2.5223913043478259"/>
  </r>
  <r>
    <s v="ID-582"/>
    <n v="0"/>
    <x v="0"/>
    <n v="37"/>
    <n v="0"/>
    <n v="743"/>
    <n v="13"/>
    <n v="41"/>
    <n v="8"/>
    <n v="4"/>
    <n v="1"/>
    <n v="2"/>
    <n v="45"/>
    <n v="121.4"/>
    <n v="1"/>
    <n v="1"/>
    <x v="0"/>
    <n v="16.339165545087482"/>
  </r>
  <r>
    <s v="ID-583"/>
    <n v="0"/>
    <x v="0"/>
    <n v="37"/>
    <n v="2"/>
    <n v="453"/>
    <n v="10"/>
    <n v="36"/>
    <n v="6"/>
    <n v="5"/>
    <n v="1"/>
    <n v="1"/>
    <n v="55"/>
    <n v="60.945"/>
    <n v="0"/>
    <n v="0"/>
    <x v="0"/>
    <n v="13.45364238410596"/>
  </r>
  <r>
    <s v="ID-584"/>
    <n v="25"/>
    <x v="0"/>
    <n v="32"/>
    <n v="4"/>
    <n v="16190"/>
    <n v="244"/>
    <n v="32"/>
    <n v="84"/>
    <n v="2"/>
    <n v="2"/>
    <n v="1"/>
    <n v="25"/>
    <n v="883.53"/>
    <n v="0"/>
    <n v="5"/>
    <x v="1"/>
    <n v="5.4572575663990115"/>
  </r>
  <r>
    <s v="ID-585"/>
    <n v="6"/>
    <x v="0"/>
    <n v="35"/>
    <n v="4"/>
    <n v="7080"/>
    <n v="122"/>
    <n v="303"/>
    <n v="37"/>
    <n v="3"/>
    <n v="2"/>
    <n v="1"/>
    <n v="30"/>
    <n v="1500.08"/>
    <n v="0"/>
    <n v="0"/>
    <x v="0"/>
    <n v="21.187570621468925"/>
  </r>
  <r>
    <s v="ID-586"/>
    <n v="2"/>
    <x v="0"/>
    <n v="37"/>
    <n v="1"/>
    <n v="3833"/>
    <n v="88"/>
    <n v="34"/>
    <n v="32"/>
    <n v="3"/>
    <n v="1"/>
    <n v="1"/>
    <n v="30"/>
    <n v="292.83999999999997"/>
    <n v="0"/>
    <n v="0"/>
    <x v="0"/>
    <n v="7.6399686929298189"/>
  </r>
  <r>
    <s v="ID-587"/>
    <n v="3"/>
    <x v="0"/>
    <n v="36"/>
    <n v="0"/>
    <n v="1780"/>
    <n v="50"/>
    <n v="70"/>
    <n v="24"/>
    <n v="4"/>
    <n v="1"/>
    <n v="2"/>
    <n v="45"/>
    <n v="220.75"/>
    <n v="0"/>
    <n v="1"/>
    <x v="0"/>
    <n v="12.401685393258427"/>
  </r>
  <r>
    <s v="ID-588"/>
    <n v="6"/>
    <x v="0"/>
    <n v="37"/>
    <n v="1"/>
    <n v="2895"/>
    <n v="59"/>
    <n v="207"/>
    <n v="27"/>
    <n v="2"/>
    <n v="1"/>
    <n v="1"/>
    <n v="25"/>
    <n v="1064.43"/>
    <n v="0"/>
    <n v="0"/>
    <x v="0"/>
    <n v="36.767875647668397"/>
  </r>
  <r>
    <s v="ID-589"/>
    <n v="4"/>
    <x v="0"/>
    <n v="28"/>
    <n v="2"/>
    <n v="1430"/>
    <n v="42"/>
    <n v="225"/>
    <n v="15"/>
    <n v="3"/>
    <n v="2"/>
    <n v="1"/>
    <n v="30"/>
    <n v="958.88"/>
    <n v="0"/>
    <n v="0"/>
    <x v="0"/>
    <n v="67.054545454545462"/>
  </r>
  <r>
    <s v="ID-590"/>
    <n v="4"/>
    <x v="0"/>
    <n v="27"/>
    <n v="1"/>
    <n v="1683"/>
    <n v="45"/>
    <n v="62"/>
    <n v="72"/>
    <n v="5"/>
    <n v="1"/>
    <n v="1"/>
    <n v="55"/>
    <n v="118.92"/>
    <n v="0"/>
    <n v="1"/>
    <x v="0"/>
    <n v="7.0659536541889487"/>
  </r>
  <r>
    <s v="ID-591"/>
    <n v="11"/>
    <x v="0"/>
    <n v="28"/>
    <n v="0"/>
    <n v="815"/>
    <n v="31"/>
    <n v="42"/>
    <n v="11"/>
    <n v="3"/>
    <n v="1"/>
    <n v="2"/>
    <n v="30"/>
    <n v="201.84"/>
    <n v="0"/>
    <n v="3"/>
    <x v="1"/>
    <n v="24.76564417177914"/>
  </r>
  <r>
    <s v="ID-592"/>
    <n v="0"/>
    <x v="0"/>
    <n v="27"/>
    <n v="0"/>
    <n v="940"/>
    <n v="16"/>
    <n v="53"/>
    <n v="7"/>
    <n v="4"/>
    <n v="1"/>
    <n v="2"/>
    <n v="45"/>
    <n v="156.4"/>
    <n v="0"/>
    <n v="1"/>
    <x v="0"/>
    <n v="16.638297872340427"/>
  </r>
  <r>
    <s v="ID-593"/>
    <n v="10"/>
    <x v="0"/>
    <n v="26"/>
    <n v="1"/>
    <n v="1340"/>
    <n v="38"/>
    <n v="51"/>
    <n v="17"/>
    <n v="2"/>
    <n v="1"/>
    <n v="1"/>
    <n v="25"/>
    <n v="291.51"/>
    <n v="0"/>
    <n v="0"/>
    <x v="0"/>
    <n v="21.754477611940299"/>
  </r>
  <r>
    <s v="ID-594"/>
    <n v="2"/>
    <x v="0"/>
    <n v="26"/>
    <n v="1"/>
    <n v="3340"/>
    <n v="67"/>
    <n v="40"/>
    <n v="27"/>
    <n v="3"/>
    <n v="1"/>
    <n v="1"/>
    <n v="30"/>
    <n v="296.27999999999997"/>
    <n v="0"/>
    <n v="0"/>
    <x v="0"/>
    <n v="8.8706586826347298"/>
  </r>
  <r>
    <s v="ID-595"/>
    <n v="2"/>
    <x v="0"/>
    <n v="19"/>
    <n v="1"/>
    <n v="1810"/>
    <n v="32"/>
    <n v="60"/>
    <n v="18"/>
    <n v="3"/>
    <n v="1"/>
    <n v="1"/>
    <n v="30"/>
    <n v="313.68"/>
    <n v="0"/>
    <n v="0"/>
    <x v="0"/>
    <n v="17.330386740331491"/>
  </r>
  <r>
    <s v="ID-596"/>
    <n v="16"/>
    <x v="0"/>
    <n v="18"/>
    <n v="2"/>
    <n v="6508"/>
    <n v="147"/>
    <n v="117"/>
    <n v="46"/>
    <n v="2"/>
    <n v="2"/>
    <n v="1"/>
    <n v="25"/>
    <n v="825.97500000000002"/>
    <n v="0"/>
    <n v="4"/>
    <x v="1"/>
    <n v="12.691687154271666"/>
  </r>
  <r>
    <s v="ID-597"/>
    <n v="12"/>
    <x v="0"/>
    <n v="16"/>
    <n v="1"/>
    <n v="9048"/>
    <n v="177"/>
    <n v="105"/>
    <n v="44"/>
    <n v="5"/>
    <n v="1"/>
    <n v="1"/>
    <n v="55"/>
    <n v="295.875"/>
    <n v="0"/>
    <n v="4"/>
    <x v="1"/>
    <n v="3.2700596816976124"/>
  </r>
  <r>
    <s v="ID-598"/>
    <n v="8"/>
    <x v="0"/>
    <n v="17"/>
    <n v="4"/>
    <n v="2968"/>
    <n v="51"/>
    <n v="63"/>
    <n v="23"/>
    <n v="3"/>
    <n v="2"/>
    <n v="1"/>
    <n v="30"/>
    <n v="372.76"/>
    <n v="0"/>
    <n v="0"/>
    <x v="0"/>
    <n v="12.559299191374663"/>
  </r>
  <r>
    <s v="ID-599"/>
    <n v="2"/>
    <x v="0"/>
    <n v="10"/>
    <n v="2"/>
    <n v="4505"/>
    <n v="46"/>
    <n v="247"/>
    <n v="14"/>
    <n v="3"/>
    <n v="1"/>
    <n v="1"/>
    <n v="30"/>
    <n v="1170.04"/>
    <n v="0"/>
    <n v="0"/>
    <x v="0"/>
    <n v="25.972031076581576"/>
  </r>
  <r>
    <s v="ID-600"/>
    <n v="3"/>
    <x v="0"/>
    <n v="10"/>
    <n v="2"/>
    <n v="1603"/>
    <n v="25"/>
    <n v="32"/>
    <n v="11"/>
    <n v="3"/>
    <n v="1"/>
    <n v="1"/>
    <n v="30"/>
    <n v="193.12"/>
    <n v="1"/>
    <n v="0"/>
    <x v="0"/>
    <n v="12.047411104179663"/>
  </r>
  <r>
    <s v="ID-601"/>
    <n v="8"/>
    <x v="0"/>
    <n v="37"/>
    <n v="0"/>
    <n v="4255"/>
    <n v="65"/>
    <n v="0"/>
    <n v="13"/>
    <n v="2"/>
    <n v="1"/>
    <n v="1"/>
    <n v="25"/>
    <n v="194.4"/>
    <n v="0"/>
    <n v="1"/>
    <x v="0"/>
    <n v="4.5687426556991779"/>
  </r>
  <r>
    <s v="ID-602"/>
    <n v="0"/>
    <x v="0"/>
    <n v="38"/>
    <n v="0"/>
    <n v="0"/>
    <n v="0"/>
    <n v="0"/>
    <n v="0"/>
    <n v="2"/>
    <n v="1"/>
    <n v="2"/>
    <n v="25"/>
    <n v="0"/>
    <n v="0"/>
    <n v="1"/>
    <x v="0"/>
    <n v="0"/>
  </r>
  <r>
    <s v="ID-603"/>
    <n v="10"/>
    <x v="0"/>
    <n v="36"/>
    <n v="0"/>
    <n v="2338"/>
    <n v="54"/>
    <n v="327"/>
    <n v="20"/>
    <n v="2"/>
    <n v="1"/>
    <n v="1"/>
    <n v="25"/>
    <n v="1579.14"/>
    <n v="0"/>
    <n v="1"/>
    <x v="0"/>
    <n v="67.542343883661246"/>
  </r>
  <r>
    <s v="ID-604"/>
    <n v="10"/>
    <x v="0"/>
    <n v="37"/>
    <n v="0"/>
    <n v="4083"/>
    <n v="60"/>
    <n v="0"/>
    <n v="31"/>
    <n v="1"/>
    <n v="1"/>
    <n v="1"/>
    <n v="15"/>
    <n v="227.86500000000001"/>
    <n v="0"/>
    <n v="1"/>
    <x v="0"/>
    <n v="5.5808229243203531"/>
  </r>
  <r>
    <s v="ID-605"/>
    <n v="3"/>
    <x v="0"/>
    <n v="37"/>
    <n v="0"/>
    <n v="2278"/>
    <n v="52"/>
    <n v="0"/>
    <n v="29"/>
    <n v="1"/>
    <n v="1"/>
    <n v="1"/>
    <n v="15"/>
    <n v="128.15"/>
    <n v="0"/>
    <n v="1"/>
    <x v="0"/>
    <n v="5.6255487269534683"/>
  </r>
  <r>
    <s v="ID-606"/>
    <n v="11"/>
    <x v="0"/>
    <n v="37"/>
    <n v="0"/>
    <n v="3660"/>
    <n v="76"/>
    <n v="0"/>
    <n v="24"/>
    <n v="2"/>
    <n v="1"/>
    <n v="1"/>
    <n v="25"/>
    <n v="168.12"/>
    <n v="0"/>
    <n v="3"/>
    <x v="1"/>
    <n v="4.5934426229508194"/>
  </r>
  <r>
    <s v="ID-607"/>
    <n v="4"/>
    <x v="0"/>
    <n v="37"/>
    <n v="0"/>
    <n v="2245"/>
    <n v="33"/>
    <n v="253"/>
    <n v="14"/>
    <n v="3"/>
    <n v="1"/>
    <n v="1"/>
    <n v="30"/>
    <n v="1103.1199999999999"/>
    <n v="0"/>
    <n v="1"/>
    <x v="0"/>
    <n v="49.136748329621376"/>
  </r>
  <r>
    <s v="ID-608"/>
    <n v="13"/>
    <x v="0"/>
    <n v="36"/>
    <n v="1"/>
    <n v="9000"/>
    <n v="115"/>
    <n v="112"/>
    <n v="39"/>
    <n v="3"/>
    <n v="1"/>
    <n v="1"/>
    <n v="30"/>
    <n v="812.6"/>
    <n v="0"/>
    <n v="2"/>
    <x v="0"/>
    <n v="9.0288888888888899"/>
  </r>
  <r>
    <s v="ID-609"/>
    <n v="7"/>
    <x v="0"/>
    <n v="37"/>
    <n v="0"/>
    <n v="13658"/>
    <n v="163"/>
    <n v="0"/>
    <n v="40"/>
    <n v="3"/>
    <n v="1"/>
    <n v="1"/>
    <n v="30"/>
    <n v="552.84"/>
    <n v="0"/>
    <n v="3"/>
    <x v="1"/>
    <n v="4.0477375896910237"/>
  </r>
  <r>
    <s v="ID-610"/>
    <n v="7"/>
    <x v="0"/>
    <n v="37"/>
    <n v="0"/>
    <n v="4400"/>
    <n v="77"/>
    <n v="0"/>
    <n v="21"/>
    <n v="3"/>
    <n v="1"/>
    <n v="1"/>
    <n v="30"/>
    <n v="179.08"/>
    <n v="0"/>
    <n v="1"/>
    <x v="0"/>
    <n v="4.07"/>
  </r>
  <r>
    <s v="ID-611"/>
    <n v="6"/>
    <x v="0"/>
    <n v="37"/>
    <n v="0"/>
    <n v="5803"/>
    <n v="89"/>
    <n v="0"/>
    <n v="8"/>
    <n v="2"/>
    <n v="1"/>
    <n v="1"/>
    <n v="25"/>
    <n v="265.14"/>
    <n v="0"/>
    <n v="1"/>
    <x v="0"/>
    <n v="4.5690160261933483"/>
  </r>
  <r>
    <s v="ID-612"/>
    <n v="9"/>
    <x v="0"/>
    <n v="37"/>
    <n v="0"/>
    <n v="2123"/>
    <n v="48"/>
    <n v="0"/>
    <n v="13"/>
    <n v="3"/>
    <n v="1"/>
    <n v="2"/>
    <n v="30"/>
    <n v="86.84"/>
    <n v="0"/>
    <n v="1"/>
    <x v="0"/>
    <n v="4.0904380593499763"/>
  </r>
  <r>
    <s v="ID-613"/>
    <n v="25"/>
    <x v="0"/>
    <n v="37"/>
    <n v="2"/>
    <n v="15025"/>
    <n v="219"/>
    <n v="22"/>
    <n v="28"/>
    <n v="3"/>
    <n v="1"/>
    <n v="1"/>
    <n v="30"/>
    <n v="697.76"/>
    <n v="0"/>
    <n v="4"/>
    <x v="1"/>
    <n v="4.6439933444259571"/>
  </r>
  <r>
    <s v="ID-614"/>
    <n v="4"/>
    <x v="0"/>
    <n v="37"/>
    <n v="0"/>
    <n v="2980"/>
    <n v="21"/>
    <n v="451"/>
    <n v="4"/>
    <n v="3"/>
    <n v="1"/>
    <n v="1"/>
    <n v="30"/>
    <n v="1924.04"/>
    <n v="0"/>
    <n v="1"/>
    <x v="0"/>
    <n v="64.565100671140939"/>
  </r>
  <r>
    <s v="ID-615"/>
    <n v="9"/>
    <x v="0"/>
    <n v="36"/>
    <n v="0"/>
    <n v="15370"/>
    <n v="176"/>
    <n v="118"/>
    <n v="26"/>
    <n v="2"/>
    <n v="1"/>
    <n v="1"/>
    <n v="25"/>
    <n v="1230.57"/>
    <n v="0"/>
    <n v="3"/>
    <x v="1"/>
    <n v="8.0063109954456735"/>
  </r>
  <r>
    <s v="ID-616"/>
    <n v="3"/>
    <x v="0"/>
    <n v="36"/>
    <n v="0"/>
    <n v="6385"/>
    <n v="80"/>
    <n v="154"/>
    <n v="22"/>
    <n v="3"/>
    <n v="1"/>
    <n v="1"/>
    <n v="30"/>
    <n v="874.6"/>
    <n v="0"/>
    <n v="1"/>
    <x v="0"/>
    <n v="13.69772905246672"/>
  </r>
  <r>
    <s v="ID-617"/>
    <n v="0"/>
    <x v="0"/>
    <n v="36"/>
    <n v="0"/>
    <n v="760"/>
    <n v="8"/>
    <n v="0"/>
    <n v="7"/>
    <n v="2"/>
    <n v="1"/>
    <n v="2"/>
    <n v="25"/>
    <n v="34.56"/>
    <n v="0"/>
    <n v="1"/>
    <x v="0"/>
    <n v="4.5473684210526315"/>
  </r>
  <r>
    <s v="ID-618"/>
    <n v="2"/>
    <x v="0"/>
    <n v="37"/>
    <n v="0"/>
    <n v="595"/>
    <n v="8"/>
    <n v="0"/>
    <n v="4"/>
    <n v="2"/>
    <n v="1"/>
    <n v="2"/>
    <n v="25"/>
    <n v="27.135000000000002"/>
    <n v="0"/>
    <n v="1"/>
    <x v="0"/>
    <n v="4.5605042016806729"/>
  </r>
  <r>
    <s v="ID-619"/>
    <n v="0"/>
    <x v="1"/>
    <n v="36"/>
    <n v="0"/>
    <n v="0"/>
    <n v="0"/>
    <n v="0"/>
    <n v="0"/>
    <n v="2"/>
    <n v="1"/>
    <n v="2"/>
    <n v="25"/>
    <n v="0"/>
    <n v="1"/>
    <n v="3"/>
    <x v="1"/>
    <n v="0"/>
  </r>
  <r>
    <s v="ID-620"/>
    <n v="3"/>
    <x v="0"/>
    <n v="36"/>
    <n v="0"/>
    <n v="7393"/>
    <n v="121"/>
    <n v="352"/>
    <n v="39"/>
    <n v="2"/>
    <n v="1"/>
    <n v="1"/>
    <n v="25"/>
    <n v="1922.13"/>
    <n v="0"/>
    <n v="1"/>
    <x v="0"/>
    <n v="25.999323684566484"/>
  </r>
  <r>
    <s v="ID-621"/>
    <n v="7"/>
    <x v="0"/>
    <n v="36"/>
    <n v="0"/>
    <n v="11350"/>
    <n v="148"/>
    <n v="0"/>
    <n v="43"/>
    <n v="3"/>
    <n v="1"/>
    <n v="1"/>
    <n v="30"/>
    <n v="459.92"/>
    <n v="0"/>
    <n v="3"/>
    <x v="1"/>
    <n v="4.0521585903083706"/>
  </r>
  <r>
    <s v="ID-622"/>
    <n v="8"/>
    <x v="0"/>
    <n v="36"/>
    <n v="0"/>
    <n v="6603"/>
    <n v="69"/>
    <n v="76"/>
    <n v="33"/>
    <n v="2"/>
    <n v="1"/>
    <n v="1"/>
    <n v="25"/>
    <n v="642.24"/>
    <n v="0"/>
    <n v="1"/>
    <x v="0"/>
    <n v="9.726487960018174"/>
  </r>
  <r>
    <s v="ID-623"/>
    <n v="23"/>
    <x v="0"/>
    <n v="32"/>
    <n v="0"/>
    <n v="840"/>
    <n v="41"/>
    <n v="0"/>
    <n v="13"/>
    <n v="2"/>
    <n v="1"/>
    <n v="2"/>
    <n v="25"/>
    <n v="39.645000000000003"/>
    <n v="1"/>
    <n v="3"/>
    <x v="1"/>
    <n v="4.7196428571428575"/>
  </r>
  <r>
    <s v="ID-624"/>
    <n v="21"/>
    <x v="0"/>
    <n v="35"/>
    <n v="7"/>
    <n v="10320"/>
    <n v="87"/>
    <n v="0"/>
    <n v="38"/>
    <n v="4"/>
    <n v="2"/>
    <n v="1"/>
    <n v="45"/>
    <n v="260.17500000000001"/>
    <n v="0"/>
    <n v="2"/>
    <x v="0"/>
    <n v="2.5210755813953489"/>
  </r>
  <r>
    <s v="ID-625"/>
    <n v="13"/>
    <x v="1"/>
    <n v="35"/>
    <n v="0"/>
    <n v="5703"/>
    <n v="92"/>
    <n v="0"/>
    <n v="20"/>
    <n v="2"/>
    <n v="1"/>
    <n v="1"/>
    <n v="25"/>
    <n v="260.77499999999998"/>
    <n v="1"/>
    <n v="5"/>
    <x v="1"/>
    <n v="4.5725933719095213"/>
  </r>
  <r>
    <s v="ID-626"/>
    <n v="1"/>
    <x v="0"/>
    <n v="33"/>
    <n v="0"/>
    <n v="2725"/>
    <n v="16"/>
    <n v="0"/>
    <n v="10"/>
    <n v="3"/>
    <n v="1"/>
    <n v="1"/>
    <n v="30"/>
    <n v="109.64"/>
    <n v="0"/>
    <n v="1"/>
    <x v="0"/>
    <n v="4.0234862385321106"/>
  </r>
  <r>
    <s v="ID-627"/>
    <n v="9"/>
    <x v="1"/>
    <n v="34"/>
    <n v="0"/>
    <n v="2875"/>
    <n v="35"/>
    <n v="0"/>
    <n v="12"/>
    <n v="2"/>
    <n v="1"/>
    <n v="2"/>
    <n v="25"/>
    <n v="130.94999999999999"/>
    <n v="1"/>
    <n v="3"/>
    <x v="1"/>
    <n v="4.5547826086956515"/>
  </r>
  <r>
    <s v="ID-628"/>
    <n v="9"/>
    <x v="0"/>
    <n v="35"/>
    <n v="0"/>
    <n v="2153"/>
    <n v="38"/>
    <n v="2"/>
    <n v="27"/>
    <n v="3"/>
    <n v="1"/>
    <n v="2"/>
    <n v="30"/>
    <n v="95.64"/>
    <n v="1"/>
    <n v="1"/>
    <x v="0"/>
    <n v="4.4421737111007893"/>
  </r>
  <r>
    <s v="ID-629"/>
    <n v="0"/>
    <x v="0"/>
    <n v="35"/>
    <n v="0"/>
    <n v="0"/>
    <n v="0"/>
    <n v="0"/>
    <n v="0"/>
    <n v="2"/>
    <n v="1"/>
    <n v="2"/>
    <n v="25"/>
    <n v="0"/>
    <n v="1"/>
    <n v="1"/>
    <x v="0"/>
    <n v="0"/>
  </r>
  <r>
    <s v="ID-630"/>
    <n v="1"/>
    <x v="0"/>
    <n v="35"/>
    <n v="0"/>
    <n v="1553"/>
    <n v="19"/>
    <n v="0"/>
    <n v="2"/>
    <n v="3"/>
    <n v="1"/>
    <n v="1"/>
    <n v="30"/>
    <n v="62.88"/>
    <n v="0"/>
    <n v="1"/>
    <x v="0"/>
    <n v="4.0489375402446877"/>
  </r>
  <r>
    <s v="ID-631"/>
    <n v="3"/>
    <x v="0"/>
    <n v="32"/>
    <n v="0"/>
    <n v="6670"/>
    <n v="91"/>
    <n v="0"/>
    <n v="18"/>
    <n v="4"/>
    <n v="1"/>
    <n v="1"/>
    <n v="45"/>
    <n v="169.02500000000001"/>
    <n v="0"/>
    <n v="1"/>
    <x v="0"/>
    <n v="2.5341079460269866"/>
  </r>
  <r>
    <s v="ID-632"/>
    <n v="0"/>
    <x v="0"/>
    <n v="35"/>
    <n v="0"/>
    <n v="513"/>
    <n v="1"/>
    <n v="0"/>
    <n v="3"/>
    <n v="4"/>
    <n v="1"/>
    <n v="2"/>
    <n v="45"/>
    <n v="12.85"/>
    <n v="1"/>
    <n v="1"/>
    <x v="0"/>
    <n v="2.5048732943469787"/>
  </r>
  <r>
    <s v="ID-633"/>
    <n v="0"/>
    <x v="0"/>
    <n v="35"/>
    <n v="0"/>
    <n v="0"/>
    <n v="0"/>
    <n v="0"/>
    <n v="0"/>
    <n v="4"/>
    <n v="1"/>
    <n v="1"/>
    <n v="45"/>
    <n v="0"/>
    <n v="0"/>
    <n v="1"/>
    <x v="0"/>
    <n v="0"/>
  </r>
  <r>
    <s v="ID-634"/>
    <n v="25"/>
    <x v="0"/>
    <n v="30"/>
    <n v="2"/>
    <n v="15960"/>
    <n v="232"/>
    <n v="0"/>
    <n v="76"/>
    <n v="2"/>
    <n v="1"/>
    <n v="1"/>
    <n v="25"/>
    <n v="728.64"/>
    <n v="0"/>
    <n v="5"/>
    <x v="1"/>
    <n v="4.5654135338345867"/>
  </r>
  <r>
    <s v="ID-635"/>
    <n v="6"/>
    <x v="0"/>
    <n v="33"/>
    <n v="2"/>
    <n v="6850"/>
    <n v="110"/>
    <n v="239"/>
    <n v="29"/>
    <n v="2"/>
    <n v="2"/>
    <n v="1"/>
    <n v="25"/>
    <n v="1388.7"/>
    <n v="0"/>
    <n v="0"/>
    <x v="0"/>
    <n v="20.272992700729926"/>
  </r>
  <r>
    <s v="ID-636"/>
    <n v="2"/>
    <x v="0"/>
    <n v="35"/>
    <n v="0"/>
    <n v="3603"/>
    <n v="76"/>
    <n v="0"/>
    <n v="24"/>
    <n v="2"/>
    <n v="1"/>
    <n v="1"/>
    <n v="25"/>
    <n v="165.55500000000001"/>
    <n v="0"/>
    <n v="1"/>
    <x v="0"/>
    <n v="4.5949208992506252"/>
  </r>
  <r>
    <s v="ID-637"/>
    <n v="3"/>
    <x v="0"/>
    <n v="34"/>
    <n v="0"/>
    <n v="1550"/>
    <n v="38"/>
    <n v="6"/>
    <n v="16"/>
    <n v="3"/>
    <n v="1"/>
    <n v="2"/>
    <n v="30"/>
    <n v="87.52"/>
    <n v="0"/>
    <n v="1"/>
    <x v="0"/>
    <n v="5.6464516129032258"/>
  </r>
  <r>
    <s v="ID-638"/>
    <n v="6"/>
    <x v="0"/>
    <n v="35"/>
    <n v="0"/>
    <n v="2665"/>
    <n v="47"/>
    <n v="143"/>
    <n v="19"/>
    <n v="2"/>
    <n v="1"/>
    <n v="1"/>
    <n v="25"/>
    <n v="765.54"/>
    <n v="0"/>
    <n v="1"/>
    <x v="0"/>
    <n v="28.725703564727954"/>
  </r>
  <r>
    <s v="ID-639"/>
    <n v="4"/>
    <x v="0"/>
    <n v="26"/>
    <n v="0"/>
    <n v="1200"/>
    <n v="30"/>
    <n v="161"/>
    <n v="7"/>
    <n v="2"/>
    <n v="2"/>
    <n v="1"/>
    <n v="25"/>
    <n v="779.85"/>
    <n v="0"/>
    <n v="1"/>
    <x v="0"/>
    <n v="64.987499999999997"/>
  </r>
  <r>
    <s v="ID-640"/>
    <n v="4"/>
    <x v="0"/>
    <n v="25"/>
    <n v="0"/>
    <n v="1453"/>
    <n v="33"/>
    <n v="0"/>
    <n v="64"/>
    <n v="4"/>
    <n v="1"/>
    <n v="1"/>
    <n v="45"/>
    <n v="37.15"/>
    <n v="0"/>
    <n v="2"/>
    <x v="0"/>
    <n v="2.5567790777701305"/>
  </r>
  <r>
    <s v="ID-641"/>
    <n v="11"/>
    <x v="0"/>
    <n v="26"/>
    <n v="0"/>
    <n v="585"/>
    <n v="19"/>
    <n v="0"/>
    <n v="3"/>
    <n v="2"/>
    <n v="1"/>
    <n v="2"/>
    <n v="25"/>
    <n v="27.18"/>
    <n v="0"/>
    <n v="3"/>
    <x v="1"/>
    <n v="4.6461538461538465"/>
  </r>
  <r>
    <s v="ID-642"/>
    <n v="0"/>
    <x v="0"/>
    <n v="25"/>
    <n v="0"/>
    <n v="710"/>
    <n v="4"/>
    <n v="0"/>
    <n v="1"/>
    <n v="4"/>
    <n v="1"/>
    <n v="2"/>
    <n v="45"/>
    <n v="17.850000000000001"/>
    <n v="0"/>
    <n v="1"/>
    <x v="0"/>
    <n v="2.5140845070422539"/>
  </r>
  <r>
    <s v="ID-643"/>
    <n v="10"/>
    <x v="0"/>
    <n v="24"/>
    <n v="0"/>
    <n v="1110"/>
    <n v="26"/>
    <n v="0"/>
    <n v="9"/>
    <n v="2"/>
    <n v="1"/>
    <n v="1"/>
    <n v="25"/>
    <n v="51.12"/>
    <n v="0"/>
    <n v="1"/>
    <x v="0"/>
    <n v="4.6054054054054046"/>
  </r>
  <r>
    <s v="ID-644"/>
    <n v="2"/>
    <x v="0"/>
    <n v="24"/>
    <n v="0"/>
    <n v="3110"/>
    <n v="55"/>
    <n v="0"/>
    <n v="19"/>
    <n v="3"/>
    <n v="1"/>
    <n v="1"/>
    <n v="30"/>
    <n v="126.6"/>
    <n v="0"/>
    <n v="1"/>
    <x v="0"/>
    <n v="4.070739549839228"/>
  </r>
  <r>
    <s v="ID-645"/>
    <n v="2"/>
    <x v="0"/>
    <n v="17"/>
    <n v="0"/>
    <n v="1580"/>
    <n v="20"/>
    <n v="0"/>
    <n v="10"/>
    <n v="2"/>
    <n v="1"/>
    <n v="1"/>
    <n v="25"/>
    <n v="72"/>
    <n v="0"/>
    <n v="1"/>
    <x v="0"/>
    <n v="4.556962025316456"/>
  </r>
  <r>
    <s v="ID-646"/>
    <n v="16"/>
    <x v="0"/>
    <n v="16"/>
    <n v="0"/>
    <n v="6278"/>
    <n v="135"/>
    <n v="53"/>
    <n v="38"/>
    <n v="1"/>
    <n v="2"/>
    <n v="1"/>
    <n v="15"/>
    <n v="644.21500000000003"/>
    <n v="0"/>
    <n v="3"/>
    <x v="1"/>
    <n v="10.261468620579803"/>
  </r>
  <r>
    <s v="ID-647"/>
    <n v="12"/>
    <x v="0"/>
    <n v="14"/>
    <n v="0"/>
    <n v="8818"/>
    <n v="165"/>
    <n v="41"/>
    <n v="36"/>
    <n v="4"/>
    <n v="1"/>
    <n v="1"/>
    <n v="45"/>
    <n v="327.07499999999999"/>
    <n v="0"/>
    <n v="5"/>
    <x v="1"/>
    <n v="3.7091744159673397"/>
  </r>
  <r>
    <s v="ID-648"/>
    <n v="8"/>
    <x v="0"/>
    <n v="15"/>
    <n v="2"/>
    <n v="2738"/>
    <n v="39"/>
    <n v="0"/>
    <n v="15"/>
    <n v="3"/>
    <n v="1"/>
    <n v="1"/>
    <n v="30"/>
    <n v="111.08"/>
    <n v="0"/>
    <n v="0"/>
    <x v="0"/>
    <n v="4.056975894813732"/>
  </r>
  <r>
    <s v="ID-649"/>
    <n v="2"/>
    <x v="0"/>
    <n v="8"/>
    <n v="0"/>
    <n v="4275"/>
    <n v="34"/>
    <n v="183"/>
    <n v="6"/>
    <n v="3"/>
    <n v="1"/>
    <n v="1"/>
    <n v="30"/>
    <n v="904.36"/>
    <n v="0"/>
    <n v="1"/>
    <x v="0"/>
    <n v="21.154619883040937"/>
  </r>
  <r>
    <s v="ID-650"/>
    <n v="3"/>
    <x v="1"/>
    <n v="8"/>
    <n v="0"/>
    <n v="1373"/>
    <n v="13"/>
    <n v="0"/>
    <n v="3"/>
    <n v="2"/>
    <n v="1"/>
    <n v="1"/>
    <n v="25"/>
    <n v="62.37"/>
    <n v="1"/>
    <n v="3"/>
    <x v="1"/>
    <n v="4.5426074289876182"/>
  </r>
  <r>
    <s v="ID-651"/>
    <n v="10"/>
    <x v="0"/>
    <n v="38"/>
    <n v="0"/>
    <n v="4560"/>
    <n v="72"/>
    <n v="14"/>
    <n v="20"/>
    <n v="3"/>
    <n v="1"/>
    <n v="1"/>
    <n v="30"/>
    <n v="241.28"/>
    <n v="0"/>
    <n v="1"/>
    <x v="0"/>
    <n v="5.2912280701754382"/>
  </r>
  <r>
    <s v="ID-652"/>
    <n v="2"/>
    <x v="0"/>
    <n v="39"/>
    <n v="0"/>
    <n v="508"/>
    <n v="6"/>
    <n v="16"/>
    <n v="7"/>
    <n v="2"/>
    <n v="1"/>
    <n v="2"/>
    <n v="25"/>
    <n v="95.13"/>
    <n v="0"/>
    <n v="1"/>
    <x v="0"/>
    <n v="18.726377952755904"/>
  </r>
  <r>
    <s v="ID-653"/>
    <n v="12"/>
    <x v="0"/>
    <n v="37"/>
    <n v="0"/>
    <n v="2643"/>
    <n v="61"/>
    <n v="368"/>
    <n v="27"/>
    <n v="3"/>
    <n v="1"/>
    <n v="1"/>
    <n v="30"/>
    <n v="1580.16"/>
    <n v="0"/>
    <n v="3"/>
    <x v="1"/>
    <n v="59.786606129398415"/>
  </r>
  <r>
    <s v="ID-654"/>
    <n v="12"/>
    <x v="0"/>
    <n v="38"/>
    <n v="0"/>
    <n v="4388"/>
    <n v="67"/>
    <n v="10"/>
    <n v="38"/>
    <n v="1"/>
    <n v="1"/>
    <n v="1"/>
    <n v="15"/>
    <n v="300.02499999999998"/>
    <n v="0"/>
    <n v="3"/>
    <x v="1"/>
    <n v="6.83739744758432"/>
  </r>
  <r>
    <s v="ID-655"/>
    <n v="5"/>
    <x v="0"/>
    <n v="38"/>
    <n v="0"/>
    <n v="2583"/>
    <n v="59"/>
    <n v="11"/>
    <n v="36"/>
    <n v="1"/>
    <n v="1"/>
    <n v="1"/>
    <n v="15"/>
    <n v="205.81"/>
    <n v="0"/>
    <n v="1"/>
    <x v="0"/>
    <n v="7.9678668215253587"/>
  </r>
  <r>
    <s v="ID-656"/>
    <n v="13"/>
    <x v="0"/>
    <n v="38"/>
    <n v="1"/>
    <n v="3965"/>
    <n v="83"/>
    <n v="41"/>
    <n v="31"/>
    <n v="3"/>
    <n v="1"/>
    <n v="1"/>
    <n v="30"/>
    <n v="325.92"/>
    <n v="0"/>
    <n v="2"/>
    <x v="0"/>
    <n v="8.2199243379571261"/>
  </r>
  <r>
    <s v="ID-657"/>
    <n v="6"/>
    <x v="0"/>
    <n v="38"/>
    <n v="0"/>
    <n v="2550"/>
    <n v="40"/>
    <n v="294"/>
    <n v="21"/>
    <n v="3"/>
    <n v="1"/>
    <n v="1"/>
    <n v="30"/>
    <n v="1279.5999999999999"/>
    <n v="0"/>
    <n v="1"/>
    <x v="0"/>
    <n v="50.180392156862737"/>
  </r>
  <r>
    <s v="ID-658"/>
    <n v="15"/>
    <x v="0"/>
    <n v="37"/>
    <n v="2"/>
    <n v="9305"/>
    <n v="122"/>
    <n v="153"/>
    <n v="46"/>
    <n v="3"/>
    <n v="1"/>
    <n v="1"/>
    <n v="30"/>
    <n v="989.08"/>
    <n v="0"/>
    <n v="2"/>
    <x v="0"/>
    <n v="10.629554003224072"/>
  </r>
  <r>
    <s v="ID-659"/>
    <n v="9"/>
    <x v="0"/>
    <n v="38"/>
    <n v="0"/>
    <n v="13963"/>
    <n v="170"/>
    <n v="9"/>
    <n v="47"/>
    <n v="3"/>
    <n v="1"/>
    <n v="1"/>
    <n v="30"/>
    <n v="601.32000000000005"/>
    <n v="0"/>
    <n v="3"/>
    <x v="1"/>
    <n v="4.3065243858769611"/>
  </r>
  <r>
    <s v="ID-660"/>
    <n v="9"/>
    <x v="0"/>
    <n v="38"/>
    <n v="1"/>
    <n v="4705"/>
    <n v="84"/>
    <n v="11"/>
    <n v="28"/>
    <n v="3"/>
    <n v="1"/>
    <n v="1"/>
    <n v="30"/>
    <n v="235.56"/>
    <n v="0"/>
    <n v="0"/>
    <x v="0"/>
    <n v="5.0065887353878855"/>
  </r>
  <r>
    <s v="ID-661"/>
    <n v="8"/>
    <x v="0"/>
    <n v="38"/>
    <n v="0"/>
    <n v="6108"/>
    <n v="96"/>
    <n v="16"/>
    <n v="15"/>
    <n v="3"/>
    <n v="1"/>
    <n v="1"/>
    <n v="30"/>
    <n v="312.16000000000003"/>
    <n v="0"/>
    <n v="1"/>
    <x v="0"/>
    <n v="5.1106745252128363"/>
  </r>
  <r>
    <s v="ID-662"/>
    <n v="11"/>
    <x v="1"/>
    <n v="38"/>
    <n v="0"/>
    <n v="2428"/>
    <n v="55"/>
    <n v="17"/>
    <n v="20"/>
    <n v="3"/>
    <n v="1"/>
    <n v="2"/>
    <n v="30"/>
    <n v="167.32"/>
    <n v="0"/>
    <n v="5"/>
    <x v="1"/>
    <n v="6.8912685337726511"/>
  </r>
  <r>
    <s v="ID-663"/>
    <n v="27"/>
    <x v="0"/>
    <n v="38"/>
    <n v="3"/>
    <n v="15330"/>
    <n v="226"/>
    <n v="63"/>
    <n v="35"/>
    <n v="3"/>
    <n v="1"/>
    <n v="1"/>
    <n v="30"/>
    <n v="874.24"/>
    <n v="0"/>
    <n v="4"/>
    <x v="1"/>
    <n v="5.7028049575994784"/>
  </r>
  <r>
    <s v="ID-664"/>
    <n v="6"/>
    <x v="0"/>
    <n v="38"/>
    <n v="1"/>
    <n v="3285"/>
    <n v="28"/>
    <n v="492"/>
    <n v="11"/>
    <n v="3"/>
    <n v="1"/>
    <n v="1"/>
    <n v="30"/>
    <n v="2100.52"/>
    <n v="0"/>
    <n v="0"/>
    <x v="0"/>
    <n v="63.942770167427696"/>
  </r>
  <r>
    <s v="ID-665"/>
    <n v="11"/>
    <x v="0"/>
    <n v="37"/>
    <n v="0"/>
    <n v="15675"/>
    <n v="183"/>
    <n v="159"/>
    <n v="33"/>
    <n v="2"/>
    <n v="1"/>
    <n v="1"/>
    <n v="25"/>
    <n v="1429.11"/>
    <n v="0"/>
    <n v="5"/>
    <x v="1"/>
    <n v="9.1171291866028703"/>
  </r>
  <r>
    <s v="ID-666"/>
    <n v="5"/>
    <x v="0"/>
    <n v="37"/>
    <n v="1"/>
    <n v="6690"/>
    <n v="87"/>
    <n v="195"/>
    <n v="29"/>
    <n v="3"/>
    <n v="1"/>
    <n v="1"/>
    <n v="30"/>
    <n v="1051.08"/>
    <n v="0"/>
    <n v="0"/>
    <x v="0"/>
    <n v="15.711210762331836"/>
  </r>
  <r>
    <s v="ID-667"/>
    <n v="2"/>
    <x v="0"/>
    <n v="37"/>
    <n v="0"/>
    <n v="1065"/>
    <n v="15"/>
    <n v="9"/>
    <n v="14"/>
    <n v="2"/>
    <n v="1"/>
    <n v="2"/>
    <n v="25"/>
    <n v="89.1"/>
    <n v="0"/>
    <n v="1"/>
    <x v="0"/>
    <n v="8.3661971830985902"/>
  </r>
  <r>
    <s v="ID-668"/>
    <n v="4"/>
    <x v="0"/>
    <n v="38"/>
    <n v="0"/>
    <n v="900"/>
    <n v="15"/>
    <n v="22"/>
    <n v="11"/>
    <n v="3"/>
    <n v="1"/>
    <n v="2"/>
    <n v="30"/>
    <n v="124.6"/>
    <n v="0"/>
    <n v="1"/>
    <x v="0"/>
    <n v="13.844444444444443"/>
  </r>
  <r>
    <s v="ID-669"/>
    <n v="2"/>
    <x v="0"/>
    <n v="37"/>
    <n v="0"/>
    <n v="190"/>
    <n v="1"/>
    <n v="9"/>
    <n v="3"/>
    <n v="2"/>
    <n v="1"/>
    <n v="2"/>
    <n v="25"/>
    <n v="49.094999999999999"/>
    <n v="1"/>
    <n v="1"/>
    <x v="0"/>
    <n v="25.839473684210525"/>
  </r>
  <r>
    <s v="ID-670"/>
    <n v="5"/>
    <x v="0"/>
    <n v="37"/>
    <n v="0"/>
    <n v="7698"/>
    <n v="128"/>
    <n v="393"/>
    <n v="46"/>
    <n v="2"/>
    <n v="1"/>
    <n v="1"/>
    <n v="25"/>
    <n v="2120.67"/>
    <n v="0"/>
    <n v="1"/>
    <x v="0"/>
    <n v="27.548324240062357"/>
  </r>
  <r>
    <s v="ID-671"/>
    <n v="9"/>
    <x v="0"/>
    <n v="37"/>
    <n v="1"/>
    <n v="11655"/>
    <n v="155"/>
    <n v="20"/>
    <n v="50"/>
    <n v="4"/>
    <n v="1"/>
    <n v="1"/>
    <n v="45"/>
    <n v="345.25"/>
    <n v="0"/>
    <n v="3"/>
    <x v="1"/>
    <n v="2.9622479622479623"/>
  </r>
  <r>
    <s v="ID-672"/>
    <n v="10"/>
    <x v="0"/>
    <n v="37"/>
    <n v="1"/>
    <n v="6908"/>
    <n v="76"/>
    <n v="117"/>
    <n v="40"/>
    <n v="2"/>
    <n v="1"/>
    <n v="1"/>
    <n v="25"/>
    <n v="840.78"/>
    <n v="0"/>
    <n v="0"/>
    <x v="0"/>
    <n v="12.171105964099596"/>
  </r>
  <r>
    <s v="ID-673"/>
    <n v="25"/>
    <x v="1"/>
    <n v="33"/>
    <n v="0"/>
    <n v="1145"/>
    <n v="48"/>
    <n v="25"/>
    <n v="20"/>
    <n v="2"/>
    <n v="1"/>
    <n v="2"/>
    <n v="25"/>
    <n v="166.185"/>
    <n v="1"/>
    <n v="5"/>
    <x v="1"/>
    <n v="14.513973799126637"/>
  </r>
  <r>
    <s v="ID-674"/>
    <n v="23"/>
    <x v="0"/>
    <n v="36"/>
    <n v="8"/>
    <n v="10625"/>
    <n v="94"/>
    <n v="10"/>
    <n v="45"/>
    <n v="5"/>
    <n v="1"/>
    <n v="1"/>
    <n v="55"/>
    <n v="175.785"/>
    <n v="0"/>
    <n v="2"/>
    <x v="0"/>
    <n v="1.6544470588235292"/>
  </r>
  <r>
    <s v="ID-675"/>
    <n v="15"/>
    <x v="0"/>
    <n v="36"/>
    <n v="1"/>
    <n v="6008"/>
    <n v="99"/>
    <n v="35"/>
    <n v="27"/>
    <n v="2"/>
    <n v="1"/>
    <n v="1"/>
    <n v="25"/>
    <n v="432.315"/>
    <n v="1"/>
    <n v="2"/>
    <x v="0"/>
    <n v="7.1956557922769644"/>
  </r>
  <r>
    <s v="ID-676"/>
    <n v="3"/>
    <x v="0"/>
    <n v="34"/>
    <n v="0"/>
    <n v="3030"/>
    <n v="23"/>
    <n v="9"/>
    <n v="17"/>
    <n v="3"/>
    <n v="1"/>
    <n v="1"/>
    <n v="30"/>
    <n v="158.12"/>
    <n v="0"/>
    <n v="1"/>
    <x v="0"/>
    <n v="5.218481848184819"/>
  </r>
  <r>
    <s v="ID-677"/>
    <n v="11"/>
    <x v="1"/>
    <n v="35"/>
    <n v="0"/>
    <n v="3180"/>
    <n v="42"/>
    <n v="18"/>
    <n v="19"/>
    <n v="3"/>
    <n v="1"/>
    <n v="2"/>
    <n v="30"/>
    <n v="200.88"/>
    <n v="1"/>
    <n v="5"/>
    <x v="1"/>
    <n v="6.3169811320754725"/>
  </r>
  <r>
    <s v="ID-678"/>
    <n v="11"/>
    <x v="1"/>
    <n v="36"/>
    <n v="0"/>
    <n v="2458"/>
    <n v="45"/>
    <n v="43"/>
    <n v="34"/>
    <n v="3"/>
    <n v="1"/>
    <n v="2"/>
    <n v="30"/>
    <n v="272.12"/>
    <n v="1"/>
    <n v="5"/>
    <x v="1"/>
    <n v="11.07078925956062"/>
  </r>
  <r>
    <s v="ID-679"/>
    <n v="2"/>
    <x v="0"/>
    <n v="36"/>
    <n v="0"/>
    <n v="323"/>
    <n v="3"/>
    <n v="9"/>
    <n v="5"/>
    <n v="3"/>
    <n v="1"/>
    <n v="2"/>
    <n v="30"/>
    <n v="49.04"/>
    <n v="1"/>
    <n v="1"/>
    <x v="0"/>
    <n v="15.18266253869969"/>
  </r>
  <r>
    <s v="ID-680"/>
    <n v="3"/>
    <x v="0"/>
    <n v="36"/>
    <n v="0"/>
    <n v="1858"/>
    <n v="26"/>
    <n v="9"/>
    <n v="9"/>
    <n v="3"/>
    <n v="1"/>
    <n v="1"/>
    <n v="30"/>
    <n v="111.36"/>
    <n v="0"/>
    <n v="1"/>
    <x v="0"/>
    <n v="5.9935414424111944"/>
  </r>
  <r>
    <s v="ID-681"/>
    <n v="5"/>
    <x v="0"/>
    <n v="33"/>
    <n v="1"/>
    <n v="6975"/>
    <n v="98"/>
    <n v="23"/>
    <n v="25"/>
    <n v="5"/>
    <n v="1"/>
    <n v="1"/>
    <n v="55"/>
    <n v="140.595"/>
    <n v="0"/>
    <n v="0"/>
    <x v="0"/>
    <n v="2.0156989247311827"/>
  </r>
  <r>
    <s v="ID-682"/>
    <n v="2"/>
    <x v="0"/>
    <n v="36"/>
    <n v="0"/>
    <n v="818"/>
    <n v="8"/>
    <n v="18"/>
    <n v="7"/>
    <n v="4"/>
    <n v="1"/>
    <n v="2"/>
    <n v="45"/>
    <n v="65.650000000000006"/>
    <n v="1"/>
    <n v="1"/>
    <x v="0"/>
    <n v="8.0256723716381426"/>
  </r>
  <r>
    <s v="ID-683"/>
    <n v="2"/>
    <x v="0"/>
    <n v="36"/>
    <n v="1"/>
    <n v="528"/>
    <n v="5"/>
    <n v="13"/>
    <n v="5"/>
    <n v="5"/>
    <n v="1"/>
    <n v="1"/>
    <n v="55"/>
    <n v="27.495000000000001"/>
    <n v="0"/>
    <n v="0"/>
    <x v="0"/>
    <n v="5.2073863636363642"/>
  </r>
  <r>
    <s v="ID-684"/>
    <n v="27"/>
    <x v="0"/>
    <n v="31"/>
    <n v="3"/>
    <n v="16265"/>
    <n v="239"/>
    <n v="9"/>
    <n v="83"/>
    <n v="2"/>
    <n v="1"/>
    <n v="1"/>
    <n v="25"/>
    <n v="783.18"/>
    <n v="0"/>
    <n v="5"/>
    <x v="1"/>
    <n v="4.8151245004611125"/>
  </r>
  <r>
    <s v="ID-685"/>
    <n v="8"/>
    <x v="0"/>
    <n v="34"/>
    <n v="3"/>
    <n v="7155"/>
    <n v="117"/>
    <n v="280"/>
    <n v="36"/>
    <n v="2"/>
    <n v="2"/>
    <n v="1"/>
    <n v="25"/>
    <n v="1587.24"/>
    <n v="0"/>
    <n v="0"/>
    <x v="0"/>
    <n v="22.18364779874214"/>
  </r>
  <r>
    <s v="ID-686"/>
    <n v="4"/>
    <x v="0"/>
    <n v="36"/>
    <n v="0"/>
    <n v="3908"/>
    <n v="83"/>
    <n v="11"/>
    <n v="31"/>
    <n v="2"/>
    <n v="1"/>
    <n v="1"/>
    <n v="25"/>
    <n v="229.095"/>
    <n v="0"/>
    <n v="1"/>
    <x v="0"/>
    <n v="5.8622057318321392"/>
  </r>
  <r>
    <s v="ID-687"/>
    <n v="5"/>
    <x v="0"/>
    <n v="35"/>
    <n v="0"/>
    <n v="1855"/>
    <n v="45"/>
    <n v="47"/>
    <n v="23"/>
    <n v="3"/>
    <n v="1"/>
    <n v="2"/>
    <n v="30"/>
    <n v="264"/>
    <n v="0"/>
    <n v="1"/>
    <x v="0"/>
    <n v="14.231805929919137"/>
  </r>
  <r>
    <s v="ID-688"/>
    <n v="8"/>
    <x v="0"/>
    <n v="36"/>
    <n v="0"/>
    <n v="2970"/>
    <n v="54"/>
    <n v="184"/>
    <n v="26"/>
    <n v="2"/>
    <n v="1"/>
    <n v="1"/>
    <n v="25"/>
    <n v="964.08"/>
    <n v="0"/>
    <n v="1"/>
    <x v="0"/>
    <n v="32.460606060606061"/>
  </r>
  <r>
    <s v="ID-689"/>
    <n v="6"/>
    <x v="1"/>
    <n v="27"/>
    <n v="1"/>
    <n v="1505"/>
    <n v="37"/>
    <n v="202"/>
    <n v="14"/>
    <n v="2"/>
    <n v="2"/>
    <n v="1"/>
    <n v="25"/>
    <n v="978.39"/>
    <n v="1"/>
    <n v="2"/>
    <x v="0"/>
    <n v="65.009302325581402"/>
  </r>
  <r>
    <s v="ID-690"/>
    <n v="6"/>
    <x v="0"/>
    <n v="26"/>
    <n v="0"/>
    <n v="1758"/>
    <n v="40"/>
    <n v="39"/>
    <n v="71"/>
    <n v="4"/>
    <n v="1"/>
    <n v="1"/>
    <n v="45"/>
    <n v="142.44999999999999"/>
    <n v="0"/>
    <n v="2"/>
    <x v="0"/>
    <n v="8.1029579067121738"/>
  </r>
  <r>
    <s v="ID-691"/>
    <n v="13"/>
    <x v="0"/>
    <n v="27"/>
    <n v="0"/>
    <n v="890"/>
    <n v="26"/>
    <n v="19"/>
    <n v="10"/>
    <n v="2"/>
    <n v="1"/>
    <n v="2"/>
    <n v="25"/>
    <n v="126.72"/>
    <n v="0"/>
    <n v="3"/>
    <x v="1"/>
    <n v="14.238202247191012"/>
  </r>
  <r>
    <s v="ID-692"/>
    <n v="2"/>
    <x v="0"/>
    <n v="26"/>
    <n v="0"/>
    <n v="1015"/>
    <n v="11"/>
    <n v="30"/>
    <n v="6"/>
    <n v="4"/>
    <n v="1"/>
    <n v="2"/>
    <n v="45"/>
    <n v="100.65"/>
    <n v="0"/>
    <n v="1"/>
    <x v="0"/>
    <n v="9.916256157635468"/>
  </r>
  <r>
    <s v="ID-693"/>
    <n v="12"/>
    <x v="0"/>
    <n v="25"/>
    <n v="0"/>
    <n v="1415"/>
    <n v="33"/>
    <n v="28"/>
    <n v="16"/>
    <n v="2"/>
    <n v="1"/>
    <n v="1"/>
    <n v="25"/>
    <n v="191.16"/>
    <n v="0"/>
    <n v="3"/>
    <x v="1"/>
    <n v="13.509540636042402"/>
  </r>
  <r>
    <s v="ID-694"/>
    <n v="4"/>
    <x v="0"/>
    <n v="25"/>
    <n v="0"/>
    <n v="3415"/>
    <n v="62"/>
    <n v="17"/>
    <n v="26"/>
    <n v="3"/>
    <n v="1"/>
    <n v="1"/>
    <n v="30"/>
    <n v="207.08"/>
    <n v="0"/>
    <n v="1"/>
    <x v="0"/>
    <n v="6.0638360175695469"/>
  </r>
  <r>
    <s v="ID-695"/>
    <n v="4"/>
    <x v="0"/>
    <n v="18"/>
    <n v="0"/>
    <n v="1885"/>
    <n v="27"/>
    <n v="37"/>
    <n v="17"/>
    <n v="2"/>
    <n v="1"/>
    <n v="1"/>
    <n v="25"/>
    <n v="252.54"/>
    <n v="0"/>
    <n v="1"/>
    <x v="0"/>
    <n v="13.397347480106101"/>
  </r>
  <r>
    <s v="ID-696"/>
    <n v="18"/>
    <x v="0"/>
    <n v="17"/>
    <n v="1"/>
    <n v="6582"/>
    <n v="142"/>
    <n v="94"/>
    <n v="45"/>
    <n v="2"/>
    <n v="2"/>
    <n v="1"/>
    <n v="25"/>
    <n v="725.58"/>
    <n v="0"/>
    <n v="4"/>
    <x v="1"/>
    <n v="11.023701002734732"/>
  </r>
  <r>
    <s v="ID-697"/>
    <n v="14"/>
    <x v="0"/>
    <n v="15"/>
    <n v="0"/>
    <n v="9122"/>
    <n v="172"/>
    <n v="82"/>
    <n v="43"/>
    <n v="4"/>
    <n v="1"/>
    <n v="1"/>
    <n v="45"/>
    <n v="437.35"/>
    <n v="0"/>
    <n v="5"/>
    <x v="1"/>
    <n v="4.7944529708397283"/>
  </r>
  <r>
    <s v="ID-698"/>
    <n v="10"/>
    <x v="0"/>
    <n v="16"/>
    <n v="3"/>
    <n v="3042"/>
    <n v="46"/>
    <n v="40"/>
    <n v="22"/>
    <n v="3"/>
    <n v="1"/>
    <n v="1"/>
    <n v="30"/>
    <n v="283.52"/>
    <n v="0"/>
    <n v="0"/>
    <x v="0"/>
    <n v="9.3201840894148589"/>
  </r>
  <r>
    <s v="ID-699"/>
    <n v="4"/>
    <x v="0"/>
    <n v="9"/>
    <n v="1"/>
    <n v="4580"/>
    <n v="41"/>
    <n v="224"/>
    <n v="13"/>
    <n v="3"/>
    <n v="1"/>
    <n v="1"/>
    <n v="30"/>
    <n v="1080.8399999999999"/>
    <n v="0"/>
    <n v="0"/>
    <x v="0"/>
    <n v="23.599126637554583"/>
  </r>
  <r>
    <s v="ID-700"/>
    <n v="5"/>
    <x v="0"/>
    <n v="9"/>
    <n v="1"/>
    <n v="1677"/>
    <n v="20"/>
    <n v="9"/>
    <n v="10"/>
    <n v="3"/>
    <n v="1"/>
    <n v="1"/>
    <n v="30"/>
    <n v="103.88"/>
    <n v="1"/>
    <n v="0"/>
    <x v="0"/>
    <n v="6.1943947525342873"/>
  </r>
  <r>
    <s v="ID-701"/>
    <n v="6"/>
    <x v="0"/>
    <n v="38"/>
    <n v="0"/>
    <n v="4180"/>
    <n v="70"/>
    <n v="0"/>
    <n v="14"/>
    <n v="3"/>
    <n v="1"/>
    <n v="1"/>
    <n v="30"/>
    <n v="170"/>
    <n v="0"/>
    <n v="1"/>
    <x v="0"/>
    <n v="4.0669856459330145"/>
  </r>
  <r>
    <s v="ID-702"/>
    <n v="0"/>
    <x v="0"/>
    <n v="39"/>
    <n v="0"/>
    <n v="128"/>
    <n v="4"/>
    <n v="0"/>
    <n v="1"/>
    <n v="2"/>
    <n v="1"/>
    <n v="2"/>
    <n v="25"/>
    <n v="5.94"/>
    <n v="0"/>
    <n v="1"/>
    <x v="0"/>
    <n v="4.640625"/>
  </r>
  <r>
    <s v="ID-703"/>
    <n v="8"/>
    <x v="0"/>
    <n v="37"/>
    <n v="0"/>
    <n v="2263"/>
    <n v="59"/>
    <n v="350"/>
    <n v="21"/>
    <n v="3"/>
    <n v="1"/>
    <n v="1"/>
    <n v="30"/>
    <n v="1492.88"/>
    <n v="0"/>
    <n v="1"/>
    <x v="0"/>
    <n v="65.969067609368111"/>
  </r>
  <r>
    <s v="ID-704"/>
    <n v="8"/>
    <x v="0"/>
    <n v="38"/>
    <n v="0"/>
    <n v="4008"/>
    <n v="65"/>
    <n v="0"/>
    <n v="32"/>
    <n v="1"/>
    <n v="1"/>
    <n v="1"/>
    <n v="15"/>
    <n v="224.01499999999999"/>
    <n v="0"/>
    <n v="1"/>
    <x v="0"/>
    <n v="5.5891966067864267"/>
  </r>
  <r>
    <s v="ID-705"/>
    <n v="1"/>
    <x v="0"/>
    <n v="38"/>
    <n v="0"/>
    <n v="2203"/>
    <n v="57"/>
    <n v="0"/>
    <n v="30"/>
    <n v="1"/>
    <n v="1"/>
    <n v="1"/>
    <n v="15"/>
    <n v="124.3"/>
    <n v="0"/>
    <n v="1"/>
    <x v="0"/>
    <n v="5.6423059464366769"/>
  </r>
  <r>
    <s v="ID-706"/>
    <n v="9"/>
    <x v="0"/>
    <n v="38"/>
    <n v="1"/>
    <n v="3585"/>
    <n v="81"/>
    <n v="23"/>
    <n v="25"/>
    <n v="3"/>
    <n v="1"/>
    <n v="1"/>
    <n v="30"/>
    <n v="238.64"/>
    <n v="0"/>
    <n v="0"/>
    <x v="0"/>
    <n v="6.6566248256624831"/>
  </r>
  <r>
    <s v="ID-707"/>
    <n v="2"/>
    <x v="0"/>
    <n v="38"/>
    <n v="0"/>
    <n v="2170"/>
    <n v="38"/>
    <n v="276"/>
    <n v="15"/>
    <n v="3"/>
    <n v="1"/>
    <n v="1"/>
    <n v="30"/>
    <n v="1192.32"/>
    <n v="0"/>
    <n v="1"/>
    <x v="0"/>
    <n v="54.94562211981566"/>
  </r>
  <r>
    <s v="ID-708"/>
    <n v="11"/>
    <x v="0"/>
    <n v="37"/>
    <n v="2"/>
    <n v="8925"/>
    <n v="120"/>
    <n v="135"/>
    <n v="40"/>
    <n v="3"/>
    <n v="1"/>
    <n v="1"/>
    <n v="30"/>
    <n v="901.8"/>
    <n v="0"/>
    <n v="2"/>
    <x v="0"/>
    <n v="10.104201680672269"/>
  </r>
  <r>
    <s v="ID-709"/>
    <n v="5"/>
    <x v="0"/>
    <n v="38"/>
    <n v="0"/>
    <n v="13583"/>
    <n v="168"/>
    <n v="0"/>
    <n v="41"/>
    <n v="3"/>
    <n v="1"/>
    <n v="1"/>
    <n v="30"/>
    <n v="550.04"/>
    <n v="0"/>
    <n v="3"/>
    <x v="1"/>
    <n v="4.0494736067142743"/>
  </r>
  <r>
    <s v="ID-710"/>
    <n v="5"/>
    <x v="0"/>
    <n v="38"/>
    <n v="1"/>
    <n v="4325"/>
    <n v="82"/>
    <n v="0"/>
    <n v="22"/>
    <n v="3"/>
    <n v="1"/>
    <n v="1"/>
    <n v="30"/>
    <n v="176.28"/>
    <n v="0"/>
    <n v="0"/>
    <x v="0"/>
    <n v="4.0758381502890169"/>
  </r>
  <r>
    <s v="ID-711"/>
    <n v="4"/>
    <x v="0"/>
    <n v="38"/>
    <n v="0"/>
    <n v="5728"/>
    <n v="94"/>
    <n v="0"/>
    <n v="9"/>
    <n v="3"/>
    <n v="1"/>
    <n v="1"/>
    <n v="30"/>
    <n v="232.88"/>
    <n v="0"/>
    <n v="1"/>
    <x v="0"/>
    <n v="4.0656424581005588"/>
  </r>
  <r>
    <s v="ID-712"/>
    <n v="7"/>
    <x v="0"/>
    <n v="38"/>
    <n v="0"/>
    <n v="2048"/>
    <n v="53"/>
    <n v="0"/>
    <n v="14"/>
    <n v="3"/>
    <n v="1"/>
    <n v="2"/>
    <n v="30"/>
    <n v="84.04"/>
    <n v="0"/>
    <n v="1"/>
    <x v="0"/>
    <n v="4.103515625"/>
  </r>
  <r>
    <s v="ID-713"/>
    <n v="23"/>
    <x v="0"/>
    <n v="38"/>
    <n v="3"/>
    <n v="14950"/>
    <n v="224"/>
    <n v="45"/>
    <n v="29"/>
    <n v="3"/>
    <n v="1"/>
    <n v="1"/>
    <n v="30"/>
    <n v="786.96"/>
    <n v="0"/>
    <n v="4"/>
    <x v="1"/>
    <n v="5.263946488294315"/>
  </r>
  <r>
    <s v="ID-714"/>
    <n v="2"/>
    <x v="0"/>
    <n v="38"/>
    <n v="1"/>
    <n v="2905"/>
    <n v="26"/>
    <n v="474"/>
    <n v="5"/>
    <n v="3"/>
    <n v="1"/>
    <n v="1"/>
    <n v="30"/>
    <n v="2013.24"/>
    <n v="0"/>
    <n v="0"/>
    <x v="0"/>
    <n v="69.302581755593806"/>
  </r>
  <r>
    <s v="ID-715"/>
    <n v="7"/>
    <x v="0"/>
    <n v="37"/>
    <n v="0"/>
    <n v="15295"/>
    <n v="181"/>
    <n v="141"/>
    <n v="27"/>
    <n v="2"/>
    <n v="1"/>
    <n v="1"/>
    <n v="25"/>
    <n v="1330.92"/>
    <n v="0"/>
    <n v="3"/>
    <x v="1"/>
    <n v="8.7016672115070293"/>
  </r>
  <r>
    <s v="ID-716"/>
    <n v="1"/>
    <x v="0"/>
    <n v="37"/>
    <n v="1"/>
    <n v="6310"/>
    <n v="85"/>
    <n v="177"/>
    <n v="23"/>
    <n v="3"/>
    <n v="1"/>
    <n v="1"/>
    <n v="30"/>
    <n v="963.8"/>
    <n v="0"/>
    <n v="0"/>
    <x v="0"/>
    <n v="15.274167987321711"/>
  </r>
  <r>
    <s v="ID-717"/>
    <n v="0"/>
    <x v="0"/>
    <n v="37"/>
    <n v="0"/>
    <n v="685"/>
    <n v="13"/>
    <n v="0"/>
    <n v="8"/>
    <n v="2"/>
    <n v="1"/>
    <n v="2"/>
    <n v="25"/>
    <n v="31.41"/>
    <n v="0"/>
    <n v="1"/>
    <x v="0"/>
    <n v="4.5854014598540145"/>
  </r>
  <r>
    <s v="ID-718"/>
    <n v="0"/>
    <x v="0"/>
    <n v="38"/>
    <n v="0"/>
    <n v="520"/>
    <n v="13"/>
    <n v="4"/>
    <n v="5"/>
    <n v="3"/>
    <n v="1"/>
    <n v="2"/>
    <n v="30"/>
    <n v="37.32"/>
    <n v="0"/>
    <n v="1"/>
    <x v="0"/>
    <n v="7.1769230769230763"/>
  </r>
  <r>
    <s v="ID-719"/>
    <n v="0"/>
    <x v="0"/>
    <n v="37"/>
    <n v="0"/>
    <n v="0"/>
    <n v="0"/>
    <n v="0"/>
    <n v="0"/>
    <n v="2"/>
    <n v="1"/>
    <n v="2"/>
    <n v="25"/>
    <n v="0"/>
    <n v="1"/>
    <n v="1"/>
    <x v="0"/>
    <n v="0"/>
  </r>
  <r>
    <s v="ID-720"/>
    <n v="1"/>
    <x v="0"/>
    <n v="37"/>
    <n v="0"/>
    <n v="7318"/>
    <n v="126"/>
    <n v="375"/>
    <n v="40"/>
    <n v="2"/>
    <n v="1"/>
    <n v="1"/>
    <n v="25"/>
    <n v="2022.48"/>
    <n v="0"/>
    <n v="1"/>
    <x v="0"/>
    <n v="27.637059305821264"/>
  </r>
  <r>
    <s v="ID-721"/>
    <n v="5"/>
    <x v="0"/>
    <n v="37"/>
    <n v="1"/>
    <n v="11275"/>
    <n v="153"/>
    <n v="2"/>
    <n v="44"/>
    <n v="4"/>
    <n v="1"/>
    <n v="1"/>
    <n v="45"/>
    <n v="290.7"/>
    <n v="0"/>
    <n v="2"/>
    <x v="0"/>
    <n v="2.5782705099778269"/>
  </r>
  <r>
    <s v="ID-722"/>
    <n v="6"/>
    <x v="0"/>
    <n v="37"/>
    <n v="1"/>
    <n v="6528"/>
    <n v="74"/>
    <n v="99"/>
    <n v="34"/>
    <n v="2"/>
    <n v="1"/>
    <n v="1"/>
    <n v="25"/>
    <n v="742.59"/>
    <n v="0"/>
    <n v="0"/>
    <x v="0"/>
    <n v="11.375459558823529"/>
  </r>
  <r>
    <s v="ID-723"/>
    <n v="21"/>
    <x v="0"/>
    <n v="33"/>
    <n v="0"/>
    <n v="765"/>
    <n v="46"/>
    <n v="7"/>
    <n v="14"/>
    <n v="2"/>
    <n v="1"/>
    <n v="2"/>
    <n v="25"/>
    <n v="67.995000000000005"/>
    <n v="1"/>
    <n v="3"/>
    <x v="1"/>
    <n v="8.8882352941176475"/>
  </r>
  <r>
    <s v="ID-724"/>
    <n v="19"/>
    <x v="0"/>
    <n v="36"/>
    <n v="8"/>
    <n v="10245"/>
    <n v="92"/>
    <n v="0"/>
    <n v="39"/>
    <n v="5"/>
    <n v="2"/>
    <n v="1"/>
    <n v="55"/>
    <n v="155.05500000000001"/>
    <n v="0"/>
    <n v="2"/>
    <x v="0"/>
    <n v="1.5134699853587115"/>
  </r>
  <r>
    <s v="ID-725"/>
    <n v="11"/>
    <x v="0"/>
    <n v="36"/>
    <n v="1"/>
    <n v="5628"/>
    <n v="97"/>
    <n v="17"/>
    <n v="21"/>
    <n v="2"/>
    <n v="1"/>
    <n v="1"/>
    <n v="25"/>
    <n v="334.125"/>
    <n v="1"/>
    <n v="2"/>
    <x v="0"/>
    <n v="5.9368336886993607"/>
  </r>
  <r>
    <s v="ID-726"/>
    <n v="0"/>
    <x v="0"/>
    <n v="34"/>
    <n v="0"/>
    <n v="2650"/>
    <n v="21"/>
    <n v="0"/>
    <n v="11"/>
    <n v="3"/>
    <n v="1"/>
    <n v="1"/>
    <n v="30"/>
    <n v="106.84"/>
    <n v="0"/>
    <n v="1"/>
    <x v="0"/>
    <n v="4.0316981132075469"/>
  </r>
  <r>
    <s v="ID-727"/>
    <n v="7"/>
    <x v="1"/>
    <n v="35"/>
    <n v="0"/>
    <n v="2800"/>
    <n v="40"/>
    <n v="0"/>
    <n v="13"/>
    <n v="3"/>
    <n v="1"/>
    <n v="2"/>
    <n v="30"/>
    <n v="113.6"/>
    <n v="1"/>
    <n v="3"/>
    <x v="1"/>
    <n v="4.0571428571428569"/>
  </r>
  <r>
    <s v="ID-728"/>
    <n v="7"/>
    <x v="0"/>
    <n v="36"/>
    <n v="0"/>
    <n v="2078"/>
    <n v="43"/>
    <n v="25"/>
    <n v="28"/>
    <n v="3"/>
    <n v="1"/>
    <n v="2"/>
    <n v="30"/>
    <n v="184.84"/>
    <n v="1"/>
    <n v="1"/>
    <x v="0"/>
    <n v="8.8950914340712224"/>
  </r>
  <r>
    <s v="ID-729"/>
    <n v="0"/>
    <x v="0"/>
    <n v="36"/>
    <n v="0"/>
    <n v="0"/>
    <n v="0"/>
    <n v="0"/>
    <n v="0"/>
    <n v="3"/>
    <n v="1"/>
    <n v="2"/>
    <n v="30"/>
    <n v="0"/>
    <n v="1"/>
    <n v="1"/>
    <x v="0"/>
    <n v="0"/>
  </r>
  <r>
    <s v="ID-730"/>
    <n v="0"/>
    <x v="0"/>
    <n v="36"/>
    <n v="0"/>
    <n v="1478"/>
    <n v="24"/>
    <n v="0"/>
    <n v="3"/>
    <n v="3"/>
    <n v="1"/>
    <n v="1"/>
    <n v="30"/>
    <n v="60.08"/>
    <n v="0"/>
    <n v="1"/>
    <x v="0"/>
    <n v="4.0649526387009471"/>
  </r>
  <r>
    <s v="ID-731"/>
    <n v="1"/>
    <x v="0"/>
    <n v="33"/>
    <n v="1"/>
    <n v="6595"/>
    <n v="96"/>
    <n v="5"/>
    <n v="19"/>
    <n v="5"/>
    <n v="1"/>
    <n v="1"/>
    <n v="55"/>
    <n v="107.86499999999999"/>
    <n v="0"/>
    <n v="0"/>
    <x v="0"/>
    <n v="1.6355572403335861"/>
  </r>
  <r>
    <s v="ID-732"/>
    <n v="0"/>
    <x v="0"/>
    <n v="36"/>
    <n v="0"/>
    <n v="438"/>
    <n v="6"/>
    <n v="0"/>
    <n v="1"/>
    <n v="4"/>
    <n v="1"/>
    <n v="2"/>
    <n v="45"/>
    <n v="11.1"/>
    <n v="1"/>
    <n v="1"/>
    <x v="0"/>
    <n v="2.5342465753424657"/>
  </r>
  <r>
    <s v="ID-733"/>
    <n v="0"/>
    <x v="0"/>
    <n v="36"/>
    <n v="1"/>
    <n v="0"/>
    <n v="0"/>
    <n v="0"/>
    <n v="0"/>
    <n v="5"/>
    <n v="1"/>
    <n v="1"/>
    <n v="55"/>
    <n v="0"/>
    <n v="0"/>
    <n v="0"/>
    <x v="0"/>
    <n v="0"/>
  </r>
  <r>
    <s v="ID-734"/>
    <n v="23"/>
    <x v="0"/>
    <n v="31"/>
    <n v="3"/>
    <n v="15885"/>
    <n v="237"/>
    <n v="0"/>
    <n v="77"/>
    <n v="2"/>
    <n v="1"/>
    <n v="1"/>
    <n v="25"/>
    <n v="725.49"/>
    <n v="0"/>
    <n v="5"/>
    <x v="1"/>
    <n v="4.5671388101983004"/>
  </r>
  <r>
    <s v="ID-735"/>
    <n v="4"/>
    <x v="0"/>
    <n v="34"/>
    <n v="3"/>
    <n v="6775"/>
    <n v="115"/>
    <n v="262"/>
    <n v="30"/>
    <n v="2"/>
    <n v="2"/>
    <n v="1"/>
    <n v="25"/>
    <n v="1489.05"/>
    <n v="0"/>
    <n v="0"/>
    <x v="0"/>
    <n v="21.978597785977861"/>
  </r>
  <r>
    <s v="ID-736"/>
    <n v="0"/>
    <x v="0"/>
    <n v="36"/>
    <n v="0"/>
    <n v="3528"/>
    <n v="81"/>
    <n v="0"/>
    <n v="25"/>
    <n v="2"/>
    <n v="1"/>
    <n v="1"/>
    <n v="25"/>
    <n v="162.405"/>
    <n v="0"/>
    <n v="1"/>
    <x v="0"/>
    <n v="4.6033163265306127"/>
  </r>
  <r>
    <s v="ID-737"/>
    <n v="1"/>
    <x v="0"/>
    <n v="35"/>
    <n v="0"/>
    <n v="1475"/>
    <n v="43"/>
    <n v="29"/>
    <n v="17"/>
    <n v="3"/>
    <n v="1"/>
    <n v="2"/>
    <n v="30"/>
    <n v="176.72"/>
    <n v="0"/>
    <n v="1"/>
    <x v="0"/>
    <n v="11.981016949152542"/>
  </r>
  <r>
    <s v="ID-738"/>
    <n v="4"/>
    <x v="0"/>
    <n v="36"/>
    <n v="0"/>
    <n v="2590"/>
    <n v="52"/>
    <n v="166"/>
    <n v="20"/>
    <n v="2"/>
    <n v="1"/>
    <n v="1"/>
    <n v="25"/>
    <n v="865.89"/>
    <n v="0"/>
    <n v="1"/>
    <x v="0"/>
    <n v="33.432046332046333"/>
  </r>
  <r>
    <s v="ID-739"/>
    <n v="2"/>
    <x v="0"/>
    <n v="27"/>
    <n v="1"/>
    <n v="1125"/>
    <n v="35"/>
    <n v="184"/>
    <n v="8"/>
    <n v="2"/>
    <n v="2"/>
    <n v="1"/>
    <n v="25"/>
    <n v="880.2"/>
    <n v="0"/>
    <n v="0"/>
    <x v="0"/>
    <n v="78.240000000000009"/>
  </r>
  <r>
    <s v="ID-740"/>
    <n v="2"/>
    <x v="0"/>
    <n v="26"/>
    <n v="0"/>
    <n v="1378"/>
    <n v="38"/>
    <n v="21"/>
    <n v="65"/>
    <n v="4"/>
    <n v="1"/>
    <n v="1"/>
    <n v="45"/>
    <n v="87.9"/>
    <n v="0"/>
    <n v="2"/>
    <x v="0"/>
    <n v="6.3788098693759077"/>
  </r>
  <r>
    <s v="ID-741"/>
    <n v="9"/>
    <x v="0"/>
    <n v="27"/>
    <n v="0"/>
    <n v="510"/>
    <n v="24"/>
    <n v="1"/>
    <n v="4"/>
    <n v="2"/>
    <n v="1"/>
    <n v="2"/>
    <n v="25"/>
    <n v="28.53"/>
    <n v="0"/>
    <n v="1"/>
    <x v="0"/>
    <n v="5.5941176470588241"/>
  </r>
  <r>
    <s v="ID-742"/>
    <n v="0"/>
    <x v="0"/>
    <n v="26"/>
    <n v="0"/>
    <n v="635"/>
    <n v="9"/>
    <n v="12"/>
    <n v="1"/>
    <n v="4"/>
    <n v="1"/>
    <n v="2"/>
    <n v="45"/>
    <n v="46.1"/>
    <n v="0"/>
    <n v="1"/>
    <x v="0"/>
    <n v="7.2598425196850389"/>
  </r>
  <r>
    <s v="ID-743"/>
    <n v="8"/>
    <x v="0"/>
    <n v="25"/>
    <n v="0"/>
    <n v="1035"/>
    <n v="31"/>
    <n v="10"/>
    <n v="10"/>
    <n v="2"/>
    <n v="1"/>
    <n v="1"/>
    <n v="25"/>
    <n v="92.97"/>
    <n v="0"/>
    <n v="1"/>
    <x v="0"/>
    <n v="8.9826086956521731"/>
  </r>
  <r>
    <s v="ID-744"/>
    <n v="0"/>
    <x v="0"/>
    <n v="25"/>
    <n v="0"/>
    <n v="3035"/>
    <n v="60"/>
    <n v="0"/>
    <n v="20"/>
    <n v="3"/>
    <n v="1"/>
    <n v="1"/>
    <n v="30"/>
    <n v="123.8"/>
    <n v="0"/>
    <n v="1"/>
    <x v="0"/>
    <n v="4.079077429983526"/>
  </r>
  <r>
    <s v="ID-745"/>
    <n v="0"/>
    <x v="0"/>
    <n v="18"/>
    <n v="0"/>
    <n v="1505"/>
    <n v="25"/>
    <n v="19"/>
    <n v="11"/>
    <n v="2"/>
    <n v="1"/>
    <n v="1"/>
    <n v="25"/>
    <n v="154.35"/>
    <n v="0"/>
    <n v="1"/>
    <x v="0"/>
    <n v="10.255813953488371"/>
  </r>
  <r>
    <s v="ID-746"/>
    <n v="14"/>
    <x v="0"/>
    <n v="17"/>
    <n v="1"/>
    <n v="6202"/>
    <n v="140"/>
    <n v="76"/>
    <n v="39"/>
    <n v="2"/>
    <n v="2"/>
    <n v="1"/>
    <n v="25"/>
    <n v="627.39"/>
    <n v="0"/>
    <n v="4"/>
    <x v="1"/>
    <n v="10.115930345049984"/>
  </r>
  <r>
    <s v="ID-747"/>
    <n v="10"/>
    <x v="0"/>
    <n v="15"/>
    <n v="0"/>
    <n v="8742"/>
    <n v="170"/>
    <n v="64"/>
    <n v="37"/>
    <n v="4"/>
    <n v="1"/>
    <n v="1"/>
    <n v="45"/>
    <n v="382.8"/>
    <n v="0"/>
    <n v="3"/>
    <x v="1"/>
    <n v="4.3788606726149624"/>
  </r>
  <r>
    <s v="ID-748"/>
    <n v="6"/>
    <x v="0"/>
    <n v="16"/>
    <n v="3"/>
    <n v="2662"/>
    <n v="44"/>
    <n v="22"/>
    <n v="16"/>
    <n v="3"/>
    <n v="1"/>
    <n v="1"/>
    <n v="30"/>
    <n v="196.24"/>
    <n v="0"/>
    <n v="0"/>
    <x v="0"/>
    <n v="7.3719008264462813"/>
  </r>
  <r>
    <s v="ID-749"/>
    <n v="0"/>
    <x v="0"/>
    <n v="9"/>
    <n v="1"/>
    <n v="4200"/>
    <n v="39"/>
    <n v="206"/>
    <n v="7"/>
    <n v="3"/>
    <n v="1"/>
    <n v="1"/>
    <n v="30"/>
    <n v="993.56"/>
    <n v="0"/>
    <n v="0"/>
    <x v="0"/>
    <n v="23.656190476190474"/>
  </r>
  <r>
    <s v="ID-750"/>
    <n v="1"/>
    <x v="0"/>
    <n v="9"/>
    <n v="1"/>
    <n v="1297"/>
    <n v="18"/>
    <n v="0"/>
    <n v="4"/>
    <n v="3"/>
    <n v="1"/>
    <n v="1"/>
    <n v="30"/>
    <n v="52.6"/>
    <n v="1"/>
    <n v="0"/>
    <x v="0"/>
    <n v="4.0555127216653819"/>
  </r>
  <r>
    <s v="ID-751"/>
    <n v="6"/>
    <x v="0"/>
    <n v="33"/>
    <n v="0"/>
    <n v="4370"/>
    <n v="65"/>
    <n v="0"/>
    <n v="16"/>
    <n v="2"/>
    <n v="1"/>
    <n v="1"/>
    <n v="25"/>
    <n v="199.57499999999999"/>
    <n v="0"/>
    <n v="1"/>
    <x v="0"/>
    <n v="4.5669336384439356"/>
  </r>
  <r>
    <s v="ID-752"/>
    <n v="0"/>
    <x v="0"/>
    <n v="34"/>
    <n v="0"/>
    <n v="318"/>
    <n v="4"/>
    <n v="0"/>
    <n v="3"/>
    <n v="2"/>
    <n v="1"/>
    <n v="2"/>
    <n v="25"/>
    <n v="14.49"/>
    <n v="0"/>
    <n v="1"/>
    <x v="0"/>
    <n v="4.5566037735849063"/>
  </r>
  <r>
    <s v="ID-753"/>
    <n v="8"/>
    <x v="0"/>
    <n v="32"/>
    <n v="0"/>
    <n v="2453"/>
    <n v="54"/>
    <n v="351"/>
    <n v="23"/>
    <n v="2"/>
    <n v="1"/>
    <n v="1"/>
    <n v="25"/>
    <n v="1692.3150000000001"/>
    <n v="0"/>
    <n v="1"/>
    <x v="0"/>
    <n v="68.989604565837752"/>
  </r>
  <r>
    <s v="ID-754"/>
    <n v="8"/>
    <x v="0"/>
    <n v="33"/>
    <n v="0"/>
    <n v="4198"/>
    <n v="60"/>
    <n v="0"/>
    <n v="34"/>
    <n v="1"/>
    <n v="1"/>
    <n v="1"/>
    <n v="15"/>
    <n v="234.19"/>
    <n v="0"/>
    <n v="1"/>
    <x v="0"/>
    <n v="5.5786088613625537"/>
  </r>
  <r>
    <s v="ID-755"/>
    <n v="1"/>
    <x v="0"/>
    <n v="33"/>
    <n v="0"/>
    <n v="2393"/>
    <n v="52"/>
    <n v="0"/>
    <n v="32"/>
    <n v="1"/>
    <n v="1"/>
    <n v="1"/>
    <n v="15"/>
    <n v="134.47499999999999"/>
    <n v="0"/>
    <n v="1"/>
    <x v="0"/>
    <n v="5.6195152528207268"/>
  </r>
  <r>
    <s v="ID-756"/>
    <n v="9"/>
    <x v="0"/>
    <n v="33"/>
    <n v="0"/>
    <n v="3775"/>
    <n v="76"/>
    <n v="24"/>
    <n v="27"/>
    <n v="2"/>
    <n v="1"/>
    <n v="1"/>
    <n v="25"/>
    <n v="281.29500000000002"/>
    <n v="0"/>
    <n v="1"/>
    <x v="0"/>
    <n v="7.4515231788079479"/>
  </r>
  <r>
    <s v="ID-757"/>
    <n v="2"/>
    <x v="0"/>
    <n v="33"/>
    <n v="0"/>
    <n v="2360"/>
    <n v="33"/>
    <n v="277"/>
    <n v="17"/>
    <n v="3"/>
    <n v="1"/>
    <n v="1"/>
    <n v="30"/>
    <n v="1203.72"/>
    <n v="0"/>
    <n v="1"/>
    <x v="0"/>
    <n v="51.005084745762709"/>
  </r>
  <r>
    <s v="ID-758"/>
    <n v="11"/>
    <x v="0"/>
    <n v="32"/>
    <n v="1"/>
    <n v="9115"/>
    <n v="115"/>
    <n v="136"/>
    <n v="42"/>
    <n v="3"/>
    <n v="1"/>
    <n v="1"/>
    <n v="30"/>
    <n v="913.2"/>
    <n v="0"/>
    <n v="2"/>
    <x v="0"/>
    <n v="10.01865057597367"/>
  </r>
  <r>
    <s v="ID-759"/>
    <n v="5"/>
    <x v="0"/>
    <n v="33"/>
    <n v="0"/>
    <n v="13773"/>
    <n v="163"/>
    <n v="0"/>
    <n v="43"/>
    <n v="3"/>
    <n v="1"/>
    <n v="1"/>
    <n v="30"/>
    <n v="557.44000000000005"/>
    <n v="0"/>
    <n v="3"/>
    <x v="1"/>
    <n v="4.047338996587527"/>
  </r>
  <r>
    <s v="ID-760"/>
    <n v="5"/>
    <x v="0"/>
    <n v="33"/>
    <n v="0"/>
    <n v="4515"/>
    <n v="77"/>
    <n v="0"/>
    <n v="24"/>
    <n v="3"/>
    <n v="1"/>
    <n v="1"/>
    <n v="30"/>
    <n v="183.68"/>
    <n v="0"/>
    <n v="1"/>
    <x v="0"/>
    <n v="4.0682170542635658"/>
  </r>
  <r>
    <s v="ID-761"/>
    <n v="4"/>
    <x v="0"/>
    <n v="33"/>
    <n v="0"/>
    <n v="5918"/>
    <n v="89"/>
    <n v="0"/>
    <n v="11"/>
    <n v="2"/>
    <n v="1"/>
    <n v="1"/>
    <n v="25"/>
    <n v="270.315"/>
    <n v="0"/>
    <n v="1"/>
    <x v="0"/>
    <n v="4.5676748901655966"/>
  </r>
  <r>
    <s v="ID-762"/>
    <n v="7"/>
    <x v="1"/>
    <n v="33"/>
    <n v="0"/>
    <n v="2238"/>
    <n v="48"/>
    <n v="0"/>
    <n v="16"/>
    <n v="3"/>
    <n v="1"/>
    <n v="2"/>
    <n v="30"/>
    <n v="91.44"/>
    <n v="0"/>
    <n v="3"/>
    <x v="1"/>
    <n v="4.0857908847184987"/>
  </r>
  <r>
    <s v="ID-763"/>
    <n v="23"/>
    <x v="0"/>
    <n v="33"/>
    <n v="2"/>
    <n v="15140"/>
    <n v="219"/>
    <n v="46"/>
    <n v="31"/>
    <n v="3"/>
    <n v="1"/>
    <n v="1"/>
    <n v="30"/>
    <n v="798.36"/>
    <n v="0"/>
    <n v="4"/>
    <x v="1"/>
    <n v="5.2731836195508581"/>
  </r>
  <r>
    <s v="ID-764"/>
    <n v="2"/>
    <x v="0"/>
    <n v="33"/>
    <n v="0"/>
    <n v="3095"/>
    <n v="21"/>
    <n v="475"/>
    <n v="7"/>
    <n v="3"/>
    <n v="1"/>
    <n v="1"/>
    <n v="30"/>
    <n v="2024.64"/>
    <n v="0"/>
    <n v="1"/>
    <x v="0"/>
    <n v="65.416478190630059"/>
  </r>
  <r>
    <s v="ID-765"/>
    <n v="7"/>
    <x v="0"/>
    <n v="32"/>
    <n v="0"/>
    <n v="15485"/>
    <n v="176"/>
    <n v="142"/>
    <n v="29"/>
    <n v="2"/>
    <n v="1"/>
    <n v="1"/>
    <n v="25"/>
    <n v="1343.7449999999999"/>
    <n v="0"/>
    <n v="3"/>
    <x v="1"/>
    <n v="8.6777203745560207"/>
  </r>
  <r>
    <s v="ID-766"/>
    <n v="1"/>
    <x v="0"/>
    <n v="32"/>
    <n v="0"/>
    <n v="6500"/>
    <n v="80"/>
    <n v="178"/>
    <n v="25"/>
    <n v="3"/>
    <n v="1"/>
    <n v="1"/>
    <n v="30"/>
    <n v="975.2"/>
    <n v="0"/>
    <n v="1"/>
    <x v="0"/>
    <n v="15.003076923076925"/>
  </r>
  <r>
    <s v="ID-767"/>
    <n v="0"/>
    <x v="0"/>
    <n v="32"/>
    <n v="0"/>
    <n v="875"/>
    <n v="8"/>
    <n v="0"/>
    <n v="10"/>
    <n v="2"/>
    <n v="1"/>
    <n v="2"/>
    <n v="25"/>
    <n v="39.734999999999999"/>
    <n v="0"/>
    <n v="1"/>
    <x v="0"/>
    <n v="4.5411428571428569"/>
  </r>
  <r>
    <s v="ID-768"/>
    <n v="0"/>
    <x v="0"/>
    <n v="33"/>
    <n v="0"/>
    <n v="710"/>
    <n v="8"/>
    <n v="5"/>
    <n v="7"/>
    <n v="2"/>
    <n v="1"/>
    <n v="2"/>
    <n v="25"/>
    <n v="54.81"/>
    <n v="0"/>
    <n v="1"/>
    <x v="0"/>
    <n v="7.7197183098591555"/>
  </r>
  <r>
    <s v="ID-769"/>
    <n v="0"/>
    <x v="0"/>
    <n v="32"/>
    <n v="0"/>
    <n v="0"/>
    <n v="0"/>
    <n v="0"/>
    <n v="0"/>
    <n v="2"/>
    <n v="1"/>
    <n v="2"/>
    <n v="25"/>
    <n v="0"/>
    <n v="1"/>
    <n v="1"/>
    <x v="0"/>
    <n v="0"/>
  </r>
  <r>
    <s v="ID-770"/>
    <n v="1"/>
    <x v="0"/>
    <n v="32"/>
    <n v="0"/>
    <n v="7508"/>
    <n v="121"/>
    <n v="376"/>
    <n v="42"/>
    <n v="2"/>
    <n v="1"/>
    <n v="1"/>
    <n v="25"/>
    <n v="2035.3050000000001"/>
    <n v="0"/>
    <n v="1"/>
    <x v="0"/>
    <n v="27.108484283431007"/>
  </r>
  <r>
    <s v="ID-771"/>
    <n v="5"/>
    <x v="0"/>
    <n v="32"/>
    <n v="0"/>
    <n v="11465"/>
    <n v="148"/>
    <n v="3"/>
    <n v="46"/>
    <n v="3"/>
    <n v="1"/>
    <n v="1"/>
    <n v="30"/>
    <n v="476.52"/>
    <n v="0"/>
    <n v="3"/>
    <x v="1"/>
    <n v="4.1563017880505884"/>
  </r>
  <r>
    <s v="ID-772"/>
    <n v="6"/>
    <x v="0"/>
    <n v="32"/>
    <n v="0"/>
    <n v="6718"/>
    <n v="69"/>
    <n v="100"/>
    <n v="36"/>
    <n v="2"/>
    <n v="1"/>
    <n v="1"/>
    <n v="25"/>
    <n v="755.41499999999996"/>
    <n v="0"/>
    <n v="1"/>
    <x v="0"/>
    <n v="11.244641262280441"/>
  </r>
  <r>
    <s v="ID-773"/>
    <n v="21"/>
    <x v="1"/>
    <n v="28"/>
    <n v="0"/>
    <n v="955"/>
    <n v="41"/>
    <n v="8"/>
    <n v="16"/>
    <n v="2"/>
    <n v="1"/>
    <n v="2"/>
    <n v="25"/>
    <n v="80.819999999999993"/>
    <n v="1"/>
    <n v="5"/>
    <x v="1"/>
    <n v="8.4628272251308889"/>
  </r>
  <r>
    <s v="ID-774"/>
    <n v="19"/>
    <x v="0"/>
    <n v="31"/>
    <n v="7"/>
    <n v="10435"/>
    <n v="87"/>
    <n v="0"/>
    <n v="41"/>
    <n v="4"/>
    <n v="1"/>
    <n v="1"/>
    <n v="45"/>
    <n v="263.05"/>
    <n v="0"/>
    <n v="2"/>
    <x v="0"/>
    <n v="2.5208433157642549"/>
  </r>
  <r>
    <s v="ID-775"/>
    <n v="11"/>
    <x v="0"/>
    <n v="31"/>
    <n v="0"/>
    <n v="5818"/>
    <n v="92"/>
    <n v="18"/>
    <n v="23"/>
    <n v="2"/>
    <n v="1"/>
    <n v="1"/>
    <n v="25"/>
    <n v="346.95"/>
    <n v="1"/>
    <n v="3"/>
    <x v="1"/>
    <n v="5.9633894809212791"/>
  </r>
  <r>
    <s v="ID-776"/>
    <n v="0"/>
    <x v="0"/>
    <n v="29"/>
    <n v="0"/>
    <n v="2840"/>
    <n v="16"/>
    <n v="0"/>
    <n v="13"/>
    <n v="3"/>
    <n v="1"/>
    <n v="1"/>
    <n v="30"/>
    <n v="114.24"/>
    <n v="0"/>
    <n v="1"/>
    <x v="0"/>
    <n v="4.0225352112676056"/>
  </r>
  <r>
    <s v="ID-777"/>
    <n v="7"/>
    <x v="1"/>
    <n v="30"/>
    <n v="0"/>
    <n v="2990"/>
    <n v="35"/>
    <n v="1"/>
    <n v="15"/>
    <n v="2"/>
    <n v="1"/>
    <n v="2"/>
    <n v="25"/>
    <n v="140.625"/>
    <n v="1"/>
    <n v="3"/>
    <x v="1"/>
    <n v="4.7031772575250841"/>
  </r>
  <r>
    <s v="ID-778"/>
    <n v="7"/>
    <x v="1"/>
    <n v="31"/>
    <n v="0"/>
    <n v="2268"/>
    <n v="38"/>
    <n v="26"/>
    <n v="30"/>
    <n v="3"/>
    <n v="1"/>
    <n v="2"/>
    <n v="30"/>
    <n v="196.24"/>
    <n v="1"/>
    <n v="3"/>
    <x v="1"/>
    <n v="8.6525573192239857"/>
  </r>
  <r>
    <s v="ID-779"/>
    <n v="0"/>
    <x v="1"/>
    <n v="31"/>
    <n v="0"/>
    <n v="0"/>
    <n v="0"/>
    <n v="0"/>
    <n v="0"/>
    <n v="2"/>
    <n v="1"/>
    <n v="2"/>
    <n v="25"/>
    <n v="0"/>
    <n v="1"/>
    <n v="3"/>
    <x v="1"/>
    <n v="0"/>
  </r>
  <r>
    <s v="ID-780"/>
    <n v="0"/>
    <x v="0"/>
    <n v="31"/>
    <n v="0"/>
    <n v="1668"/>
    <n v="19"/>
    <n v="0"/>
    <n v="5"/>
    <n v="3"/>
    <n v="1"/>
    <n v="1"/>
    <n v="30"/>
    <n v="67.48"/>
    <n v="0"/>
    <n v="1"/>
    <x v="0"/>
    <n v="4.0455635491606721"/>
  </r>
  <r>
    <s v="ID-781"/>
    <n v="1"/>
    <x v="0"/>
    <n v="28"/>
    <n v="0"/>
    <n v="6785"/>
    <n v="91"/>
    <n v="6"/>
    <n v="21"/>
    <n v="4"/>
    <n v="1"/>
    <n v="1"/>
    <n v="45"/>
    <n v="186.9"/>
    <n v="0"/>
    <n v="1"/>
    <x v="0"/>
    <n v="2.7546057479734709"/>
  </r>
  <r>
    <s v="ID-782"/>
    <n v="0"/>
    <x v="0"/>
    <n v="31"/>
    <n v="0"/>
    <n v="628"/>
    <n v="1"/>
    <n v="1"/>
    <n v="3"/>
    <n v="4"/>
    <n v="1"/>
    <n v="2"/>
    <n v="45"/>
    <n v="18.225000000000001"/>
    <n v="1"/>
    <n v="1"/>
    <x v="0"/>
    <n v="2.9020700636942678"/>
  </r>
  <r>
    <s v="ID-783"/>
    <n v="0"/>
    <x v="0"/>
    <n v="31"/>
    <n v="0"/>
    <n v="338"/>
    <n v="5"/>
    <n v="0"/>
    <n v="1"/>
    <n v="4"/>
    <n v="1"/>
    <n v="1"/>
    <n v="45"/>
    <n v="8.5749999999999993"/>
    <n v="0"/>
    <n v="1"/>
    <x v="0"/>
    <n v="2.5369822485207099"/>
  </r>
  <r>
    <s v="ID-784"/>
    <n v="23"/>
    <x v="0"/>
    <n v="26"/>
    <n v="2"/>
    <n v="16075"/>
    <n v="232"/>
    <n v="0"/>
    <n v="79"/>
    <n v="2"/>
    <n v="1"/>
    <n v="1"/>
    <n v="25"/>
    <n v="733.81500000000005"/>
    <n v="0"/>
    <n v="5"/>
    <x v="1"/>
    <n v="4.5649455676516331"/>
  </r>
  <r>
    <s v="ID-785"/>
    <n v="4"/>
    <x v="0"/>
    <n v="29"/>
    <n v="2"/>
    <n v="6965"/>
    <n v="110"/>
    <n v="263"/>
    <n v="32"/>
    <n v="2"/>
    <n v="2"/>
    <n v="1"/>
    <n v="25"/>
    <n v="1501.875"/>
    <n v="0"/>
    <n v="0"/>
    <x v="0"/>
    <n v="21.563173007896626"/>
  </r>
  <r>
    <s v="ID-786"/>
    <n v="0"/>
    <x v="0"/>
    <n v="31"/>
    <n v="0"/>
    <n v="3718"/>
    <n v="76"/>
    <n v="0"/>
    <n v="27"/>
    <n v="2"/>
    <n v="1"/>
    <n v="1"/>
    <n v="25"/>
    <n v="170.73"/>
    <n v="0"/>
    <n v="1"/>
    <x v="0"/>
    <n v="4.5919849381387845"/>
  </r>
  <r>
    <s v="ID-787"/>
    <n v="1"/>
    <x v="0"/>
    <n v="30"/>
    <n v="0"/>
    <n v="1665"/>
    <n v="38"/>
    <n v="30"/>
    <n v="19"/>
    <n v="3"/>
    <n v="1"/>
    <n v="2"/>
    <n v="30"/>
    <n v="188.12"/>
    <n v="0"/>
    <n v="1"/>
    <x v="0"/>
    <n v="11.2984984984985"/>
  </r>
  <r>
    <s v="ID-788"/>
    <n v="4"/>
    <x v="0"/>
    <n v="31"/>
    <n v="0"/>
    <n v="2780"/>
    <n v="47"/>
    <n v="167"/>
    <n v="22"/>
    <n v="2"/>
    <n v="1"/>
    <n v="1"/>
    <n v="25"/>
    <n v="878.71500000000003"/>
    <n v="0"/>
    <n v="1"/>
    <x v="0"/>
    <n v="31.608453237410071"/>
  </r>
  <r>
    <s v="ID-789"/>
    <n v="2"/>
    <x v="0"/>
    <n v="22"/>
    <n v="0"/>
    <n v="1315"/>
    <n v="30"/>
    <n v="185"/>
    <n v="10"/>
    <n v="2"/>
    <n v="2"/>
    <n v="1"/>
    <n v="25"/>
    <n v="893.02499999999998"/>
    <n v="0"/>
    <n v="1"/>
    <x v="0"/>
    <n v="67.910646387832699"/>
  </r>
  <r>
    <s v="ID-790"/>
    <n v="2"/>
    <x v="0"/>
    <n v="21"/>
    <n v="0"/>
    <n v="1568"/>
    <n v="33"/>
    <n v="22"/>
    <n v="67"/>
    <n v="4"/>
    <n v="1"/>
    <n v="1"/>
    <n v="45"/>
    <n v="95.025000000000006"/>
    <n v="0"/>
    <n v="2"/>
    <x v="0"/>
    <n v="6.0602678571428577"/>
  </r>
  <r>
    <s v="ID-791"/>
    <n v="9"/>
    <x v="0"/>
    <n v="22"/>
    <n v="0"/>
    <n v="700"/>
    <n v="19"/>
    <n v="2"/>
    <n v="6"/>
    <n v="2"/>
    <n v="1"/>
    <n v="2"/>
    <n v="25"/>
    <n v="41.354999999999997"/>
    <n v="0"/>
    <n v="1"/>
    <x v="0"/>
    <n v="5.9078571428571429"/>
  </r>
  <r>
    <s v="ID-792"/>
    <n v="0"/>
    <x v="0"/>
    <n v="21"/>
    <n v="0"/>
    <n v="825"/>
    <n v="4"/>
    <n v="13"/>
    <n v="2"/>
    <n v="4"/>
    <n v="1"/>
    <n v="2"/>
    <n v="45"/>
    <n v="53.225000000000001"/>
    <n v="0"/>
    <n v="1"/>
    <x v="0"/>
    <n v="6.4515151515151512"/>
  </r>
  <r>
    <s v="ID-793"/>
    <n v="8"/>
    <x v="0"/>
    <n v="20"/>
    <n v="0"/>
    <n v="1225"/>
    <n v="26"/>
    <n v="11"/>
    <n v="12"/>
    <n v="2"/>
    <n v="1"/>
    <n v="1"/>
    <n v="25"/>
    <n v="105.795"/>
    <n v="0"/>
    <n v="1"/>
    <x v="0"/>
    <n v="8.6363265306122461"/>
  </r>
  <r>
    <s v="ID-794"/>
    <n v="0"/>
    <x v="0"/>
    <n v="20"/>
    <n v="0"/>
    <n v="3225"/>
    <n v="55"/>
    <n v="0"/>
    <n v="22"/>
    <n v="3"/>
    <n v="1"/>
    <n v="1"/>
    <n v="30"/>
    <n v="131.19999999999999"/>
    <n v="0"/>
    <n v="1"/>
    <x v="0"/>
    <n v="4.0682170542635658"/>
  </r>
  <r>
    <s v="ID-795"/>
    <n v="0"/>
    <x v="0"/>
    <n v="13"/>
    <n v="0"/>
    <n v="1695"/>
    <n v="20"/>
    <n v="20"/>
    <n v="13"/>
    <n v="2"/>
    <n v="1"/>
    <n v="1"/>
    <n v="25"/>
    <n v="167.17500000000001"/>
    <n v="0"/>
    <n v="1"/>
    <x v="0"/>
    <n v="9.8628318584070804"/>
  </r>
  <r>
    <s v="ID-796"/>
    <n v="14"/>
    <x v="0"/>
    <n v="12"/>
    <n v="0"/>
    <n v="6392"/>
    <n v="135"/>
    <n v="77"/>
    <n v="41"/>
    <n v="1"/>
    <n v="2"/>
    <n v="1"/>
    <n v="15"/>
    <n v="782.48500000000001"/>
    <n v="0"/>
    <n v="3"/>
    <x v="1"/>
    <n v="12.241630162703379"/>
  </r>
  <r>
    <s v="ID-797"/>
    <n v="10"/>
    <x v="0"/>
    <n v="10"/>
    <n v="0"/>
    <n v="8932"/>
    <n v="165"/>
    <n v="65"/>
    <n v="39"/>
    <n v="4"/>
    <n v="1"/>
    <n v="1"/>
    <n v="45"/>
    <n v="389.92500000000001"/>
    <n v="0"/>
    <n v="3"/>
    <x v="1"/>
    <n v="4.3654836542767574"/>
  </r>
  <r>
    <s v="ID-798"/>
    <n v="6"/>
    <x v="0"/>
    <n v="11"/>
    <n v="2"/>
    <n v="2852"/>
    <n v="39"/>
    <n v="23"/>
    <n v="18"/>
    <n v="3"/>
    <n v="1"/>
    <n v="1"/>
    <n v="30"/>
    <n v="207.64"/>
    <n v="0"/>
    <n v="0"/>
    <x v="0"/>
    <n v="7.280504908835904"/>
  </r>
  <r>
    <s v="ID-799"/>
    <n v="0"/>
    <x v="0"/>
    <n v="4"/>
    <n v="0"/>
    <n v="4390"/>
    <n v="34"/>
    <n v="207"/>
    <n v="9"/>
    <n v="3"/>
    <n v="1"/>
    <n v="1"/>
    <n v="30"/>
    <n v="1004.96"/>
    <n v="0"/>
    <n v="1"/>
    <x v="0"/>
    <n v="22.892027334851935"/>
  </r>
  <r>
    <s v="ID-800"/>
    <n v="1"/>
    <x v="0"/>
    <n v="4"/>
    <n v="0"/>
    <n v="1487"/>
    <n v="13"/>
    <n v="0"/>
    <n v="6"/>
    <n v="2"/>
    <n v="1"/>
    <n v="1"/>
    <n v="25"/>
    <n v="67.5"/>
    <n v="1"/>
    <n v="1"/>
    <x v="0"/>
    <n v="4.5393409549428378"/>
  </r>
  <r>
    <s v="ID-801"/>
    <n v="10"/>
    <x v="0"/>
    <n v="43"/>
    <n v="1"/>
    <n v="4370"/>
    <n v="77"/>
    <n v="13"/>
    <n v="18"/>
    <n v="3"/>
    <n v="1"/>
    <n v="1"/>
    <n v="30"/>
    <n v="229.88"/>
    <n v="0"/>
    <n v="0"/>
    <x v="0"/>
    <n v="5.2604118993135014"/>
  </r>
  <r>
    <s v="ID-802"/>
    <n v="2"/>
    <x v="0"/>
    <n v="44"/>
    <n v="0"/>
    <n v="318"/>
    <n v="11"/>
    <n v="15"/>
    <n v="5"/>
    <n v="3"/>
    <n v="1"/>
    <n v="2"/>
    <n v="30"/>
    <n v="73.16"/>
    <n v="0"/>
    <n v="1"/>
    <x v="0"/>
    <n v="23.0062893081761"/>
  </r>
  <r>
    <s v="ID-803"/>
    <n v="12"/>
    <x v="0"/>
    <n v="42"/>
    <n v="1"/>
    <n v="2453"/>
    <n v="66"/>
    <n v="367"/>
    <n v="25"/>
    <n v="3"/>
    <n v="1"/>
    <n v="1"/>
    <n v="30"/>
    <n v="1568.76"/>
    <n v="0"/>
    <n v="2"/>
    <x v="0"/>
    <n v="63.952710966163885"/>
  </r>
  <r>
    <s v="ID-804"/>
    <n v="12"/>
    <x v="0"/>
    <n v="43"/>
    <n v="1"/>
    <n v="4198"/>
    <n v="72"/>
    <n v="9"/>
    <n v="36"/>
    <n v="1"/>
    <n v="1"/>
    <n v="1"/>
    <n v="15"/>
    <n v="284.35000000000002"/>
    <n v="0"/>
    <n v="2"/>
    <x v="0"/>
    <n v="6.7734635540733681"/>
  </r>
  <r>
    <s v="ID-805"/>
    <n v="5"/>
    <x v="0"/>
    <n v="43"/>
    <n v="1"/>
    <n v="2393"/>
    <n v="64"/>
    <n v="10"/>
    <n v="34"/>
    <n v="2"/>
    <n v="1"/>
    <n v="1"/>
    <n v="25"/>
    <n v="155.565"/>
    <n v="0"/>
    <n v="0"/>
    <x v="0"/>
    <n v="6.5008357709987461"/>
  </r>
  <r>
    <s v="ID-806"/>
    <n v="13"/>
    <x v="0"/>
    <n v="43"/>
    <n v="2"/>
    <n v="3775"/>
    <n v="88"/>
    <n v="40"/>
    <n v="29"/>
    <n v="3"/>
    <n v="1"/>
    <n v="1"/>
    <n v="30"/>
    <n v="314.52"/>
    <n v="0"/>
    <n v="2"/>
    <x v="0"/>
    <n v="8.3316556291390711"/>
  </r>
  <r>
    <s v="ID-807"/>
    <n v="6"/>
    <x v="0"/>
    <n v="43"/>
    <n v="1"/>
    <n v="2360"/>
    <n v="45"/>
    <n v="293"/>
    <n v="19"/>
    <n v="4"/>
    <n v="1"/>
    <n v="1"/>
    <n v="45"/>
    <n v="792.625"/>
    <n v="0"/>
    <n v="0"/>
    <x v="0"/>
    <n v="33.585805084745765"/>
  </r>
  <r>
    <s v="ID-808"/>
    <n v="15"/>
    <x v="0"/>
    <n v="42"/>
    <n v="3"/>
    <n v="9115"/>
    <n v="127"/>
    <n v="152"/>
    <n v="44"/>
    <n v="3"/>
    <n v="1"/>
    <n v="1"/>
    <n v="30"/>
    <n v="977.68"/>
    <n v="0"/>
    <n v="2"/>
    <x v="0"/>
    <n v="10.726055951727922"/>
  </r>
  <r>
    <s v="ID-809"/>
    <n v="9"/>
    <x v="0"/>
    <n v="43"/>
    <n v="1"/>
    <n v="13773"/>
    <n v="175"/>
    <n v="8"/>
    <n v="45"/>
    <n v="3"/>
    <n v="1"/>
    <n v="1"/>
    <n v="30"/>
    <n v="589.91999999999996"/>
    <n v="0"/>
    <n v="2"/>
    <x v="0"/>
    <n v="4.2831627096493134"/>
  </r>
  <r>
    <s v="ID-810"/>
    <n v="9"/>
    <x v="0"/>
    <n v="43"/>
    <n v="2"/>
    <n v="4515"/>
    <n v="89"/>
    <n v="10"/>
    <n v="26"/>
    <n v="3"/>
    <n v="1"/>
    <n v="1"/>
    <n v="30"/>
    <n v="224.16"/>
    <n v="0"/>
    <n v="0"/>
    <x v="0"/>
    <n v="4.964784053156146"/>
  </r>
  <r>
    <s v="ID-811"/>
    <n v="8"/>
    <x v="0"/>
    <n v="43"/>
    <n v="1"/>
    <n v="5918"/>
    <n v="101"/>
    <n v="15"/>
    <n v="13"/>
    <n v="3"/>
    <n v="1"/>
    <n v="1"/>
    <n v="30"/>
    <n v="300.76"/>
    <n v="0"/>
    <n v="0"/>
    <x v="0"/>
    <n v="5.0821223386279151"/>
  </r>
  <r>
    <s v="ID-812"/>
    <n v="11"/>
    <x v="1"/>
    <n v="43"/>
    <n v="0"/>
    <n v="2238"/>
    <n v="60"/>
    <n v="16"/>
    <n v="18"/>
    <n v="3"/>
    <n v="1"/>
    <n v="2"/>
    <n v="30"/>
    <n v="155.91999999999999"/>
    <n v="0"/>
    <n v="5"/>
    <x v="1"/>
    <n v="6.9669347631814107"/>
  </r>
  <r>
    <s v="ID-813"/>
    <n v="27"/>
    <x v="0"/>
    <n v="43"/>
    <n v="4"/>
    <n v="15140"/>
    <n v="231"/>
    <n v="62"/>
    <n v="33"/>
    <n v="3"/>
    <n v="1"/>
    <n v="1"/>
    <n v="30"/>
    <n v="862.84"/>
    <n v="0"/>
    <n v="4"/>
    <x v="1"/>
    <n v="5.6990752972258916"/>
  </r>
  <r>
    <s v="ID-814"/>
    <n v="6"/>
    <x v="0"/>
    <n v="43"/>
    <n v="2"/>
    <n v="3095"/>
    <n v="33"/>
    <n v="491"/>
    <n v="9"/>
    <n v="4"/>
    <n v="1"/>
    <n v="1"/>
    <n v="45"/>
    <n v="1305.7"/>
    <n v="0"/>
    <n v="0"/>
    <x v="0"/>
    <n v="42.187399030694671"/>
  </r>
  <r>
    <s v="ID-815"/>
    <n v="11"/>
    <x v="0"/>
    <n v="42"/>
    <n v="1"/>
    <n v="15485"/>
    <n v="188"/>
    <n v="158"/>
    <n v="31"/>
    <n v="2"/>
    <n v="1"/>
    <n v="1"/>
    <n v="25"/>
    <n v="1416.2850000000001"/>
    <n v="0"/>
    <n v="4"/>
    <x v="1"/>
    <n v="9.1461737164998382"/>
  </r>
  <r>
    <s v="ID-816"/>
    <n v="5"/>
    <x v="0"/>
    <n v="42"/>
    <n v="2"/>
    <n v="6500"/>
    <n v="92"/>
    <n v="194"/>
    <n v="27"/>
    <n v="3"/>
    <n v="1"/>
    <n v="1"/>
    <n v="30"/>
    <n v="1039.68"/>
    <n v="0"/>
    <n v="0"/>
    <x v="0"/>
    <n v="15.995076923076923"/>
  </r>
  <r>
    <s v="ID-817"/>
    <n v="2"/>
    <x v="0"/>
    <n v="42"/>
    <n v="0"/>
    <n v="875"/>
    <n v="20"/>
    <n v="8"/>
    <n v="12"/>
    <n v="2"/>
    <n v="1"/>
    <n v="2"/>
    <n v="25"/>
    <n v="76.275000000000006"/>
    <n v="0"/>
    <n v="1"/>
    <x v="0"/>
    <n v="8.7171428571428589"/>
  </r>
  <r>
    <s v="ID-818"/>
    <n v="4"/>
    <x v="0"/>
    <n v="43"/>
    <n v="0"/>
    <n v="710"/>
    <n v="20"/>
    <n v="21"/>
    <n v="9"/>
    <n v="3"/>
    <n v="1"/>
    <n v="2"/>
    <n v="30"/>
    <n v="113.2"/>
    <n v="0"/>
    <n v="1"/>
    <x v="0"/>
    <n v="15.943661971830986"/>
  </r>
  <r>
    <s v="ID-819"/>
    <n v="0"/>
    <x v="0"/>
    <n v="42"/>
    <n v="0"/>
    <n v="0"/>
    <n v="0"/>
    <n v="8"/>
    <n v="0"/>
    <n v="2"/>
    <n v="1"/>
    <n v="2"/>
    <n v="25"/>
    <n v="36"/>
    <n v="1"/>
    <n v="1"/>
    <x v="0"/>
    <n v="0"/>
  </r>
  <r>
    <s v="ID-820"/>
    <n v="5"/>
    <x v="0"/>
    <n v="42"/>
    <n v="1"/>
    <n v="7508"/>
    <n v="133"/>
    <n v="392"/>
    <n v="44"/>
    <n v="3"/>
    <n v="1"/>
    <n v="1"/>
    <n v="30"/>
    <n v="1873.64"/>
    <n v="0"/>
    <n v="0"/>
    <x v="0"/>
    <n v="24.955247735748536"/>
  </r>
  <r>
    <s v="ID-821"/>
    <n v="9"/>
    <x v="0"/>
    <n v="42"/>
    <n v="2"/>
    <n v="11465"/>
    <n v="160"/>
    <n v="19"/>
    <n v="48"/>
    <n v="4"/>
    <n v="1"/>
    <n v="1"/>
    <n v="45"/>
    <n v="338.125"/>
    <n v="0"/>
    <n v="3"/>
    <x v="1"/>
    <n v="2.9491931966855645"/>
  </r>
  <r>
    <s v="ID-822"/>
    <n v="10"/>
    <x v="0"/>
    <n v="42"/>
    <n v="2"/>
    <n v="6718"/>
    <n v="81"/>
    <n v="116"/>
    <n v="38"/>
    <n v="2"/>
    <n v="1"/>
    <n v="1"/>
    <n v="25"/>
    <n v="827.95500000000004"/>
    <n v="0"/>
    <n v="0"/>
    <x v="0"/>
    <n v="12.32442691277166"/>
  </r>
  <r>
    <s v="ID-823"/>
    <n v="25"/>
    <x v="1"/>
    <n v="38"/>
    <n v="0"/>
    <n v="955"/>
    <n v="53"/>
    <n v="24"/>
    <n v="18"/>
    <n v="3"/>
    <n v="1"/>
    <n v="2"/>
    <n v="30"/>
    <n v="136.32"/>
    <n v="1"/>
    <n v="5"/>
    <x v="1"/>
    <n v="14.274345549738218"/>
  </r>
  <r>
    <s v="ID-824"/>
    <n v="23"/>
    <x v="0"/>
    <n v="41"/>
    <n v="9"/>
    <n v="10435"/>
    <n v="99"/>
    <n v="9"/>
    <n v="43"/>
    <n v="5"/>
    <n v="2"/>
    <n v="1"/>
    <n v="55"/>
    <n v="171.51"/>
    <n v="0"/>
    <n v="2"/>
    <x v="0"/>
    <n v="1.6436032582654529"/>
  </r>
  <r>
    <s v="ID-825"/>
    <n v="15"/>
    <x v="0"/>
    <n v="41"/>
    <n v="2"/>
    <n v="5818"/>
    <n v="104"/>
    <n v="34"/>
    <n v="25"/>
    <n v="3"/>
    <n v="1"/>
    <n v="1"/>
    <n v="30"/>
    <n v="372.88"/>
    <n v="0"/>
    <n v="2"/>
    <x v="0"/>
    <n v="6.4090752836026121"/>
  </r>
  <r>
    <s v="ID-826"/>
    <n v="3"/>
    <x v="0"/>
    <n v="39"/>
    <n v="1"/>
    <n v="2840"/>
    <n v="28"/>
    <n v="8"/>
    <n v="15"/>
    <n v="3"/>
    <n v="1"/>
    <n v="1"/>
    <n v="30"/>
    <n v="146.72"/>
    <n v="0"/>
    <n v="0"/>
    <x v="0"/>
    <n v="5.1661971830985909"/>
  </r>
  <r>
    <s v="ID-827"/>
    <n v="11"/>
    <x v="0"/>
    <n v="40"/>
    <n v="0"/>
    <n v="2990"/>
    <n v="47"/>
    <n v="17"/>
    <n v="17"/>
    <n v="3"/>
    <n v="1"/>
    <n v="2"/>
    <n v="30"/>
    <n v="189.48"/>
    <n v="1"/>
    <n v="3"/>
    <x v="1"/>
    <n v="6.3371237458193983"/>
  </r>
  <r>
    <s v="ID-828"/>
    <n v="11"/>
    <x v="1"/>
    <n v="41"/>
    <n v="0"/>
    <n v="2268"/>
    <n v="50"/>
    <n v="42"/>
    <n v="32"/>
    <n v="4"/>
    <n v="1"/>
    <n v="2"/>
    <n v="45"/>
    <n v="162.94999999999999"/>
    <n v="1"/>
    <n v="5"/>
    <x v="1"/>
    <n v="7.1847442680776004"/>
  </r>
  <r>
    <s v="ID-829"/>
    <n v="2"/>
    <x v="0"/>
    <n v="41"/>
    <n v="0"/>
    <n v="133"/>
    <n v="8"/>
    <n v="8"/>
    <n v="3"/>
    <n v="3"/>
    <n v="1"/>
    <n v="2"/>
    <n v="30"/>
    <n v="37.64"/>
    <n v="1"/>
    <n v="1"/>
    <x v="0"/>
    <n v="28.300751879699249"/>
  </r>
  <r>
    <s v="ID-830"/>
    <n v="3"/>
    <x v="0"/>
    <n v="41"/>
    <n v="1"/>
    <n v="1668"/>
    <n v="31"/>
    <n v="8"/>
    <n v="7"/>
    <n v="4"/>
    <n v="1"/>
    <n v="1"/>
    <n v="45"/>
    <n v="62.475000000000001"/>
    <n v="0"/>
    <n v="0"/>
    <x v="0"/>
    <n v="3.7455035971223025"/>
  </r>
  <r>
    <s v="ID-831"/>
    <n v="5"/>
    <x v="0"/>
    <n v="38"/>
    <n v="2"/>
    <n v="6785"/>
    <n v="103"/>
    <n v="22"/>
    <n v="23"/>
    <n v="5"/>
    <n v="1"/>
    <n v="1"/>
    <n v="55"/>
    <n v="136.32"/>
    <n v="0"/>
    <n v="0"/>
    <x v="0"/>
    <n v="2.0091378039793661"/>
  </r>
  <r>
    <s v="ID-832"/>
    <n v="2"/>
    <x v="0"/>
    <n v="41"/>
    <n v="0"/>
    <n v="628"/>
    <n v="13"/>
    <n v="17"/>
    <n v="5"/>
    <n v="4"/>
    <n v="1"/>
    <n v="2"/>
    <n v="45"/>
    <n v="58.524999999999999"/>
    <n v="1"/>
    <n v="1"/>
    <x v="0"/>
    <n v="9.3192675159235669"/>
  </r>
  <r>
    <s v="ID-833"/>
    <n v="2"/>
    <x v="0"/>
    <n v="41"/>
    <n v="2"/>
    <n v="338"/>
    <n v="10"/>
    <n v="12"/>
    <n v="3"/>
    <n v="5"/>
    <n v="1"/>
    <n v="1"/>
    <n v="55"/>
    <n v="23.22"/>
    <n v="0"/>
    <n v="0"/>
    <x v="0"/>
    <n v="6.8698224852071004"/>
  </r>
  <r>
    <s v="ID-834"/>
    <n v="27"/>
    <x v="0"/>
    <n v="36"/>
    <n v="4"/>
    <n v="16075"/>
    <n v="244"/>
    <n v="8"/>
    <n v="81"/>
    <n v="2"/>
    <n v="1"/>
    <n v="1"/>
    <n v="25"/>
    <n v="770.35500000000002"/>
    <n v="0"/>
    <n v="5"/>
    <x v="1"/>
    <n v="4.7922550544323483"/>
  </r>
  <r>
    <s v="ID-835"/>
    <n v="8"/>
    <x v="0"/>
    <n v="39"/>
    <n v="4"/>
    <n v="6965"/>
    <n v="122"/>
    <n v="279"/>
    <n v="34"/>
    <n v="3"/>
    <n v="2"/>
    <n v="1"/>
    <n v="30"/>
    <n v="1399.48"/>
    <n v="0"/>
    <n v="0"/>
    <x v="0"/>
    <n v="20.093036611629579"/>
  </r>
  <r>
    <s v="ID-836"/>
    <n v="4"/>
    <x v="0"/>
    <n v="41"/>
    <n v="1"/>
    <n v="3718"/>
    <n v="88"/>
    <n v="10"/>
    <n v="29"/>
    <n v="3"/>
    <n v="1"/>
    <n v="1"/>
    <n v="30"/>
    <n v="192.24"/>
    <n v="0"/>
    <n v="0"/>
    <x v="0"/>
    <n v="5.1705217859064012"/>
  </r>
  <r>
    <s v="ID-837"/>
    <n v="5"/>
    <x v="0"/>
    <n v="40"/>
    <n v="0"/>
    <n v="1665"/>
    <n v="50"/>
    <n v="46"/>
    <n v="21"/>
    <n v="4"/>
    <n v="1"/>
    <n v="2"/>
    <n v="45"/>
    <n v="157.875"/>
    <n v="0"/>
    <n v="1"/>
    <x v="0"/>
    <n v="9.4819819819819831"/>
  </r>
  <r>
    <s v="ID-838"/>
    <n v="8"/>
    <x v="0"/>
    <n v="41"/>
    <n v="1"/>
    <n v="2780"/>
    <n v="59"/>
    <n v="183"/>
    <n v="24"/>
    <n v="2"/>
    <n v="1"/>
    <n v="1"/>
    <n v="25"/>
    <n v="951.255"/>
    <n v="0"/>
    <n v="0"/>
    <x v="0"/>
    <n v="34.217805755395688"/>
  </r>
  <r>
    <s v="ID-839"/>
    <n v="6"/>
    <x v="1"/>
    <n v="32"/>
    <n v="2"/>
    <n v="1315"/>
    <n v="42"/>
    <n v="201"/>
    <n v="12"/>
    <n v="3"/>
    <n v="2"/>
    <n v="1"/>
    <n v="30"/>
    <n v="858.28"/>
    <n v="1"/>
    <n v="2"/>
    <x v="0"/>
    <n v="65.268441064638779"/>
  </r>
  <r>
    <s v="ID-840"/>
    <n v="6"/>
    <x v="0"/>
    <n v="31"/>
    <n v="1"/>
    <n v="1568"/>
    <n v="45"/>
    <n v="38"/>
    <n v="69"/>
    <n v="5"/>
    <n v="1"/>
    <n v="1"/>
    <n v="55"/>
    <n v="81.194999999999993"/>
    <n v="0"/>
    <n v="1"/>
    <x v="0"/>
    <n v="5.1782525510204076"/>
  </r>
  <r>
    <s v="ID-841"/>
    <n v="13"/>
    <x v="0"/>
    <n v="32"/>
    <n v="0"/>
    <n v="700"/>
    <n v="31"/>
    <n v="18"/>
    <n v="8"/>
    <n v="3"/>
    <n v="1"/>
    <n v="2"/>
    <n v="30"/>
    <n v="101.24"/>
    <n v="0"/>
    <n v="3"/>
    <x v="1"/>
    <n v="14.462857142857141"/>
  </r>
  <r>
    <s v="ID-842"/>
    <n v="2"/>
    <x v="0"/>
    <n v="31"/>
    <n v="0"/>
    <n v="825"/>
    <n v="16"/>
    <n v="29"/>
    <n v="4"/>
    <n v="4"/>
    <n v="1"/>
    <n v="2"/>
    <n v="45"/>
    <n v="93.525000000000006"/>
    <n v="0"/>
    <n v="1"/>
    <x v="0"/>
    <n v="11.336363636363638"/>
  </r>
  <r>
    <s v="ID-843"/>
    <n v="12"/>
    <x v="0"/>
    <n v="30"/>
    <n v="1"/>
    <n v="1225"/>
    <n v="38"/>
    <n v="27"/>
    <n v="14"/>
    <n v="2"/>
    <n v="1"/>
    <n v="1"/>
    <n v="25"/>
    <n v="178.33500000000001"/>
    <n v="0"/>
    <n v="2"/>
    <x v="0"/>
    <n v="14.55795918367347"/>
  </r>
  <r>
    <s v="ID-844"/>
    <n v="4"/>
    <x v="0"/>
    <n v="30"/>
    <n v="1"/>
    <n v="3225"/>
    <n v="67"/>
    <n v="16"/>
    <n v="24"/>
    <n v="3"/>
    <n v="1"/>
    <n v="1"/>
    <n v="30"/>
    <n v="195.68"/>
    <n v="0"/>
    <n v="0"/>
    <x v="0"/>
    <n v="6.0675968992248066"/>
  </r>
  <r>
    <s v="ID-845"/>
    <n v="4"/>
    <x v="0"/>
    <n v="23"/>
    <n v="1"/>
    <n v="1695"/>
    <n v="32"/>
    <n v="36"/>
    <n v="15"/>
    <n v="3"/>
    <n v="1"/>
    <n v="1"/>
    <n v="30"/>
    <n v="213.08"/>
    <n v="0"/>
    <n v="0"/>
    <x v="0"/>
    <n v="12.571091445427729"/>
  </r>
  <r>
    <s v="ID-846"/>
    <n v="18"/>
    <x v="0"/>
    <n v="22"/>
    <n v="2"/>
    <n v="6392"/>
    <n v="147"/>
    <n v="93"/>
    <n v="43"/>
    <n v="2"/>
    <n v="2"/>
    <n v="1"/>
    <n v="25"/>
    <n v="712.755"/>
    <n v="0"/>
    <n v="4"/>
    <x v="1"/>
    <n v="11.150735294117647"/>
  </r>
  <r>
    <s v="ID-847"/>
    <n v="14"/>
    <x v="0"/>
    <n v="20"/>
    <n v="1"/>
    <n v="8932"/>
    <n v="177"/>
    <n v="81"/>
    <n v="41"/>
    <n v="5"/>
    <n v="1"/>
    <n v="1"/>
    <n v="55"/>
    <n v="258.13499999999999"/>
    <n v="0"/>
    <n v="4"/>
    <x v="1"/>
    <n v="2.8900022391401698"/>
  </r>
  <r>
    <s v="ID-848"/>
    <n v="10"/>
    <x v="0"/>
    <n v="21"/>
    <n v="4"/>
    <n v="2852"/>
    <n v="51"/>
    <n v="39"/>
    <n v="20"/>
    <n v="3"/>
    <n v="1"/>
    <n v="1"/>
    <n v="30"/>
    <n v="272.12"/>
    <n v="0"/>
    <n v="0"/>
    <x v="0"/>
    <n v="9.5413744740532955"/>
  </r>
  <r>
    <s v="ID-849"/>
    <n v="4"/>
    <x v="0"/>
    <n v="14"/>
    <n v="2"/>
    <n v="4390"/>
    <n v="46"/>
    <n v="223"/>
    <n v="11"/>
    <n v="3"/>
    <n v="1"/>
    <n v="1"/>
    <n v="30"/>
    <n v="1069.44"/>
    <n v="0"/>
    <n v="0"/>
    <x v="0"/>
    <n v="24.360820045558089"/>
  </r>
  <r>
    <s v="ID-850"/>
    <n v="5"/>
    <x v="1"/>
    <n v="14"/>
    <n v="2"/>
    <n v="1487"/>
    <n v="25"/>
    <n v="8"/>
    <n v="8"/>
    <n v="3"/>
    <n v="1"/>
    <n v="1"/>
    <n v="30"/>
    <n v="92.48"/>
    <n v="1"/>
    <n v="2"/>
    <x v="0"/>
    <n v="6.2192333557498323"/>
  </r>
  <r>
    <s v="ID-851"/>
    <n v="14"/>
    <x v="0"/>
    <n v="39"/>
    <n v="1"/>
    <n v="5080"/>
    <n v="82"/>
    <n v="30"/>
    <n v="17"/>
    <n v="3"/>
    <n v="1"/>
    <n v="1"/>
    <n v="30"/>
    <n v="326.48"/>
    <n v="0"/>
    <n v="2"/>
    <x v="0"/>
    <n v="6.4267716535433079"/>
  </r>
  <r>
    <s v="ID-852"/>
    <n v="6"/>
    <x v="0"/>
    <n v="40"/>
    <n v="0"/>
    <n v="1028"/>
    <n v="16"/>
    <n v="15"/>
    <n v="4"/>
    <n v="3"/>
    <n v="1"/>
    <n v="2"/>
    <n v="30"/>
    <n v="101.76"/>
    <n v="0"/>
    <n v="1"/>
    <x v="0"/>
    <n v="9.8988326848249031"/>
  </r>
  <r>
    <s v="ID-853"/>
    <n v="16"/>
    <x v="0"/>
    <n v="38"/>
    <n v="1"/>
    <n v="3163"/>
    <n v="71"/>
    <n v="367"/>
    <n v="24"/>
    <n v="3"/>
    <n v="1"/>
    <n v="1"/>
    <n v="30"/>
    <n v="1597.36"/>
    <n v="0"/>
    <n v="2"/>
    <x v="0"/>
    <n v="50.50142269996838"/>
  </r>
  <r>
    <s v="ID-854"/>
    <n v="16"/>
    <x v="0"/>
    <n v="39"/>
    <n v="1"/>
    <n v="4908"/>
    <n v="77"/>
    <n v="9"/>
    <n v="35"/>
    <n v="1"/>
    <n v="1"/>
    <n v="1"/>
    <n v="15"/>
    <n v="323.67500000000001"/>
    <n v="0"/>
    <n v="2"/>
    <x v="0"/>
    <n v="6.5948451507742467"/>
  </r>
  <r>
    <s v="ID-855"/>
    <n v="9"/>
    <x v="0"/>
    <n v="39"/>
    <n v="1"/>
    <n v="3103"/>
    <n v="69"/>
    <n v="10"/>
    <n v="33"/>
    <n v="2"/>
    <n v="1"/>
    <n v="1"/>
    <n v="25"/>
    <n v="187.74"/>
    <n v="0"/>
    <n v="0"/>
    <x v="0"/>
    <n v="6.0502739284563329"/>
  </r>
  <r>
    <s v="ID-856"/>
    <n v="17"/>
    <x v="0"/>
    <n v="39"/>
    <n v="2"/>
    <n v="4485"/>
    <n v="93"/>
    <n v="40"/>
    <n v="28"/>
    <n v="3"/>
    <n v="1"/>
    <n v="1"/>
    <n v="30"/>
    <n v="343.12"/>
    <n v="0"/>
    <n v="2"/>
    <x v="0"/>
    <n v="7.6503901895206239"/>
  </r>
  <r>
    <s v="ID-857"/>
    <n v="10"/>
    <x v="0"/>
    <n v="39"/>
    <n v="1"/>
    <n v="3070"/>
    <n v="50"/>
    <n v="293"/>
    <n v="18"/>
    <n v="3"/>
    <n v="1"/>
    <n v="1"/>
    <n v="30"/>
    <n v="1296.8"/>
    <n v="0"/>
    <n v="0"/>
    <x v="0"/>
    <n v="42.241042345276867"/>
  </r>
  <r>
    <s v="ID-858"/>
    <n v="19"/>
    <x v="0"/>
    <n v="38"/>
    <n v="3"/>
    <n v="9825"/>
    <n v="132"/>
    <n v="152"/>
    <n v="43"/>
    <n v="3"/>
    <n v="1"/>
    <n v="1"/>
    <n v="30"/>
    <n v="1006.28"/>
    <n v="0"/>
    <n v="2"/>
    <x v="0"/>
    <n v="10.242035623409668"/>
  </r>
  <r>
    <s v="ID-859"/>
    <n v="13"/>
    <x v="0"/>
    <n v="39"/>
    <n v="1"/>
    <n v="14483"/>
    <n v="180"/>
    <n v="8"/>
    <n v="44"/>
    <n v="3"/>
    <n v="1"/>
    <n v="1"/>
    <n v="30"/>
    <n v="618.52"/>
    <n v="0"/>
    <n v="4"/>
    <x v="1"/>
    <n v="4.27066215563074"/>
  </r>
  <r>
    <s v="ID-860"/>
    <n v="13"/>
    <x v="0"/>
    <n v="39"/>
    <n v="2"/>
    <n v="5225"/>
    <n v="94"/>
    <n v="10"/>
    <n v="25"/>
    <n v="3"/>
    <n v="1"/>
    <n v="1"/>
    <n v="30"/>
    <n v="252.76"/>
    <n v="0"/>
    <n v="2"/>
    <x v="0"/>
    <n v="4.8375119617224875"/>
  </r>
  <r>
    <s v="ID-861"/>
    <n v="12"/>
    <x v="0"/>
    <n v="39"/>
    <n v="1"/>
    <n v="6628"/>
    <n v="106"/>
    <n v="15"/>
    <n v="12"/>
    <n v="3"/>
    <n v="1"/>
    <n v="1"/>
    <n v="30"/>
    <n v="329.36"/>
    <n v="0"/>
    <n v="2"/>
    <x v="0"/>
    <n v="4.9692214846107428"/>
  </r>
  <r>
    <s v="ID-862"/>
    <n v="15"/>
    <x v="0"/>
    <n v="39"/>
    <n v="0"/>
    <n v="2948"/>
    <n v="65"/>
    <n v="16"/>
    <n v="17"/>
    <n v="3"/>
    <n v="1"/>
    <n v="2"/>
    <n v="30"/>
    <n v="184.52"/>
    <n v="0"/>
    <n v="3"/>
    <x v="1"/>
    <n v="6.2591587516960656"/>
  </r>
  <r>
    <s v="ID-863"/>
    <n v="31"/>
    <x v="1"/>
    <n v="39"/>
    <n v="4"/>
    <n v="15850"/>
    <n v="236"/>
    <n v="62"/>
    <n v="32"/>
    <n v="3"/>
    <n v="1"/>
    <n v="1"/>
    <n v="30"/>
    <n v="891.44"/>
    <n v="0"/>
    <n v="6"/>
    <x v="2"/>
    <n v="5.6242271293375401"/>
  </r>
  <r>
    <s v="ID-864"/>
    <n v="10"/>
    <x v="0"/>
    <n v="39"/>
    <n v="2"/>
    <n v="3805"/>
    <n v="38"/>
    <n v="491"/>
    <n v="8"/>
    <n v="3"/>
    <n v="1"/>
    <n v="1"/>
    <n v="30"/>
    <n v="2117.7199999999998"/>
    <n v="0"/>
    <n v="0"/>
    <x v="0"/>
    <n v="55.656241787122205"/>
  </r>
  <r>
    <s v="ID-865"/>
    <n v="15"/>
    <x v="0"/>
    <n v="38"/>
    <n v="1"/>
    <n v="16195"/>
    <n v="193"/>
    <n v="158"/>
    <n v="30"/>
    <n v="2"/>
    <n v="1"/>
    <n v="1"/>
    <n v="25"/>
    <n v="1448.46"/>
    <n v="0"/>
    <n v="4"/>
    <x v="1"/>
    <n v="8.9438715652979308"/>
  </r>
  <r>
    <s v="ID-866"/>
    <n v="9"/>
    <x v="0"/>
    <n v="38"/>
    <n v="2"/>
    <n v="7210"/>
    <n v="97"/>
    <n v="194"/>
    <n v="26"/>
    <n v="3"/>
    <n v="1"/>
    <n v="1"/>
    <n v="30"/>
    <n v="1068.28"/>
    <n v="0"/>
    <n v="0"/>
    <x v="0"/>
    <n v="14.816643550624134"/>
  </r>
  <r>
    <s v="ID-867"/>
    <n v="6"/>
    <x v="0"/>
    <n v="38"/>
    <n v="0"/>
    <n v="1585"/>
    <n v="25"/>
    <n v="8"/>
    <n v="11"/>
    <n v="2"/>
    <n v="1"/>
    <n v="2"/>
    <n v="25"/>
    <n v="108.45"/>
    <n v="0"/>
    <n v="1"/>
    <x v="0"/>
    <n v="6.8422712933753944"/>
  </r>
  <r>
    <s v="ID-868"/>
    <n v="8"/>
    <x v="0"/>
    <n v="39"/>
    <n v="0"/>
    <n v="1420"/>
    <n v="25"/>
    <n v="21"/>
    <n v="8"/>
    <n v="3"/>
    <n v="1"/>
    <n v="2"/>
    <n v="30"/>
    <n v="141.80000000000001"/>
    <n v="0"/>
    <n v="1"/>
    <x v="0"/>
    <n v="9.9859154929577478"/>
  </r>
  <r>
    <s v="ID-869"/>
    <n v="6"/>
    <x v="0"/>
    <n v="38"/>
    <n v="0"/>
    <n v="710"/>
    <n v="11"/>
    <n v="8"/>
    <n v="2"/>
    <n v="2"/>
    <n v="1"/>
    <n v="2"/>
    <n v="25"/>
    <n v="68.444999999999993"/>
    <n v="1"/>
    <n v="1"/>
    <x v="0"/>
    <n v="9.6401408450704213"/>
  </r>
  <r>
    <s v="ID-870"/>
    <n v="9"/>
    <x v="0"/>
    <n v="38"/>
    <n v="1"/>
    <n v="8218"/>
    <n v="138"/>
    <n v="392"/>
    <n v="43"/>
    <n v="3"/>
    <n v="1"/>
    <n v="1"/>
    <n v="30"/>
    <n v="1902.24"/>
    <n v="0"/>
    <n v="0"/>
    <x v="0"/>
    <n v="23.14723777074714"/>
  </r>
  <r>
    <s v="ID-871"/>
    <n v="13"/>
    <x v="0"/>
    <n v="38"/>
    <n v="2"/>
    <n v="12175"/>
    <n v="165"/>
    <n v="19"/>
    <n v="47"/>
    <n v="4"/>
    <n v="1"/>
    <n v="1"/>
    <n v="45"/>
    <n v="356"/>
    <n v="0"/>
    <n v="4"/>
    <x v="1"/>
    <n v="2.924024640657084"/>
  </r>
  <r>
    <s v="ID-872"/>
    <n v="14"/>
    <x v="0"/>
    <n v="38"/>
    <n v="2"/>
    <n v="7428"/>
    <n v="86"/>
    <n v="116"/>
    <n v="37"/>
    <n v="2"/>
    <n v="1"/>
    <n v="1"/>
    <n v="25"/>
    <n v="860.13"/>
    <n v="0"/>
    <n v="2"/>
    <x v="0"/>
    <n v="11.57956381260097"/>
  </r>
  <r>
    <s v="ID-873"/>
    <n v="29"/>
    <x v="1"/>
    <n v="34"/>
    <n v="0"/>
    <n v="1665"/>
    <n v="58"/>
    <n v="24"/>
    <n v="17"/>
    <n v="3"/>
    <n v="1"/>
    <n v="2"/>
    <n v="30"/>
    <n v="164.92"/>
    <n v="1"/>
    <n v="5"/>
    <x v="1"/>
    <n v="9.905105105105104"/>
  </r>
  <r>
    <s v="ID-874"/>
    <n v="27"/>
    <x v="0"/>
    <n v="37"/>
    <n v="9"/>
    <n v="11145"/>
    <n v="104"/>
    <n v="9"/>
    <n v="42"/>
    <n v="5"/>
    <n v="2"/>
    <n v="1"/>
    <n v="55"/>
    <n v="182.23500000000001"/>
    <n v="0"/>
    <n v="2"/>
    <x v="0"/>
    <n v="1.6351278600269181"/>
  </r>
  <r>
    <s v="ID-875"/>
    <n v="19"/>
    <x v="0"/>
    <n v="37"/>
    <n v="2"/>
    <n v="6528"/>
    <n v="109"/>
    <n v="34"/>
    <n v="24"/>
    <n v="2"/>
    <n v="1"/>
    <n v="1"/>
    <n v="25"/>
    <n v="451.66500000000002"/>
    <n v="0"/>
    <n v="2"/>
    <x v="0"/>
    <n v="6.9188878676470598"/>
  </r>
  <r>
    <s v="ID-876"/>
    <n v="7"/>
    <x v="0"/>
    <n v="35"/>
    <n v="1"/>
    <n v="3550"/>
    <n v="33"/>
    <n v="8"/>
    <n v="14"/>
    <n v="3"/>
    <n v="1"/>
    <n v="1"/>
    <n v="30"/>
    <n v="175.32"/>
    <n v="0"/>
    <n v="0"/>
    <x v="0"/>
    <n v="4.9385915492957748"/>
  </r>
  <r>
    <s v="ID-877"/>
    <n v="15"/>
    <x v="1"/>
    <n v="36"/>
    <n v="0"/>
    <n v="3700"/>
    <n v="52"/>
    <n v="17"/>
    <n v="16"/>
    <n v="3"/>
    <n v="1"/>
    <n v="2"/>
    <n v="30"/>
    <n v="218.08"/>
    <n v="1"/>
    <n v="5"/>
    <x v="1"/>
    <n v="5.8940540540540542"/>
  </r>
  <r>
    <s v="ID-878"/>
    <n v="15"/>
    <x v="1"/>
    <n v="37"/>
    <n v="0"/>
    <n v="2978"/>
    <n v="55"/>
    <n v="42"/>
    <n v="31"/>
    <n v="3"/>
    <n v="1"/>
    <n v="2"/>
    <n v="30"/>
    <n v="289.32"/>
    <n v="1"/>
    <n v="5"/>
    <x v="1"/>
    <n v="9.7152451309603762"/>
  </r>
  <r>
    <s v="ID-879"/>
    <n v="6"/>
    <x v="0"/>
    <n v="37"/>
    <n v="0"/>
    <n v="843"/>
    <n v="13"/>
    <n v="8"/>
    <n v="2"/>
    <n v="3"/>
    <n v="1"/>
    <n v="2"/>
    <n v="30"/>
    <n v="66.239999999999995"/>
    <n v="1"/>
    <n v="1"/>
    <x v="0"/>
    <n v="7.8576512455516019"/>
  </r>
  <r>
    <s v="ID-880"/>
    <n v="7"/>
    <x v="0"/>
    <n v="37"/>
    <n v="1"/>
    <n v="2378"/>
    <n v="36"/>
    <n v="8"/>
    <n v="6"/>
    <n v="4"/>
    <n v="1"/>
    <n v="1"/>
    <n v="45"/>
    <n v="80.349999999999994"/>
    <n v="0"/>
    <n v="0"/>
    <x v="0"/>
    <n v="3.3788898233809919"/>
  </r>
  <r>
    <s v="ID-881"/>
    <n v="9"/>
    <x v="0"/>
    <n v="34"/>
    <n v="2"/>
    <n v="7495"/>
    <n v="108"/>
    <n v="22"/>
    <n v="22"/>
    <n v="5"/>
    <n v="1"/>
    <n v="1"/>
    <n v="55"/>
    <n v="147.04499999999999"/>
    <n v="0"/>
    <n v="0"/>
    <x v="0"/>
    <n v="1.9619079386257503"/>
  </r>
  <r>
    <s v="ID-882"/>
    <n v="6"/>
    <x v="1"/>
    <n v="37"/>
    <n v="0"/>
    <n v="1338"/>
    <n v="18"/>
    <n v="17"/>
    <n v="4"/>
    <n v="4"/>
    <n v="1"/>
    <n v="2"/>
    <n v="45"/>
    <n v="76.400000000000006"/>
    <n v="1"/>
    <n v="3"/>
    <x v="1"/>
    <n v="5.7100149476831099"/>
  </r>
  <r>
    <s v="ID-883"/>
    <n v="6"/>
    <x v="0"/>
    <n v="37"/>
    <n v="2"/>
    <n v="1048"/>
    <n v="15"/>
    <n v="12"/>
    <n v="2"/>
    <n v="5"/>
    <n v="1"/>
    <n v="1"/>
    <n v="55"/>
    <n v="33.945"/>
    <n v="0"/>
    <n v="0"/>
    <x v="0"/>
    <n v="3.2390267175572522"/>
  </r>
  <r>
    <s v="ID-884"/>
    <n v="31"/>
    <x v="1"/>
    <n v="32"/>
    <n v="4"/>
    <n v="16785"/>
    <n v="249"/>
    <n v="8"/>
    <n v="80"/>
    <n v="2"/>
    <n v="1"/>
    <n v="1"/>
    <n v="25"/>
    <n v="802.53"/>
    <n v="0"/>
    <n v="7"/>
    <x v="2"/>
    <n v="4.7812332439678285"/>
  </r>
  <r>
    <s v="ID-885"/>
    <n v="12"/>
    <x v="1"/>
    <n v="35"/>
    <n v="4"/>
    <n v="7675"/>
    <n v="127"/>
    <n v="279"/>
    <n v="33"/>
    <n v="3"/>
    <n v="2"/>
    <n v="1"/>
    <n v="30"/>
    <n v="1428.08"/>
    <n v="0"/>
    <n v="4"/>
    <x v="1"/>
    <n v="18.60690553745928"/>
  </r>
  <r>
    <s v="ID-886"/>
    <n v="8"/>
    <x v="0"/>
    <n v="37"/>
    <n v="1"/>
    <n v="4428"/>
    <n v="93"/>
    <n v="10"/>
    <n v="28"/>
    <n v="3"/>
    <n v="1"/>
    <n v="1"/>
    <n v="30"/>
    <n v="220.84"/>
    <n v="0"/>
    <n v="0"/>
    <x v="0"/>
    <n v="4.9873532068654018"/>
  </r>
  <r>
    <s v="ID-887"/>
    <n v="9"/>
    <x v="0"/>
    <n v="36"/>
    <n v="0"/>
    <n v="2375"/>
    <n v="55"/>
    <n v="46"/>
    <n v="20"/>
    <n v="3"/>
    <n v="1"/>
    <n v="2"/>
    <n v="30"/>
    <n v="281.2"/>
    <n v="0"/>
    <n v="1"/>
    <x v="0"/>
    <n v="11.84"/>
  </r>
  <r>
    <s v="ID-888"/>
    <n v="12"/>
    <x v="0"/>
    <n v="37"/>
    <n v="1"/>
    <n v="3490"/>
    <n v="64"/>
    <n v="183"/>
    <n v="23"/>
    <n v="2"/>
    <n v="1"/>
    <n v="1"/>
    <n v="25"/>
    <n v="983.43"/>
    <n v="0"/>
    <n v="2"/>
    <x v="0"/>
    <n v="28.178510028653292"/>
  </r>
  <r>
    <s v="ID-889"/>
    <n v="10"/>
    <x v="0"/>
    <n v="28"/>
    <n v="2"/>
    <n v="2025"/>
    <n v="47"/>
    <n v="201"/>
    <n v="11"/>
    <n v="3"/>
    <n v="2"/>
    <n v="1"/>
    <n v="30"/>
    <n v="886.88"/>
    <n v="0"/>
    <n v="0"/>
    <x v="0"/>
    <n v="43.796543209876546"/>
  </r>
  <r>
    <s v="ID-890"/>
    <n v="10"/>
    <x v="0"/>
    <n v="27"/>
    <n v="1"/>
    <n v="2278"/>
    <n v="50"/>
    <n v="38"/>
    <n v="68"/>
    <n v="4"/>
    <n v="1"/>
    <n v="1"/>
    <n v="45"/>
    <n v="153.19999999999999"/>
    <n v="0"/>
    <n v="1"/>
    <x v="0"/>
    <n v="6.7251975417032481"/>
  </r>
  <r>
    <s v="ID-891"/>
    <n v="17"/>
    <x v="0"/>
    <n v="28"/>
    <n v="0"/>
    <n v="1410"/>
    <n v="36"/>
    <n v="18"/>
    <n v="7"/>
    <n v="3"/>
    <n v="1"/>
    <n v="2"/>
    <n v="30"/>
    <n v="129.84"/>
    <n v="0"/>
    <n v="3"/>
    <x v="1"/>
    <n v="9.2085106382978736"/>
  </r>
  <r>
    <s v="ID-892"/>
    <n v="6"/>
    <x v="0"/>
    <n v="27"/>
    <n v="0"/>
    <n v="1535"/>
    <n v="21"/>
    <n v="29"/>
    <n v="3"/>
    <n v="4"/>
    <n v="1"/>
    <n v="2"/>
    <n v="45"/>
    <n v="111.4"/>
    <n v="0"/>
    <n v="1"/>
    <x v="0"/>
    <n v="7.2573289902280136"/>
  </r>
  <r>
    <s v="ID-893"/>
    <n v="16"/>
    <x v="0"/>
    <n v="26"/>
    <n v="1"/>
    <n v="1935"/>
    <n v="43"/>
    <n v="27"/>
    <n v="13"/>
    <n v="2"/>
    <n v="1"/>
    <n v="1"/>
    <n v="25"/>
    <n v="210.51"/>
    <n v="0"/>
    <n v="2"/>
    <x v="0"/>
    <n v="10.879069767441859"/>
  </r>
  <r>
    <s v="ID-894"/>
    <n v="8"/>
    <x v="0"/>
    <n v="26"/>
    <n v="1"/>
    <n v="3935"/>
    <n v="72"/>
    <n v="16"/>
    <n v="23"/>
    <n v="3"/>
    <n v="1"/>
    <n v="1"/>
    <n v="30"/>
    <n v="224.28"/>
    <n v="0"/>
    <n v="0"/>
    <x v="0"/>
    <n v="5.699618805590851"/>
  </r>
  <r>
    <s v="ID-895"/>
    <n v="8"/>
    <x v="0"/>
    <n v="19"/>
    <n v="1"/>
    <n v="2405"/>
    <n v="37"/>
    <n v="36"/>
    <n v="14"/>
    <n v="2"/>
    <n v="1"/>
    <n v="1"/>
    <n v="25"/>
    <n v="271.89"/>
    <n v="0"/>
    <n v="0"/>
    <x v="0"/>
    <n v="11.305197505197505"/>
  </r>
  <r>
    <s v="ID-896"/>
    <n v="22"/>
    <x v="0"/>
    <n v="18"/>
    <n v="2"/>
    <n v="7102"/>
    <n v="152"/>
    <n v="93"/>
    <n v="42"/>
    <n v="2"/>
    <n v="2"/>
    <n v="1"/>
    <n v="25"/>
    <n v="744.93"/>
    <n v="0"/>
    <n v="4"/>
    <x v="1"/>
    <n v="10.489017178259646"/>
  </r>
  <r>
    <s v="ID-897"/>
    <n v="18"/>
    <x v="0"/>
    <n v="16"/>
    <n v="1"/>
    <n v="9642"/>
    <n v="182"/>
    <n v="81"/>
    <n v="40"/>
    <n v="5"/>
    <n v="1"/>
    <n v="1"/>
    <n v="55"/>
    <n v="268.86"/>
    <n v="0"/>
    <n v="4"/>
    <x v="1"/>
    <n v="2.7884256378344743"/>
  </r>
  <r>
    <s v="ID-898"/>
    <n v="14"/>
    <x v="0"/>
    <n v="17"/>
    <n v="4"/>
    <n v="3562"/>
    <n v="56"/>
    <n v="39"/>
    <n v="19"/>
    <n v="3"/>
    <n v="2"/>
    <n v="1"/>
    <n v="30"/>
    <n v="300.72000000000003"/>
    <n v="0"/>
    <n v="2"/>
    <x v="0"/>
    <n v="8.4424480628860188"/>
  </r>
  <r>
    <s v="ID-899"/>
    <n v="8"/>
    <x v="0"/>
    <n v="10"/>
    <n v="2"/>
    <n v="5100"/>
    <n v="51"/>
    <n v="223"/>
    <n v="10"/>
    <n v="3"/>
    <n v="1"/>
    <n v="1"/>
    <n v="30"/>
    <n v="1098.04"/>
    <n v="0"/>
    <n v="0"/>
    <x v="0"/>
    <n v="21.53019607843137"/>
  </r>
  <r>
    <s v="ID-900"/>
    <n v="9"/>
    <x v="0"/>
    <n v="10"/>
    <n v="2"/>
    <n v="2197"/>
    <n v="30"/>
    <n v="8"/>
    <n v="7"/>
    <n v="3"/>
    <n v="1"/>
    <n v="1"/>
    <n v="30"/>
    <n v="121.08"/>
    <n v="1"/>
    <n v="0"/>
    <x v="0"/>
    <n v="5.5111515703231682"/>
  </r>
  <r>
    <s v="ID-901"/>
    <n v="2"/>
    <x v="0"/>
    <n v="37"/>
    <n v="0"/>
    <n v="3660"/>
    <n v="60"/>
    <n v="0"/>
    <n v="17"/>
    <n v="2"/>
    <n v="1"/>
    <n v="1"/>
    <n v="25"/>
    <n v="167.4"/>
    <n v="0"/>
    <n v="1"/>
    <x v="0"/>
    <n v="4.5737704918032787"/>
  </r>
  <r>
    <s v="ID-902"/>
    <n v="0"/>
    <x v="0"/>
    <n v="38"/>
    <n v="0"/>
    <n v="0"/>
    <n v="0"/>
    <n v="0"/>
    <n v="0"/>
    <n v="2"/>
    <n v="1"/>
    <n v="2"/>
    <n v="25"/>
    <n v="0"/>
    <n v="0"/>
    <n v="1"/>
    <x v="0"/>
    <n v="0"/>
  </r>
  <r>
    <s v="ID-903"/>
    <n v="4"/>
    <x v="0"/>
    <n v="36"/>
    <n v="0"/>
    <n v="1743"/>
    <n v="49"/>
    <n v="334"/>
    <n v="24"/>
    <n v="2"/>
    <n v="1"/>
    <n v="1"/>
    <n v="25"/>
    <n v="1583.64"/>
    <n v="0"/>
    <n v="1"/>
    <x v="0"/>
    <n v="90.857142857142861"/>
  </r>
  <r>
    <s v="ID-904"/>
    <n v="4"/>
    <x v="0"/>
    <n v="37"/>
    <n v="0"/>
    <n v="3488"/>
    <n v="55"/>
    <n v="0"/>
    <n v="35"/>
    <n v="1"/>
    <n v="1"/>
    <n v="1"/>
    <n v="15"/>
    <n v="194.86500000000001"/>
    <n v="0"/>
    <n v="1"/>
    <x v="0"/>
    <n v="5.5867259174311927"/>
  </r>
  <r>
    <s v="ID-905"/>
    <n v="0"/>
    <x v="0"/>
    <n v="37"/>
    <n v="0"/>
    <n v="1683"/>
    <n v="47"/>
    <n v="0"/>
    <n v="33"/>
    <n v="1"/>
    <n v="1"/>
    <n v="1"/>
    <n v="15"/>
    <n v="95.15"/>
    <n v="0"/>
    <n v="1"/>
    <x v="0"/>
    <n v="5.6535947712418304"/>
  </r>
  <r>
    <s v="ID-906"/>
    <n v="5"/>
    <x v="0"/>
    <n v="37"/>
    <n v="0"/>
    <n v="3065"/>
    <n v="71"/>
    <n v="7"/>
    <n v="28"/>
    <n v="3"/>
    <n v="1"/>
    <n v="1"/>
    <n v="30"/>
    <n v="153.44"/>
    <n v="0"/>
    <n v="1"/>
    <x v="0"/>
    <n v="5.0061990212071779"/>
  </r>
  <r>
    <s v="ID-907"/>
    <n v="0"/>
    <x v="0"/>
    <n v="37"/>
    <n v="0"/>
    <n v="1650"/>
    <n v="28"/>
    <n v="260"/>
    <n v="18"/>
    <n v="3"/>
    <n v="1"/>
    <n v="1"/>
    <n v="30"/>
    <n v="1107.1199999999999"/>
    <n v="0"/>
    <n v="1"/>
    <x v="0"/>
    <n v="67.098181818181814"/>
  </r>
  <r>
    <s v="ID-908"/>
    <n v="7"/>
    <x v="0"/>
    <n v="36"/>
    <n v="1"/>
    <n v="8405"/>
    <n v="110"/>
    <n v="119"/>
    <n v="43"/>
    <n v="3"/>
    <n v="1"/>
    <n v="1"/>
    <n v="30"/>
    <n v="816.6"/>
    <n v="0"/>
    <n v="0"/>
    <x v="0"/>
    <n v="9.7156454491374173"/>
  </r>
  <r>
    <s v="ID-909"/>
    <n v="1"/>
    <x v="0"/>
    <n v="37"/>
    <n v="0"/>
    <n v="13063"/>
    <n v="158"/>
    <n v="0"/>
    <n v="44"/>
    <n v="3"/>
    <n v="1"/>
    <n v="1"/>
    <n v="30"/>
    <n v="528.84"/>
    <n v="0"/>
    <n v="3"/>
    <x v="1"/>
    <n v="4.0483809232182502"/>
  </r>
  <r>
    <s v="ID-910"/>
    <n v="1"/>
    <x v="0"/>
    <n v="37"/>
    <n v="0"/>
    <n v="3805"/>
    <n v="72"/>
    <n v="0"/>
    <n v="25"/>
    <n v="3"/>
    <n v="1"/>
    <n v="1"/>
    <n v="30"/>
    <n v="155.08000000000001"/>
    <n v="0"/>
    <n v="1"/>
    <x v="0"/>
    <n v="4.0756898817345597"/>
  </r>
  <r>
    <s v="ID-911"/>
    <n v="0"/>
    <x v="0"/>
    <n v="37"/>
    <n v="0"/>
    <n v="5208"/>
    <n v="84"/>
    <n v="0"/>
    <n v="12"/>
    <n v="2"/>
    <n v="1"/>
    <n v="1"/>
    <n v="25"/>
    <n v="238.14"/>
    <n v="0"/>
    <n v="1"/>
    <x v="0"/>
    <n v="4.57258064516129"/>
  </r>
  <r>
    <s v="ID-912"/>
    <n v="3"/>
    <x v="0"/>
    <n v="37"/>
    <n v="0"/>
    <n v="1528"/>
    <n v="43"/>
    <n v="0"/>
    <n v="17"/>
    <n v="3"/>
    <n v="1"/>
    <n v="2"/>
    <n v="30"/>
    <n v="62.84"/>
    <n v="0"/>
    <n v="1"/>
    <x v="0"/>
    <n v="4.1125654450261786"/>
  </r>
  <r>
    <s v="ID-913"/>
    <n v="19"/>
    <x v="0"/>
    <n v="37"/>
    <n v="2"/>
    <n v="14430"/>
    <n v="214"/>
    <n v="29"/>
    <n v="32"/>
    <n v="3"/>
    <n v="1"/>
    <n v="1"/>
    <n v="30"/>
    <n v="701.76"/>
    <n v="0"/>
    <n v="4"/>
    <x v="1"/>
    <n v="4.8632016632016635"/>
  </r>
  <r>
    <s v="ID-914"/>
    <n v="0"/>
    <x v="0"/>
    <n v="37"/>
    <n v="0"/>
    <n v="2385"/>
    <n v="16"/>
    <n v="458"/>
    <n v="8"/>
    <n v="3"/>
    <n v="1"/>
    <n v="1"/>
    <n v="30"/>
    <n v="1928.04"/>
    <n v="0"/>
    <n v="1"/>
    <x v="0"/>
    <n v="80.840251572327034"/>
  </r>
  <r>
    <s v="ID-915"/>
    <n v="3"/>
    <x v="0"/>
    <n v="36"/>
    <n v="0"/>
    <n v="14775"/>
    <n v="171"/>
    <n v="125"/>
    <n v="30"/>
    <n v="2"/>
    <n v="1"/>
    <n v="1"/>
    <n v="25"/>
    <n v="1235.07"/>
    <n v="0"/>
    <n v="3"/>
    <x v="1"/>
    <n v="8.3591878172588832"/>
  </r>
  <r>
    <s v="ID-916"/>
    <n v="0"/>
    <x v="0"/>
    <n v="36"/>
    <n v="0"/>
    <n v="5790"/>
    <n v="75"/>
    <n v="161"/>
    <n v="26"/>
    <n v="3"/>
    <n v="1"/>
    <n v="1"/>
    <n v="30"/>
    <n v="878.6"/>
    <n v="0"/>
    <n v="1"/>
    <x v="0"/>
    <n v="15.174438687392055"/>
  </r>
  <r>
    <s v="ID-917"/>
    <n v="0"/>
    <x v="0"/>
    <n v="36"/>
    <n v="0"/>
    <n v="165"/>
    <n v="3"/>
    <n v="0"/>
    <n v="11"/>
    <n v="2"/>
    <n v="1"/>
    <n v="2"/>
    <n v="25"/>
    <n v="7.56"/>
    <n v="0"/>
    <n v="1"/>
    <x v="0"/>
    <n v="4.5818181818181811"/>
  </r>
  <r>
    <s v="ID-918"/>
    <n v="0"/>
    <x v="0"/>
    <n v="37"/>
    <n v="0"/>
    <n v="0"/>
    <n v="0"/>
    <n v="0"/>
    <n v="0"/>
    <n v="2"/>
    <n v="1"/>
    <n v="2"/>
    <n v="25"/>
    <n v="0"/>
    <n v="0"/>
    <n v="1"/>
    <x v="0"/>
    <n v="0"/>
  </r>
  <r>
    <s v="ID-919"/>
    <n v="0"/>
    <x v="0"/>
    <n v="36"/>
    <n v="0"/>
    <n v="0"/>
    <n v="0"/>
    <n v="0"/>
    <n v="0"/>
    <n v="2"/>
    <n v="1"/>
    <n v="2"/>
    <n v="25"/>
    <n v="0"/>
    <n v="1"/>
    <n v="1"/>
    <x v="0"/>
    <n v="0"/>
  </r>
  <r>
    <s v="ID-920"/>
    <n v="0"/>
    <x v="0"/>
    <n v="36"/>
    <n v="0"/>
    <n v="6798"/>
    <n v="116"/>
    <n v="359"/>
    <n v="43"/>
    <n v="2"/>
    <n v="1"/>
    <n v="1"/>
    <n v="25"/>
    <n v="1926.63"/>
    <n v="0"/>
    <n v="1"/>
    <x v="0"/>
    <n v="28.341129744042366"/>
  </r>
  <r>
    <s v="ID-921"/>
    <n v="1"/>
    <x v="0"/>
    <n v="36"/>
    <n v="0"/>
    <n v="10755"/>
    <n v="143"/>
    <n v="0"/>
    <n v="47"/>
    <n v="3"/>
    <n v="1"/>
    <n v="1"/>
    <n v="30"/>
    <n v="435.92"/>
    <n v="0"/>
    <n v="3"/>
    <x v="1"/>
    <n v="4.0531845653184568"/>
  </r>
  <r>
    <s v="ID-922"/>
    <n v="2"/>
    <x v="0"/>
    <n v="36"/>
    <n v="0"/>
    <n v="6008"/>
    <n v="64"/>
    <n v="83"/>
    <n v="37"/>
    <n v="2"/>
    <n v="1"/>
    <n v="1"/>
    <n v="25"/>
    <n v="646.74"/>
    <n v="0"/>
    <n v="1"/>
    <x v="0"/>
    <n v="10.764647137150467"/>
  </r>
  <r>
    <s v="ID-923"/>
    <n v="17"/>
    <x v="0"/>
    <n v="32"/>
    <n v="0"/>
    <n v="245"/>
    <n v="36"/>
    <n v="0"/>
    <n v="17"/>
    <n v="2"/>
    <n v="1"/>
    <n v="2"/>
    <n v="25"/>
    <n v="12.645"/>
    <n v="1"/>
    <n v="3"/>
    <x v="1"/>
    <n v="5.1612244897959183"/>
  </r>
  <r>
    <s v="ID-924"/>
    <n v="15"/>
    <x v="0"/>
    <n v="35"/>
    <n v="7"/>
    <n v="9725"/>
    <n v="82"/>
    <n v="0"/>
    <n v="42"/>
    <n v="4"/>
    <n v="1"/>
    <n v="1"/>
    <n v="45"/>
    <n v="245.17500000000001"/>
    <n v="0"/>
    <n v="2"/>
    <x v="0"/>
    <n v="2.5210796915167095"/>
  </r>
  <r>
    <s v="ID-925"/>
    <n v="7"/>
    <x v="0"/>
    <n v="35"/>
    <n v="0"/>
    <n v="5108"/>
    <n v="87"/>
    <n v="1"/>
    <n v="24"/>
    <n v="2"/>
    <n v="1"/>
    <n v="1"/>
    <n v="25"/>
    <n v="238.27500000000001"/>
    <n v="1"/>
    <n v="1"/>
    <x v="0"/>
    <n v="4.6647415818324198"/>
  </r>
  <r>
    <s v="ID-926"/>
    <n v="0"/>
    <x v="0"/>
    <n v="33"/>
    <n v="0"/>
    <n v="2130"/>
    <n v="11"/>
    <n v="0"/>
    <n v="14"/>
    <n v="3"/>
    <n v="1"/>
    <n v="1"/>
    <n v="30"/>
    <n v="85.64"/>
    <n v="0"/>
    <n v="1"/>
    <x v="0"/>
    <n v="4.0206572769953048"/>
  </r>
  <r>
    <s v="ID-927"/>
    <n v="3"/>
    <x v="1"/>
    <n v="34"/>
    <n v="0"/>
    <n v="2280"/>
    <n v="30"/>
    <n v="0"/>
    <n v="16"/>
    <n v="2"/>
    <n v="1"/>
    <n v="2"/>
    <n v="25"/>
    <n v="103.95"/>
    <n v="1"/>
    <n v="3"/>
    <x v="1"/>
    <n v="4.5592105263157903"/>
  </r>
  <r>
    <s v="ID-928"/>
    <n v="3"/>
    <x v="0"/>
    <n v="35"/>
    <n v="0"/>
    <n v="1558"/>
    <n v="33"/>
    <n v="9"/>
    <n v="31"/>
    <n v="3"/>
    <n v="1"/>
    <n v="2"/>
    <n v="30"/>
    <n v="99.64"/>
    <n v="1"/>
    <n v="1"/>
    <x v="0"/>
    <n v="6.3953786906290109"/>
  </r>
  <r>
    <s v="ID-929"/>
    <n v="0"/>
    <x v="0"/>
    <n v="35"/>
    <n v="0"/>
    <n v="0"/>
    <n v="0"/>
    <n v="0"/>
    <n v="0"/>
    <n v="3"/>
    <n v="1"/>
    <n v="2"/>
    <n v="30"/>
    <n v="0"/>
    <n v="1"/>
    <n v="1"/>
    <x v="0"/>
    <n v="0"/>
  </r>
  <r>
    <s v="ID-930"/>
    <n v="0"/>
    <x v="0"/>
    <n v="35"/>
    <n v="0"/>
    <n v="958"/>
    <n v="14"/>
    <n v="0"/>
    <n v="6"/>
    <n v="3"/>
    <n v="1"/>
    <n v="1"/>
    <n v="30"/>
    <n v="38.880000000000003"/>
    <n v="0"/>
    <n v="1"/>
    <x v="0"/>
    <n v="4.0584551148225474"/>
  </r>
  <r>
    <s v="ID-931"/>
    <n v="0"/>
    <x v="0"/>
    <n v="32"/>
    <n v="0"/>
    <n v="6075"/>
    <n v="86"/>
    <n v="0"/>
    <n v="22"/>
    <n v="4"/>
    <n v="1"/>
    <n v="1"/>
    <n v="45"/>
    <n v="154.02500000000001"/>
    <n v="0"/>
    <n v="1"/>
    <x v="0"/>
    <n v="2.5353909465020577"/>
  </r>
  <r>
    <s v="ID-932"/>
    <n v="0"/>
    <x v="0"/>
    <n v="35"/>
    <n v="0"/>
    <n v="0"/>
    <n v="0"/>
    <n v="0"/>
    <n v="0"/>
    <n v="4"/>
    <n v="1"/>
    <n v="2"/>
    <n v="45"/>
    <n v="0"/>
    <n v="1"/>
    <n v="1"/>
    <x v="0"/>
    <n v="0"/>
  </r>
  <r>
    <s v="ID-933"/>
    <n v="0"/>
    <x v="0"/>
    <n v="35"/>
    <n v="0"/>
    <n v="0"/>
    <n v="0"/>
    <n v="0"/>
    <n v="0"/>
    <n v="5"/>
    <n v="1"/>
    <n v="1"/>
    <n v="55"/>
    <n v="0"/>
    <n v="0"/>
    <n v="1"/>
    <x v="0"/>
    <n v="0"/>
  </r>
  <r>
    <s v="ID-934"/>
    <n v="19"/>
    <x v="0"/>
    <n v="30"/>
    <n v="2"/>
    <n v="15365"/>
    <n v="227"/>
    <n v="0"/>
    <n v="80"/>
    <n v="2"/>
    <n v="1"/>
    <n v="1"/>
    <n v="25"/>
    <n v="701.64"/>
    <n v="0"/>
    <n v="5"/>
    <x v="1"/>
    <n v="4.5664822648877319"/>
  </r>
  <r>
    <s v="ID-935"/>
    <n v="0"/>
    <x v="0"/>
    <n v="33"/>
    <n v="2"/>
    <n v="6255"/>
    <n v="105"/>
    <n v="246"/>
    <n v="33"/>
    <n v="2"/>
    <n v="2"/>
    <n v="1"/>
    <n v="25"/>
    <n v="1393.2"/>
    <n v="0"/>
    <n v="0"/>
    <x v="0"/>
    <n v="22.273381294964029"/>
  </r>
  <r>
    <s v="ID-936"/>
    <n v="0"/>
    <x v="0"/>
    <n v="35"/>
    <n v="0"/>
    <n v="3008"/>
    <n v="71"/>
    <n v="0"/>
    <n v="28"/>
    <n v="2"/>
    <n v="1"/>
    <n v="1"/>
    <n v="25"/>
    <n v="138.55500000000001"/>
    <n v="0"/>
    <n v="1"/>
    <x v="0"/>
    <n v="4.6062167553191493"/>
  </r>
  <r>
    <s v="ID-937"/>
    <n v="0"/>
    <x v="0"/>
    <n v="34"/>
    <n v="0"/>
    <n v="955"/>
    <n v="33"/>
    <n v="13"/>
    <n v="20"/>
    <n v="3"/>
    <n v="1"/>
    <n v="2"/>
    <n v="30"/>
    <n v="91.52"/>
    <n v="0"/>
    <n v="1"/>
    <x v="0"/>
    <n v="9.5832460732984295"/>
  </r>
  <r>
    <s v="ID-938"/>
    <n v="0"/>
    <x v="0"/>
    <n v="35"/>
    <n v="0"/>
    <n v="2070"/>
    <n v="42"/>
    <n v="150"/>
    <n v="23"/>
    <n v="2"/>
    <n v="1"/>
    <n v="1"/>
    <n v="25"/>
    <n v="770.04"/>
    <n v="0"/>
    <n v="1"/>
    <x v="0"/>
    <n v="37.200000000000003"/>
  </r>
  <r>
    <s v="ID-939"/>
    <n v="0"/>
    <x v="0"/>
    <n v="26"/>
    <n v="0"/>
    <n v="605"/>
    <n v="25"/>
    <n v="168"/>
    <n v="11"/>
    <n v="2"/>
    <n v="2"/>
    <n v="1"/>
    <n v="25"/>
    <n v="784.35"/>
    <n v="0"/>
    <n v="1"/>
    <x v="0"/>
    <n v="129.64462809917356"/>
  </r>
  <r>
    <s v="ID-940"/>
    <n v="0"/>
    <x v="0"/>
    <n v="25"/>
    <n v="0"/>
    <n v="858"/>
    <n v="28"/>
    <n v="5"/>
    <n v="68"/>
    <n v="4"/>
    <n v="1"/>
    <n v="1"/>
    <n v="45"/>
    <n v="34.65"/>
    <n v="0"/>
    <n v="2"/>
    <x v="0"/>
    <n v="4.0384615384615383"/>
  </r>
  <r>
    <s v="ID-941"/>
    <n v="0"/>
    <x v="0"/>
    <n v="26"/>
    <n v="0"/>
    <n v="0"/>
    <n v="0"/>
    <n v="0"/>
    <n v="0"/>
    <n v="2"/>
    <n v="1"/>
    <n v="2"/>
    <n v="25"/>
    <n v="0"/>
    <n v="0"/>
    <n v="1"/>
    <x v="0"/>
    <n v="0"/>
  </r>
  <r>
    <s v="ID-942"/>
    <n v="0"/>
    <x v="0"/>
    <n v="25"/>
    <n v="0"/>
    <n v="0"/>
    <n v="0"/>
    <n v="0"/>
    <n v="0"/>
    <n v="4"/>
    <n v="1"/>
    <n v="2"/>
    <n v="45"/>
    <n v="0"/>
    <n v="0"/>
    <n v="1"/>
    <x v="0"/>
    <n v="0"/>
  </r>
  <r>
    <s v="ID-943"/>
    <n v="4"/>
    <x v="0"/>
    <n v="24"/>
    <n v="0"/>
    <n v="515"/>
    <n v="21"/>
    <n v="0"/>
    <n v="13"/>
    <n v="2"/>
    <n v="1"/>
    <n v="1"/>
    <n v="25"/>
    <n v="24.12"/>
    <n v="0"/>
    <n v="1"/>
    <x v="0"/>
    <n v="4.6834951456310687"/>
  </r>
  <r>
    <s v="ID-944"/>
    <n v="0"/>
    <x v="0"/>
    <n v="24"/>
    <n v="0"/>
    <n v="2515"/>
    <n v="50"/>
    <n v="0"/>
    <n v="23"/>
    <n v="3"/>
    <n v="1"/>
    <n v="1"/>
    <n v="30"/>
    <n v="102.6"/>
    <n v="0"/>
    <n v="1"/>
    <x v="0"/>
    <n v="4.0795228628230618"/>
  </r>
  <r>
    <s v="ID-945"/>
    <n v="0"/>
    <x v="0"/>
    <n v="17"/>
    <n v="0"/>
    <n v="985"/>
    <n v="15"/>
    <n v="3"/>
    <n v="14"/>
    <n v="2"/>
    <n v="1"/>
    <n v="1"/>
    <n v="25"/>
    <n v="58.5"/>
    <n v="0"/>
    <n v="1"/>
    <x v="0"/>
    <n v="5.9390862944162439"/>
  </r>
  <r>
    <s v="ID-946"/>
    <n v="10"/>
    <x v="0"/>
    <n v="16"/>
    <n v="0"/>
    <n v="5682"/>
    <n v="130"/>
    <n v="60"/>
    <n v="42"/>
    <n v="1"/>
    <n v="2"/>
    <n v="1"/>
    <n v="15"/>
    <n v="649.66"/>
    <n v="0"/>
    <n v="1"/>
    <x v="0"/>
    <n v="11.433650123196056"/>
  </r>
  <r>
    <s v="ID-947"/>
    <n v="6"/>
    <x v="0"/>
    <n v="14"/>
    <n v="0"/>
    <n v="8222"/>
    <n v="160"/>
    <n v="48"/>
    <n v="40"/>
    <n v="4"/>
    <n v="1"/>
    <n v="1"/>
    <n v="45"/>
    <n v="329.55"/>
    <n v="0"/>
    <n v="3"/>
    <x v="1"/>
    <n v="4.0081488688883482"/>
  </r>
  <r>
    <s v="ID-948"/>
    <n v="2"/>
    <x v="0"/>
    <n v="15"/>
    <n v="2"/>
    <n v="2142"/>
    <n v="34"/>
    <n v="6"/>
    <n v="19"/>
    <n v="3"/>
    <n v="1"/>
    <n v="1"/>
    <n v="30"/>
    <n v="111.04"/>
    <n v="0"/>
    <n v="0"/>
    <x v="0"/>
    <n v="5.1839402427637724"/>
  </r>
  <r>
    <s v="ID-949"/>
    <n v="0"/>
    <x v="0"/>
    <n v="8"/>
    <n v="0"/>
    <n v="3680"/>
    <n v="29"/>
    <n v="190"/>
    <n v="10"/>
    <n v="3"/>
    <n v="1"/>
    <n v="1"/>
    <n v="30"/>
    <n v="908.36"/>
    <n v="0"/>
    <n v="1"/>
    <x v="0"/>
    <n v="24.683695652173913"/>
  </r>
  <r>
    <s v="ID-950"/>
    <n v="0"/>
    <x v="0"/>
    <n v="8"/>
    <n v="0"/>
    <n v="777"/>
    <n v="8"/>
    <n v="0"/>
    <n v="7"/>
    <n v="3"/>
    <n v="1"/>
    <n v="1"/>
    <n v="30"/>
    <n v="31.4"/>
    <n v="1"/>
    <n v="1"/>
    <x v="0"/>
    <n v="4.0411840411840414"/>
  </r>
  <r>
    <s v="ID-951"/>
    <n v="8"/>
    <x v="0"/>
    <n v="38"/>
    <n v="0"/>
    <n v="4370"/>
    <n v="71"/>
    <n v="5"/>
    <n v="17"/>
    <n v="3"/>
    <n v="1"/>
    <n v="1"/>
    <n v="30"/>
    <n v="197.64"/>
    <n v="0"/>
    <n v="1"/>
    <x v="0"/>
    <n v="4.5226544622425626"/>
  </r>
  <r>
    <s v="ID-952"/>
    <n v="0"/>
    <x v="0"/>
    <n v="39"/>
    <n v="0"/>
    <n v="318"/>
    <n v="5"/>
    <n v="7"/>
    <n v="4"/>
    <n v="2"/>
    <n v="1"/>
    <n v="2"/>
    <n v="25"/>
    <n v="46.034999999999997"/>
    <n v="0"/>
    <n v="1"/>
    <x v="0"/>
    <n v="14.47641509433962"/>
  </r>
  <r>
    <s v="ID-953"/>
    <n v="10"/>
    <x v="0"/>
    <n v="37"/>
    <n v="0"/>
    <n v="2453"/>
    <n v="60"/>
    <n v="359"/>
    <n v="24"/>
    <n v="3"/>
    <n v="1"/>
    <n v="1"/>
    <n v="30"/>
    <n v="1536.52"/>
    <n v="0"/>
    <n v="1"/>
    <x v="0"/>
    <n v="62.638401956787604"/>
  </r>
  <r>
    <s v="ID-954"/>
    <n v="10"/>
    <x v="0"/>
    <n v="38"/>
    <n v="0"/>
    <n v="4198"/>
    <n v="66"/>
    <n v="1"/>
    <n v="35"/>
    <n v="1"/>
    <n v="1"/>
    <n v="1"/>
    <n v="15"/>
    <n v="240.02"/>
    <n v="0"/>
    <n v="1"/>
    <x v="0"/>
    <n v="5.7174845164363983"/>
  </r>
  <r>
    <s v="ID-955"/>
    <n v="3"/>
    <x v="0"/>
    <n v="38"/>
    <n v="0"/>
    <n v="2393"/>
    <n v="58"/>
    <n v="2"/>
    <n v="33"/>
    <n v="1"/>
    <n v="1"/>
    <n v="1"/>
    <n v="15"/>
    <n v="145.80500000000001"/>
    <n v="0"/>
    <n v="1"/>
    <x v="0"/>
    <n v="6.0929795236105306"/>
  </r>
  <r>
    <s v="ID-956"/>
    <n v="11"/>
    <x v="0"/>
    <n v="38"/>
    <n v="1"/>
    <n v="3775"/>
    <n v="82"/>
    <n v="32"/>
    <n v="28"/>
    <n v="3"/>
    <n v="1"/>
    <n v="1"/>
    <n v="30"/>
    <n v="282.27999999999997"/>
    <n v="0"/>
    <n v="2"/>
    <x v="0"/>
    <n v="7.4776158940397339"/>
  </r>
  <r>
    <s v="ID-957"/>
    <n v="4"/>
    <x v="0"/>
    <n v="38"/>
    <n v="0"/>
    <n v="2360"/>
    <n v="39"/>
    <n v="285"/>
    <n v="18"/>
    <n v="3"/>
    <n v="1"/>
    <n v="1"/>
    <n v="30"/>
    <n v="1235.96"/>
    <n v="0"/>
    <n v="1"/>
    <x v="0"/>
    <n v="52.371186440677967"/>
  </r>
  <r>
    <s v="ID-958"/>
    <n v="13"/>
    <x v="0"/>
    <n v="37"/>
    <n v="2"/>
    <n v="9115"/>
    <n v="121"/>
    <n v="144"/>
    <n v="43"/>
    <n v="3"/>
    <n v="1"/>
    <n v="1"/>
    <n v="30"/>
    <n v="945.44"/>
    <n v="0"/>
    <n v="2"/>
    <x v="0"/>
    <n v="10.372353263850796"/>
  </r>
  <r>
    <s v="ID-959"/>
    <n v="7"/>
    <x v="0"/>
    <n v="38"/>
    <n v="0"/>
    <n v="13773"/>
    <n v="169"/>
    <n v="0"/>
    <n v="44"/>
    <n v="3"/>
    <n v="1"/>
    <n v="1"/>
    <n v="30"/>
    <n v="557.67999999999995"/>
    <n v="0"/>
    <n v="3"/>
    <x v="1"/>
    <n v="4.0490815363392141"/>
  </r>
  <r>
    <s v="ID-960"/>
    <n v="7"/>
    <x v="0"/>
    <n v="38"/>
    <n v="1"/>
    <n v="4515"/>
    <n v="83"/>
    <n v="2"/>
    <n v="25"/>
    <n v="3"/>
    <n v="1"/>
    <n v="1"/>
    <n v="30"/>
    <n v="191.92"/>
    <n v="0"/>
    <n v="0"/>
    <x v="0"/>
    <n v="4.2507198228128455"/>
  </r>
  <r>
    <s v="ID-961"/>
    <n v="6"/>
    <x v="0"/>
    <n v="38"/>
    <n v="0"/>
    <n v="5918"/>
    <n v="95"/>
    <n v="7"/>
    <n v="12"/>
    <n v="3"/>
    <n v="1"/>
    <n v="1"/>
    <n v="30"/>
    <n v="268.52"/>
    <n v="0"/>
    <n v="1"/>
    <x v="0"/>
    <n v="4.5373436971949985"/>
  </r>
  <r>
    <s v="ID-962"/>
    <n v="9"/>
    <x v="1"/>
    <n v="38"/>
    <n v="0"/>
    <n v="2238"/>
    <n v="54"/>
    <n v="8"/>
    <n v="17"/>
    <n v="3"/>
    <n v="1"/>
    <n v="2"/>
    <n v="30"/>
    <n v="123.68"/>
    <n v="0"/>
    <n v="3"/>
    <x v="1"/>
    <n v="5.5263628239499551"/>
  </r>
  <r>
    <s v="ID-963"/>
    <n v="25"/>
    <x v="0"/>
    <n v="38"/>
    <n v="3"/>
    <n v="15140"/>
    <n v="225"/>
    <n v="54"/>
    <n v="32"/>
    <n v="3"/>
    <n v="1"/>
    <n v="1"/>
    <n v="30"/>
    <n v="830.6"/>
    <n v="0"/>
    <n v="4"/>
    <x v="1"/>
    <n v="5.4861294583883753"/>
  </r>
  <r>
    <s v="ID-964"/>
    <n v="4"/>
    <x v="0"/>
    <n v="38"/>
    <n v="1"/>
    <n v="3095"/>
    <n v="27"/>
    <n v="483"/>
    <n v="8"/>
    <n v="3"/>
    <n v="1"/>
    <n v="1"/>
    <n v="30"/>
    <n v="2056.88"/>
    <n v="0"/>
    <n v="0"/>
    <x v="0"/>
    <n v="66.458158319870762"/>
  </r>
  <r>
    <s v="ID-965"/>
    <n v="9"/>
    <x v="0"/>
    <n v="37"/>
    <n v="0"/>
    <n v="15485"/>
    <n v="182"/>
    <n v="150"/>
    <n v="30"/>
    <n v="2"/>
    <n v="1"/>
    <n v="1"/>
    <n v="25"/>
    <n v="1380.0150000000001"/>
    <n v="0"/>
    <n v="3"/>
    <x v="1"/>
    <n v="8.9119470455279313"/>
  </r>
  <r>
    <s v="ID-966"/>
    <n v="3"/>
    <x v="0"/>
    <n v="37"/>
    <n v="1"/>
    <n v="6500"/>
    <n v="86"/>
    <n v="186"/>
    <n v="26"/>
    <n v="3"/>
    <n v="1"/>
    <n v="1"/>
    <n v="30"/>
    <n v="1007.44"/>
    <n v="0"/>
    <n v="0"/>
    <x v="0"/>
    <n v="15.499076923076924"/>
  </r>
  <r>
    <s v="ID-967"/>
    <n v="0"/>
    <x v="0"/>
    <n v="37"/>
    <n v="0"/>
    <n v="875"/>
    <n v="14"/>
    <n v="0"/>
    <n v="11"/>
    <n v="2"/>
    <n v="1"/>
    <n v="2"/>
    <n v="25"/>
    <n v="40.005000000000003"/>
    <n v="0"/>
    <n v="1"/>
    <x v="0"/>
    <n v="4.5720000000000001"/>
  </r>
  <r>
    <s v="ID-968"/>
    <n v="2"/>
    <x v="0"/>
    <n v="38"/>
    <n v="0"/>
    <n v="710"/>
    <n v="14"/>
    <n v="13"/>
    <n v="8"/>
    <n v="3"/>
    <n v="1"/>
    <n v="2"/>
    <n v="30"/>
    <n v="80.959999999999994"/>
    <n v="0"/>
    <n v="1"/>
    <x v="0"/>
    <n v="11.40281690140845"/>
  </r>
  <r>
    <s v="ID-969"/>
    <n v="0"/>
    <x v="0"/>
    <n v="37"/>
    <n v="0"/>
    <n v="0"/>
    <n v="0"/>
    <n v="0"/>
    <n v="0"/>
    <n v="2"/>
    <n v="1"/>
    <n v="2"/>
    <n v="25"/>
    <n v="0"/>
    <n v="1"/>
    <n v="1"/>
    <x v="0"/>
    <n v="0"/>
  </r>
  <r>
    <s v="ID-970"/>
    <n v="3"/>
    <x v="0"/>
    <n v="37"/>
    <n v="0"/>
    <n v="7508"/>
    <n v="127"/>
    <n v="384"/>
    <n v="43"/>
    <n v="2"/>
    <n v="1"/>
    <n v="1"/>
    <n v="25"/>
    <n v="2071.5749999999998"/>
    <n v="0"/>
    <n v="1"/>
    <x v="0"/>
    <n v="27.591568993074052"/>
  </r>
  <r>
    <s v="ID-971"/>
    <n v="7"/>
    <x v="0"/>
    <n v="37"/>
    <n v="1"/>
    <n v="11465"/>
    <n v="154"/>
    <n v="11"/>
    <n v="47"/>
    <n v="4"/>
    <n v="1"/>
    <n v="1"/>
    <n v="45"/>
    <n v="317.97500000000002"/>
    <n v="0"/>
    <n v="2"/>
    <x v="0"/>
    <n v="2.7734409071085917"/>
  </r>
  <r>
    <s v="ID-972"/>
    <n v="8"/>
    <x v="0"/>
    <n v="37"/>
    <n v="1"/>
    <n v="6718"/>
    <n v="75"/>
    <n v="108"/>
    <n v="37"/>
    <n v="2"/>
    <n v="1"/>
    <n v="1"/>
    <n v="25"/>
    <n v="791.68499999999995"/>
    <n v="0"/>
    <n v="0"/>
    <x v="0"/>
    <n v="11.784534087526048"/>
  </r>
  <r>
    <s v="ID-973"/>
    <n v="23"/>
    <x v="0"/>
    <n v="33"/>
    <n v="0"/>
    <n v="955"/>
    <n v="47"/>
    <n v="16"/>
    <n v="17"/>
    <n v="2"/>
    <n v="1"/>
    <n v="2"/>
    <n v="25"/>
    <n v="117.09"/>
    <n v="1"/>
    <n v="3"/>
    <x v="1"/>
    <n v="12.260732984293195"/>
  </r>
  <r>
    <s v="ID-974"/>
    <n v="21"/>
    <x v="1"/>
    <n v="36"/>
    <n v="8"/>
    <n v="10435"/>
    <n v="93"/>
    <n v="1"/>
    <n v="42"/>
    <n v="5"/>
    <n v="1"/>
    <n v="1"/>
    <n v="55"/>
    <n v="159.41999999999999"/>
    <n v="0"/>
    <n v="4"/>
    <x v="1"/>
    <n v="1.5277431720172496"/>
  </r>
  <r>
    <s v="ID-975"/>
    <n v="13"/>
    <x v="0"/>
    <n v="36"/>
    <n v="1"/>
    <n v="5818"/>
    <n v="98"/>
    <n v="26"/>
    <n v="24"/>
    <n v="2"/>
    <n v="1"/>
    <n v="1"/>
    <n v="25"/>
    <n v="383.22"/>
    <n v="1"/>
    <n v="2"/>
    <x v="0"/>
    <n v="6.5867995874871088"/>
  </r>
  <r>
    <s v="ID-976"/>
    <n v="1"/>
    <x v="0"/>
    <n v="34"/>
    <n v="0"/>
    <n v="2840"/>
    <n v="22"/>
    <n v="0"/>
    <n v="14"/>
    <n v="3"/>
    <n v="1"/>
    <n v="1"/>
    <n v="30"/>
    <n v="114.48"/>
    <n v="0"/>
    <n v="1"/>
    <x v="0"/>
    <n v="4.0309859154929581"/>
  </r>
  <r>
    <s v="ID-977"/>
    <n v="9"/>
    <x v="1"/>
    <n v="35"/>
    <n v="0"/>
    <n v="2990"/>
    <n v="41"/>
    <n v="9"/>
    <n v="16"/>
    <n v="3"/>
    <n v="1"/>
    <n v="2"/>
    <n v="30"/>
    <n v="157.24"/>
    <n v="1"/>
    <n v="3"/>
    <x v="1"/>
    <n v="5.2588628762541809"/>
  </r>
  <r>
    <s v="ID-978"/>
    <n v="9"/>
    <x v="0"/>
    <n v="36"/>
    <n v="0"/>
    <n v="2268"/>
    <n v="44"/>
    <n v="34"/>
    <n v="31"/>
    <n v="3"/>
    <n v="1"/>
    <n v="2"/>
    <n v="30"/>
    <n v="228.48"/>
    <n v="1"/>
    <n v="1"/>
    <x v="0"/>
    <n v="10.074074074074074"/>
  </r>
  <r>
    <s v="ID-979"/>
    <n v="0"/>
    <x v="0"/>
    <n v="36"/>
    <n v="0"/>
    <n v="133"/>
    <n v="2"/>
    <n v="0"/>
    <n v="2"/>
    <n v="3"/>
    <n v="1"/>
    <n v="2"/>
    <n v="30"/>
    <n v="5.4"/>
    <n v="1"/>
    <n v="1"/>
    <x v="0"/>
    <n v="4.0601503759398501"/>
  </r>
  <r>
    <s v="ID-980"/>
    <n v="1"/>
    <x v="0"/>
    <n v="36"/>
    <n v="0"/>
    <n v="1668"/>
    <n v="25"/>
    <n v="0"/>
    <n v="6"/>
    <n v="3"/>
    <n v="1"/>
    <n v="1"/>
    <n v="30"/>
    <n v="67.72"/>
    <n v="0"/>
    <n v="1"/>
    <x v="0"/>
    <n v="4.0599520383693042"/>
  </r>
  <r>
    <s v="ID-981"/>
    <n v="3"/>
    <x v="0"/>
    <n v="33"/>
    <n v="1"/>
    <n v="6785"/>
    <n v="97"/>
    <n v="14"/>
    <n v="22"/>
    <n v="5"/>
    <n v="1"/>
    <n v="1"/>
    <n v="55"/>
    <n v="124.23"/>
    <n v="0"/>
    <n v="0"/>
    <x v="0"/>
    <n v="1.8309506263817246"/>
  </r>
  <r>
    <s v="ID-982"/>
    <n v="0"/>
    <x v="0"/>
    <n v="36"/>
    <n v="0"/>
    <n v="628"/>
    <n v="7"/>
    <n v="9"/>
    <n v="4"/>
    <n v="4"/>
    <n v="1"/>
    <n v="2"/>
    <n v="45"/>
    <n v="38.375"/>
    <n v="1"/>
    <n v="1"/>
    <x v="0"/>
    <n v="6.1106687898089174"/>
  </r>
  <r>
    <s v="ID-983"/>
    <n v="0"/>
    <x v="0"/>
    <n v="36"/>
    <n v="1"/>
    <n v="338"/>
    <n v="4"/>
    <n v="4"/>
    <n v="2"/>
    <n v="5"/>
    <n v="1"/>
    <n v="1"/>
    <n v="55"/>
    <n v="11.13"/>
    <n v="0"/>
    <n v="0"/>
    <x v="0"/>
    <n v="3.2928994082840237"/>
  </r>
  <r>
    <s v="ID-984"/>
    <n v="25"/>
    <x v="0"/>
    <n v="31"/>
    <n v="3"/>
    <n v="16075"/>
    <n v="238"/>
    <n v="0"/>
    <n v="80"/>
    <n v="2"/>
    <n v="1"/>
    <n v="1"/>
    <n v="25"/>
    <n v="734.08500000000004"/>
    <n v="0"/>
    <n v="5"/>
    <x v="1"/>
    <n v="4.5666251944012446"/>
  </r>
  <r>
    <s v="ID-985"/>
    <n v="6"/>
    <x v="0"/>
    <n v="34"/>
    <n v="3"/>
    <n v="6965"/>
    <n v="116"/>
    <n v="271"/>
    <n v="33"/>
    <n v="2"/>
    <n v="2"/>
    <n v="1"/>
    <n v="25"/>
    <n v="1538.145"/>
    <n v="0"/>
    <n v="0"/>
    <x v="0"/>
    <n v="22.083919597989947"/>
  </r>
  <r>
    <s v="ID-986"/>
    <n v="2"/>
    <x v="0"/>
    <n v="36"/>
    <n v="0"/>
    <n v="3718"/>
    <n v="82"/>
    <n v="2"/>
    <n v="28"/>
    <n v="2"/>
    <n v="1"/>
    <n v="1"/>
    <n v="25"/>
    <n v="180"/>
    <n v="0"/>
    <n v="1"/>
    <x v="0"/>
    <n v="4.8413125336202265"/>
  </r>
  <r>
    <s v="ID-987"/>
    <n v="3"/>
    <x v="0"/>
    <n v="35"/>
    <n v="0"/>
    <n v="1665"/>
    <n v="44"/>
    <n v="38"/>
    <n v="20"/>
    <n v="3"/>
    <n v="1"/>
    <n v="2"/>
    <n v="30"/>
    <n v="220.36"/>
    <n v="0"/>
    <n v="1"/>
    <x v="0"/>
    <n v="13.234834834834835"/>
  </r>
  <r>
    <s v="ID-988"/>
    <n v="6"/>
    <x v="0"/>
    <n v="36"/>
    <n v="0"/>
    <n v="2780"/>
    <n v="53"/>
    <n v="175"/>
    <n v="23"/>
    <n v="2"/>
    <n v="1"/>
    <n v="1"/>
    <n v="25"/>
    <n v="914.98500000000001"/>
    <n v="0"/>
    <n v="1"/>
    <x v="0"/>
    <n v="32.913129496402874"/>
  </r>
  <r>
    <s v="ID-989"/>
    <n v="4"/>
    <x v="1"/>
    <n v="27"/>
    <n v="1"/>
    <n v="1315"/>
    <n v="36"/>
    <n v="193"/>
    <n v="11"/>
    <n v="2"/>
    <n v="2"/>
    <n v="1"/>
    <n v="25"/>
    <n v="929.29499999999996"/>
    <n v="1"/>
    <n v="2"/>
    <x v="0"/>
    <n v="70.668821292775661"/>
  </r>
  <r>
    <s v="ID-990"/>
    <n v="4"/>
    <x v="0"/>
    <n v="26"/>
    <n v="0"/>
    <n v="1568"/>
    <n v="39"/>
    <n v="30"/>
    <n v="68"/>
    <n v="4"/>
    <n v="1"/>
    <n v="1"/>
    <n v="45"/>
    <n v="115.175"/>
    <n v="0"/>
    <n v="2"/>
    <x v="0"/>
    <n v="7.3453443877551026"/>
  </r>
  <r>
    <s v="ID-991"/>
    <n v="11"/>
    <x v="0"/>
    <n v="27"/>
    <n v="0"/>
    <n v="700"/>
    <n v="25"/>
    <n v="10"/>
    <n v="7"/>
    <n v="2"/>
    <n v="1"/>
    <n v="2"/>
    <n v="25"/>
    <n v="77.625"/>
    <n v="0"/>
    <n v="3"/>
    <x v="1"/>
    <n v="11.089285714285714"/>
  </r>
  <r>
    <s v="ID-992"/>
    <n v="0"/>
    <x v="0"/>
    <n v="26"/>
    <n v="0"/>
    <n v="825"/>
    <n v="10"/>
    <n v="21"/>
    <n v="3"/>
    <n v="4"/>
    <n v="1"/>
    <n v="2"/>
    <n v="45"/>
    <n v="73.375"/>
    <n v="0"/>
    <n v="1"/>
    <x v="0"/>
    <n v="8.8939393939393945"/>
  </r>
  <r>
    <s v="ID-993"/>
    <n v="10"/>
    <x v="0"/>
    <n v="25"/>
    <n v="0"/>
    <n v="1225"/>
    <n v="32"/>
    <n v="19"/>
    <n v="13"/>
    <n v="2"/>
    <n v="1"/>
    <n v="1"/>
    <n v="25"/>
    <n v="142.065"/>
    <n v="0"/>
    <n v="1"/>
    <x v="0"/>
    <n v="11.597142857142858"/>
  </r>
  <r>
    <s v="ID-994"/>
    <n v="2"/>
    <x v="0"/>
    <n v="25"/>
    <n v="0"/>
    <n v="3225"/>
    <n v="61"/>
    <n v="8"/>
    <n v="23"/>
    <n v="3"/>
    <n v="1"/>
    <n v="1"/>
    <n v="30"/>
    <n v="163.44"/>
    <n v="0"/>
    <n v="1"/>
    <x v="0"/>
    <n v="5.0679069767441858"/>
  </r>
  <r>
    <s v="ID-995"/>
    <n v="2"/>
    <x v="0"/>
    <n v="18"/>
    <n v="0"/>
    <n v="1695"/>
    <n v="26"/>
    <n v="28"/>
    <n v="14"/>
    <n v="2"/>
    <n v="1"/>
    <n v="1"/>
    <n v="25"/>
    <n v="203.44499999999999"/>
    <n v="0"/>
    <n v="1"/>
    <x v="0"/>
    <n v="12.002654867256638"/>
  </r>
  <r>
    <s v="ID-996"/>
    <n v="16"/>
    <x v="0"/>
    <n v="17"/>
    <n v="1"/>
    <n v="6392"/>
    <n v="141"/>
    <n v="85"/>
    <n v="42"/>
    <n v="2"/>
    <n v="2"/>
    <n v="1"/>
    <n v="25"/>
    <n v="676.48500000000001"/>
    <n v="0"/>
    <n v="4"/>
    <x v="1"/>
    <n v="10.583307259073843"/>
  </r>
  <r>
    <s v="ID-997"/>
    <n v="12"/>
    <x v="0"/>
    <n v="15"/>
    <n v="0"/>
    <n v="8932"/>
    <n v="171"/>
    <n v="73"/>
    <n v="40"/>
    <n v="4"/>
    <n v="1"/>
    <n v="1"/>
    <n v="45"/>
    <n v="410.07499999999999"/>
    <n v="0"/>
    <n v="5"/>
    <x v="1"/>
    <n v="4.5910770264218543"/>
  </r>
  <r>
    <s v="ID-998"/>
    <n v="8"/>
    <x v="0"/>
    <n v="16"/>
    <n v="3"/>
    <n v="2852"/>
    <n v="45"/>
    <n v="31"/>
    <n v="19"/>
    <n v="3"/>
    <n v="1"/>
    <n v="1"/>
    <n v="30"/>
    <n v="239.88"/>
    <n v="0"/>
    <n v="0"/>
    <x v="0"/>
    <n v="8.4109396914446002"/>
  </r>
  <r>
    <s v="ID-999"/>
    <n v="2"/>
    <x v="0"/>
    <n v="9"/>
    <n v="1"/>
    <n v="4390"/>
    <n v="40"/>
    <n v="215"/>
    <n v="10"/>
    <n v="3"/>
    <n v="1"/>
    <n v="1"/>
    <n v="30"/>
    <n v="1037.2"/>
    <n v="0"/>
    <n v="0"/>
    <x v="0"/>
    <n v="23.626423690205012"/>
  </r>
  <r>
    <s v="ID-1000"/>
    <n v="3"/>
    <x v="0"/>
    <n v="9"/>
    <n v="1"/>
    <n v="1487"/>
    <n v="19"/>
    <n v="0"/>
    <n v="7"/>
    <n v="3"/>
    <n v="1"/>
    <n v="1"/>
    <n v="30"/>
    <n v="60.24"/>
    <n v="1"/>
    <n v="0"/>
    <x v="0"/>
    <n v="4.0511096166778753"/>
  </r>
  <r>
    <s v="ID-1001"/>
    <n v="8"/>
    <x v="0"/>
    <n v="38"/>
    <n v="0"/>
    <n v="4370"/>
    <n v="71"/>
    <n v="5"/>
    <n v="17"/>
    <n v="3"/>
    <n v="1"/>
    <n v="1"/>
    <n v="30"/>
    <n v="197.64"/>
    <n v="0"/>
    <n v="1"/>
    <x v="0"/>
    <n v="4.5226544622425626"/>
  </r>
  <r>
    <s v="ID-1002"/>
    <n v="0"/>
    <x v="0"/>
    <n v="39"/>
    <n v="0"/>
    <n v="318"/>
    <n v="5"/>
    <n v="7"/>
    <n v="4"/>
    <n v="2"/>
    <n v="1"/>
    <n v="2"/>
    <n v="25"/>
    <n v="46.034999999999997"/>
    <n v="0"/>
    <n v="1"/>
    <x v="0"/>
    <n v="14.47641509433962"/>
  </r>
  <r>
    <s v="ID-1003"/>
    <n v="10"/>
    <x v="0"/>
    <n v="37"/>
    <n v="0"/>
    <n v="2453"/>
    <n v="60"/>
    <n v="359"/>
    <n v="24"/>
    <n v="3"/>
    <n v="1"/>
    <n v="1"/>
    <n v="30"/>
    <n v="1536.52"/>
    <n v="0"/>
    <n v="1"/>
    <x v="0"/>
    <n v="62.638401956787604"/>
  </r>
  <r>
    <s v="ID-1004"/>
    <n v="10"/>
    <x v="0"/>
    <n v="38"/>
    <n v="0"/>
    <n v="4198"/>
    <n v="66"/>
    <n v="1"/>
    <n v="35"/>
    <n v="1"/>
    <n v="1"/>
    <n v="1"/>
    <n v="15"/>
    <n v="240.02"/>
    <n v="0"/>
    <n v="1"/>
    <x v="0"/>
    <n v="5.7174845164363983"/>
  </r>
  <r>
    <s v="ID-1005"/>
    <n v="3"/>
    <x v="0"/>
    <n v="38"/>
    <n v="0"/>
    <n v="2393"/>
    <n v="58"/>
    <n v="2"/>
    <n v="33"/>
    <n v="1"/>
    <n v="1"/>
    <n v="1"/>
    <n v="15"/>
    <n v="145.80500000000001"/>
    <n v="0"/>
    <n v="1"/>
    <x v="0"/>
    <n v="6.0929795236105306"/>
  </r>
  <r>
    <s v="ID-1006"/>
    <n v="11"/>
    <x v="0"/>
    <n v="38"/>
    <n v="1"/>
    <n v="3775"/>
    <n v="82"/>
    <n v="32"/>
    <n v="28"/>
    <n v="3"/>
    <n v="1"/>
    <n v="1"/>
    <n v="30"/>
    <n v="282.27999999999997"/>
    <n v="0"/>
    <n v="2"/>
    <x v="0"/>
    <n v="7.4776158940397339"/>
  </r>
  <r>
    <s v="ID-1007"/>
    <n v="4"/>
    <x v="0"/>
    <n v="38"/>
    <n v="0"/>
    <n v="2360"/>
    <n v="39"/>
    <n v="285"/>
    <n v="18"/>
    <n v="3"/>
    <n v="1"/>
    <n v="1"/>
    <n v="30"/>
    <n v="1235.96"/>
    <n v="0"/>
    <n v="1"/>
    <x v="0"/>
    <n v="52.371186440677967"/>
  </r>
  <r>
    <s v="ID-1008"/>
    <n v="13"/>
    <x v="0"/>
    <n v="37"/>
    <n v="2"/>
    <n v="9115"/>
    <n v="121"/>
    <n v="144"/>
    <n v="43"/>
    <n v="3"/>
    <n v="1"/>
    <n v="1"/>
    <n v="30"/>
    <n v="945.44"/>
    <n v="0"/>
    <n v="2"/>
    <x v="0"/>
    <n v="10.372353263850796"/>
  </r>
  <r>
    <s v="ID-1009"/>
    <n v="7"/>
    <x v="0"/>
    <n v="38"/>
    <n v="0"/>
    <n v="13773"/>
    <n v="169"/>
    <n v="0"/>
    <n v="44"/>
    <n v="3"/>
    <n v="1"/>
    <n v="1"/>
    <n v="30"/>
    <n v="557.67999999999995"/>
    <n v="0"/>
    <n v="3"/>
    <x v="1"/>
    <n v="4.0490815363392141"/>
  </r>
  <r>
    <s v="ID-1010"/>
    <n v="7"/>
    <x v="0"/>
    <n v="38"/>
    <n v="1"/>
    <n v="4515"/>
    <n v="83"/>
    <n v="2"/>
    <n v="25"/>
    <n v="3"/>
    <n v="1"/>
    <n v="1"/>
    <n v="30"/>
    <n v="191.92"/>
    <n v="0"/>
    <n v="0"/>
    <x v="0"/>
    <n v="4.2507198228128455"/>
  </r>
  <r>
    <s v="ID-1011"/>
    <n v="6"/>
    <x v="0"/>
    <n v="38"/>
    <n v="0"/>
    <n v="5918"/>
    <n v="95"/>
    <n v="7"/>
    <n v="12"/>
    <n v="3"/>
    <n v="1"/>
    <n v="1"/>
    <n v="30"/>
    <n v="268.52"/>
    <n v="0"/>
    <n v="1"/>
    <x v="0"/>
    <n v="4.5373436971949985"/>
  </r>
  <r>
    <s v="ID-1012"/>
    <n v="9"/>
    <x v="1"/>
    <n v="38"/>
    <n v="0"/>
    <n v="2238"/>
    <n v="54"/>
    <n v="8"/>
    <n v="17"/>
    <n v="3"/>
    <n v="1"/>
    <n v="2"/>
    <n v="30"/>
    <n v="123.68"/>
    <n v="0"/>
    <n v="3"/>
    <x v="1"/>
    <n v="5.5263628239499551"/>
  </r>
  <r>
    <s v="ID-1013"/>
    <n v="25"/>
    <x v="0"/>
    <n v="38"/>
    <n v="3"/>
    <n v="15140"/>
    <n v="225"/>
    <n v="54"/>
    <n v="32"/>
    <n v="3"/>
    <n v="1"/>
    <n v="1"/>
    <n v="30"/>
    <n v="830.6"/>
    <n v="0"/>
    <n v="4"/>
    <x v="1"/>
    <n v="5.4861294583883753"/>
  </r>
  <r>
    <s v="ID-1014"/>
    <n v="4"/>
    <x v="0"/>
    <n v="38"/>
    <n v="1"/>
    <n v="3095"/>
    <n v="27"/>
    <n v="483"/>
    <n v="8"/>
    <n v="3"/>
    <n v="1"/>
    <n v="1"/>
    <n v="30"/>
    <n v="2056.88"/>
    <n v="0"/>
    <n v="0"/>
    <x v="0"/>
    <n v="66.458158319870762"/>
  </r>
  <r>
    <s v="ID-1015"/>
    <n v="9"/>
    <x v="0"/>
    <n v="37"/>
    <n v="0"/>
    <n v="15485"/>
    <n v="182"/>
    <n v="150"/>
    <n v="30"/>
    <n v="2"/>
    <n v="1"/>
    <n v="1"/>
    <n v="25"/>
    <n v="1380.0150000000001"/>
    <n v="0"/>
    <n v="3"/>
    <x v="1"/>
    <n v="8.9119470455279313"/>
  </r>
  <r>
    <s v="ID-1016"/>
    <n v="3"/>
    <x v="0"/>
    <n v="37"/>
    <n v="1"/>
    <n v="6500"/>
    <n v="86"/>
    <n v="186"/>
    <n v="26"/>
    <n v="3"/>
    <n v="1"/>
    <n v="1"/>
    <n v="30"/>
    <n v="1007.44"/>
    <n v="0"/>
    <n v="0"/>
    <x v="0"/>
    <n v="15.499076923076924"/>
  </r>
  <r>
    <s v="ID-1017"/>
    <n v="0"/>
    <x v="0"/>
    <n v="37"/>
    <n v="0"/>
    <n v="875"/>
    <n v="14"/>
    <n v="0"/>
    <n v="11"/>
    <n v="2"/>
    <n v="1"/>
    <n v="2"/>
    <n v="25"/>
    <n v="40.005000000000003"/>
    <n v="0"/>
    <n v="1"/>
    <x v="0"/>
    <n v="4.5720000000000001"/>
  </r>
  <r>
    <s v="ID-1018"/>
    <n v="2"/>
    <x v="0"/>
    <n v="38"/>
    <n v="0"/>
    <n v="710"/>
    <n v="14"/>
    <n v="13"/>
    <n v="8"/>
    <n v="3"/>
    <n v="1"/>
    <n v="2"/>
    <n v="30"/>
    <n v="80.959999999999994"/>
    <n v="0"/>
    <n v="1"/>
    <x v="0"/>
    <n v="11.40281690140845"/>
  </r>
  <r>
    <s v="ID-1019"/>
    <n v="0"/>
    <x v="0"/>
    <n v="37"/>
    <n v="0"/>
    <n v="0"/>
    <n v="0"/>
    <n v="0"/>
    <n v="0"/>
    <n v="2"/>
    <n v="1"/>
    <n v="2"/>
    <n v="25"/>
    <n v="0"/>
    <n v="1"/>
    <n v="1"/>
    <x v="0"/>
    <n v="0"/>
  </r>
  <r>
    <s v="ID-1020"/>
    <n v="3"/>
    <x v="0"/>
    <n v="37"/>
    <n v="0"/>
    <n v="7508"/>
    <n v="127"/>
    <n v="384"/>
    <n v="43"/>
    <n v="2"/>
    <n v="1"/>
    <n v="1"/>
    <n v="25"/>
    <n v="2071.5749999999998"/>
    <n v="0"/>
    <n v="1"/>
    <x v="0"/>
    <n v="27.591568993074052"/>
  </r>
  <r>
    <s v="ID-1021"/>
    <n v="7"/>
    <x v="0"/>
    <n v="37"/>
    <n v="1"/>
    <n v="11465"/>
    <n v="154"/>
    <n v="11"/>
    <n v="47"/>
    <n v="4"/>
    <n v="1"/>
    <n v="1"/>
    <n v="45"/>
    <n v="317.97500000000002"/>
    <n v="0"/>
    <n v="2"/>
    <x v="0"/>
    <n v="2.7734409071085917"/>
  </r>
  <r>
    <s v="ID-1022"/>
    <n v="8"/>
    <x v="0"/>
    <n v="37"/>
    <n v="1"/>
    <n v="6718"/>
    <n v="75"/>
    <n v="108"/>
    <n v="37"/>
    <n v="2"/>
    <n v="1"/>
    <n v="1"/>
    <n v="25"/>
    <n v="791.68499999999995"/>
    <n v="0"/>
    <n v="0"/>
    <x v="0"/>
    <n v="11.784534087526048"/>
  </r>
  <r>
    <s v="ID-1023"/>
    <n v="23"/>
    <x v="1"/>
    <n v="33"/>
    <n v="0"/>
    <n v="955"/>
    <n v="47"/>
    <n v="16"/>
    <n v="17"/>
    <n v="2"/>
    <n v="1"/>
    <n v="2"/>
    <n v="25"/>
    <n v="117.09"/>
    <n v="1"/>
    <n v="5"/>
    <x v="1"/>
    <n v="12.260732984293195"/>
  </r>
  <r>
    <s v="ID-1024"/>
    <n v="21"/>
    <x v="0"/>
    <n v="36"/>
    <n v="8"/>
    <n v="10435"/>
    <n v="93"/>
    <n v="1"/>
    <n v="42"/>
    <n v="5"/>
    <n v="1"/>
    <n v="1"/>
    <n v="55"/>
    <n v="159.41999999999999"/>
    <n v="0"/>
    <n v="2"/>
    <x v="0"/>
    <n v="1.5277431720172496"/>
  </r>
  <r>
    <s v="ID-1025"/>
    <n v="13"/>
    <x v="1"/>
    <n v="36"/>
    <n v="1"/>
    <n v="5818"/>
    <n v="98"/>
    <n v="26"/>
    <n v="24"/>
    <n v="2"/>
    <n v="1"/>
    <n v="1"/>
    <n v="25"/>
    <n v="383.22"/>
    <n v="1"/>
    <n v="4"/>
    <x v="1"/>
    <n v="6.5867995874871088"/>
  </r>
  <r>
    <s v="ID-1026"/>
    <n v="1"/>
    <x v="0"/>
    <n v="34"/>
    <n v="0"/>
    <n v="2840"/>
    <n v="22"/>
    <n v="0"/>
    <n v="14"/>
    <n v="3"/>
    <n v="1"/>
    <n v="1"/>
    <n v="30"/>
    <n v="114.48"/>
    <n v="0"/>
    <n v="1"/>
    <x v="0"/>
    <n v="4.0309859154929581"/>
  </r>
  <r>
    <s v="ID-1027"/>
    <n v="9"/>
    <x v="0"/>
    <n v="35"/>
    <n v="0"/>
    <n v="2990"/>
    <n v="41"/>
    <n v="9"/>
    <n v="16"/>
    <n v="3"/>
    <n v="1"/>
    <n v="2"/>
    <n v="30"/>
    <n v="157.24"/>
    <n v="1"/>
    <n v="1"/>
    <x v="0"/>
    <n v="5.2588628762541809"/>
  </r>
  <r>
    <s v="ID-1028"/>
    <n v="9"/>
    <x v="0"/>
    <n v="36"/>
    <n v="0"/>
    <n v="2268"/>
    <n v="44"/>
    <n v="34"/>
    <n v="31"/>
    <n v="3"/>
    <n v="1"/>
    <n v="2"/>
    <n v="30"/>
    <n v="228.48"/>
    <n v="1"/>
    <n v="1"/>
    <x v="0"/>
    <n v="10.074074074074074"/>
  </r>
  <r>
    <s v="ID-1029"/>
    <n v="0"/>
    <x v="0"/>
    <n v="36"/>
    <n v="0"/>
    <n v="133"/>
    <n v="2"/>
    <n v="0"/>
    <n v="2"/>
    <n v="3"/>
    <n v="1"/>
    <n v="2"/>
    <n v="30"/>
    <n v="5.4"/>
    <n v="1"/>
    <n v="1"/>
    <x v="0"/>
    <n v="4.0601503759398501"/>
  </r>
  <r>
    <s v="ID-1030"/>
    <n v="1"/>
    <x v="0"/>
    <n v="36"/>
    <n v="0"/>
    <n v="1668"/>
    <n v="25"/>
    <n v="0"/>
    <n v="6"/>
    <n v="3"/>
    <n v="1"/>
    <n v="1"/>
    <n v="30"/>
    <n v="67.72"/>
    <n v="0"/>
    <n v="1"/>
    <x v="0"/>
    <n v="4.0599520383693042"/>
  </r>
  <r>
    <s v="ID-1031"/>
    <n v="3"/>
    <x v="0"/>
    <n v="33"/>
    <n v="1"/>
    <n v="6785"/>
    <n v="97"/>
    <n v="14"/>
    <n v="22"/>
    <n v="5"/>
    <n v="1"/>
    <n v="1"/>
    <n v="55"/>
    <n v="124.23"/>
    <n v="0"/>
    <n v="0"/>
    <x v="0"/>
    <n v="1.8309506263817246"/>
  </r>
  <r>
    <s v="ID-1032"/>
    <n v="0"/>
    <x v="0"/>
    <n v="36"/>
    <n v="0"/>
    <n v="628"/>
    <n v="7"/>
    <n v="9"/>
    <n v="4"/>
    <n v="4"/>
    <n v="1"/>
    <n v="2"/>
    <n v="45"/>
    <n v="38.375"/>
    <n v="1"/>
    <n v="1"/>
    <x v="0"/>
    <n v="6.1106687898089174"/>
  </r>
  <r>
    <s v="ID-1033"/>
    <n v="0"/>
    <x v="0"/>
    <n v="36"/>
    <n v="1"/>
    <n v="338"/>
    <n v="4"/>
    <n v="4"/>
    <n v="2"/>
    <n v="5"/>
    <n v="1"/>
    <n v="1"/>
    <n v="55"/>
    <n v="11.13"/>
    <n v="0"/>
    <n v="0"/>
    <x v="0"/>
    <n v="3.2928994082840237"/>
  </r>
  <r>
    <s v="ID-1034"/>
    <n v="25"/>
    <x v="1"/>
    <n v="31"/>
    <n v="3"/>
    <n v="16075"/>
    <n v="238"/>
    <n v="0"/>
    <n v="80"/>
    <n v="2"/>
    <n v="1"/>
    <n v="1"/>
    <n v="25"/>
    <n v="734.08500000000004"/>
    <n v="0"/>
    <n v="7"/>
    <x v="2"/>
    <n v="4.5666251944012446"/>
  </r>
  <r>
    <s v="ID-1035"/>
    <n v="6"/>
    <x v="0"/>
    <n v="34"/>
    <n v="3"/>
    <n v="6965"/>
    <n v="116"/>
    <n v="271"/>
    <n v="33"/>
    <n v="2"/>
    <n v="2"/>
    <n v="1"/>
    <n v="25"/>
    <n v="1538.145"/>
    <n v="0"/>
    <n v="0"/>
    <x v="0"/>
    <n v="22.083919597989947"/>
  </r>
  <r>
    <s v="ID-1036"/>
    <n v="2"/>
    <x v="0"/>
    <n v="36"/>
    <n v="0"/>
    <n v="3718"/>
    <n v="82"/>
    <n v="2"/>
    <n v="28"/>
    <n v="2"/>
    <n v="1"/>
    <n v="1"/>
    <n v="25"/>
    <n v="180"/>
    <n v="0"/>
    <n v="1"/>
    <x v="0"/>
    <n v="4.8413125336202265"/>
  </r>
  <r>
    <s v="ID-1037"/>
    <n v="3"/>
    <x v="0"/>
    <n v="35"/>
    <n v="0"/>
    <n v="1665"/>
    <n v="44"/>
    <n v="38"/>
    <n v="20"/>
    <n v="3"/>
    <n v="1"/>
    <n v="2"/>
    <n v="30"/>
    <n v="220.36"/>
    <n v="0"/>
    <n v="1"/>
    <x v="0"/>
    <n v="13.234834834834835"/>
  </r>
  <r>
    <s v="ID-1038"/>
    <n v="6"/>
    <x v="0"/>
    <n v="36"/>
    <n v="0"/>
    <n v="2780"/>
    <n v="53"/>
    <n v="175"/>
    <n v="23"/>
    <n v="2"/>
    <n v="1"/>
    <n v="1"/>
    <n v="25"/>
    <n v="914.98500000000001"/>
    <n v="0"/>
    <n v="1"/>
    <x v="0"/>
    <n v="32.913129496402874"/>
  </r>
  <r>
    <s v="ID-1039"/>
    <n v="4"/>
    <x v="0"/>
    <n v="27"/>
    <n v="1"/>
    <n v="1315"/>
    <n v="36"/>
    <n v="193"/>
    <n v="11"/>
    <n v="2"/>
    <n v="2"/>
    <n v="1"/>
    <n v="25"/>
    <n v="929.29499999999996"/>
    <n v="0"/>
    <n v="0"/>
    <x v="0"/>
    <n v="70.668821292775661"/>
  </r>
  <r>
    <s v="ID-1040"/>
    <n v="4"/>
    <x v="0"/>
    <n v="26"/>
    <n v="0"/>
    <n v="1568"/>
    <n v="39"/>
    <n v="30"/>
    <n v="68"/>
    <n v="4"/>
    <n v="1"/>
    <n v="1"/>
    <n v="45"/>
    <n v="115.175"/>
    <n v="0"/>
    <n v="2"/>
    <x v="0"/>
    <n v="7.3453443877551026"/>
  </r>
  <r>
    <s v="ID-1041"/>
    <n v="11"/>
    <x v="0"/>
    <n v="27"/>
    <n v="0"/>
    <n v="700"/>
    <n v="25"/>
    <n v="10"/>
    <n v="7"/>
    <n v="2"/>
    <n v="1"/>
    <n v="2"/>
    <n v="25"/>
    <n v="77.625"/>
    <n v="0"/>
    <n v="3"/>
    <x v="1"/>
    <n v="11.089285714285714"/>
  </r>
  <r>
    <s v="ID-1042"/>
    <n v="0"/>
    <x v="0"/>
    <n v="26"/>
    <n v="0"/>
    <n v="825"/>
    <n v="10"/>
    <n v="21"/>
    <n v="3"/>
    <n v="4"/>
    <n v="1"/>
    <n v="2"/>
    <n v="45"/>
    <n v="73.375"/>
    <n v="0"/>
    <n v="1"/>
    <x v="0"/>
    <n v="8.8939393939393945"/>
  </r>
  <r>
    <s v="ID-1043"/>
    <n v="10"/>
    <x v="0"/>
    <n v="25"/>
    <n v="0"/>
    <n v="1225"/>
    <n v="32"/>
    <n v="19"/>
    <n v="13"/>
    <n v="2"/>
    <n v="1"/>
    <n v="1"/>
    <n v="25"/>
    <n v="142.065"/>
    <n v="0"/>
    <n v="1"/>
    <x v="0"/>
    <n v="11.597142857142858"/>
  </r>
  <r>
    <s v="ID-1044"/>
    <n v="2"/>
    <x v="0"/>
    <n v="25"/>
    <n v="0"/>
    <n v="3225"/>
    <n v="61"/>
    <n v="8"/>
    <n v="23"/>
    <n v="3"/>
    <n v="1"/>
    <n v="1"/>
    <n v="30"/>
    <n v="163.44"/>
    <n v="0"/>
    <n v="1"/>
    <x v="0"/>
    <n v="5.0679069767441858"/>
  </r>
  <r>
    <s v="ID-1045"/>
    <n v="2"/>
    <x v="0"/>
    <n v="18"/>
    <n v="0"/>
    <n v="1695"/>
    <n v="26"/>
    <n v="28"/>
    <n v="14"/>
    <n v="2"/>
    <n v="1"/>
    <n v="1"/>
    <n v="25"/>
    <n v="203.44499999999999"/>
    <n v="0"/>
    <n v="1"/>
    <x v="0"/>
    <n v="12.002654867256638"/>
  </r>
  <r>
    <s v="ID-1046"/>
    <n v="16"/>
    <x v="0"/>
    <n v="17"/>
    <n v="1"/>
    <n v="6392"/>
    <n v="141"/>
    <n v="85"/>
    <n v="42"/>
    <n v="2"/>
    <n v="2"/>
    <n v="1"/>
    <n v="25"/>
    <n v="676.48500000000001"/>
    <n v="0"/>
    <n v="4"/>
    <x v="1"/>
    <n v="10.583307259073843"/>
  </r>
  <r>
    <s v="ID-1047"/>
    <n v="12"/>
    <x v="0"/>
    <n v="15"/>
    <n v="0"/>
    <n v="8932"/>
    <n v="171"/>
    <n v="73"/>
    <n v="40"/>
    <n v="4"/>
    <n v="1"/>
    <n v="1"/>
    <n v="45"/>
    <n v="410.07499999999999"/>
    <n v="0"/>
    <n v="5"/>
    <x v="1"/>
    <n v="4.5910770264218543"/>
  </r>
  <r>
    <s v="ID-1048"/>
    <n v="8"/>
    <x v="0"/>
    <n v="16"/>
    <n v="3"/>
    <n v="2852"/>
    <n v="45"/>
    <n v="31"/>
    <n v="19"/>
    <n v="3"/>
    <n v="1"/>
    <n v="1"/>
    <n v="30"/>
    <n v="239.88"/>
    <n v="0"/>
    <n v="0"/>
    <x v="0"/>
    <n v="8.4109396914446002"/>
  </r>
  <r>
    <s v="ID-1049"/>
    <n v="2"/>
    <x v="0"/>
    <n v="9"/>
    <n v="1"/>
    <n v="4390"/>
    <n v="40"/>
    <n v="215"/>
    <n v="10"/>
    <n v="3"/>
    <n v="1"/>
    <n v="1"/>
    <n v="30"/>
    <n v="1037.2"/>
    <n v="0"/>
    <n v="0"/>
    <x v="0"/>
    <n v="23.626423690205012"/>
  </r>
  <r>
    <s v="ID-1050"/>
    <n v="3"/>
    <x v="1"/>
    <n v="9"/>
    <n v="1"/>
    <n v="1487"/>
    <n v="19"/>
    <n v="0"/>
    <n v="7"/>
    <n v="3"/>
    <n v="1"/>
    <n v="1"/>
    <n v="30"/>
    <n v="60.24"/>
    <n v="1"/>
    <n v="2"/>
    <x v="0"/>
    <n v="4.0511096166778753"/>
  </r>
  <r>
    <s v="ID-1051"/>
    <n v="3"/>
    <x v="0"/>
    <n v="36"/>
    <n v="0"/>
    <n v="4065"/>
    <n v="65"/>
    <n v="0"/>
    <n v="15"/>
    <n v="2"/>
    <n v="1"/>
    <n v="1"/>
    <n v="25"/>
    <n v="185.85"/>
    <n v="0"/>
    <n v="1"/>
    <x v="0"/>
    <n v="4.5719557195571952"/>
  </r>
  <r>
    <s v="ID-1052"/>
    <n v="0"/>
    <x v="0"/>
    <n v="37"/>
    <n v="0"/>
    <n v="0"/>
    <n v="0"/>
    <n v="0"/>
    <n v="0"/>
    <n v="2"/>
    <n v="1"/>
    <n v="2"/>
    <n v="25"/>
    <n v="0"/>
    <n v="0"/>
    <n v="1"/>
    <x v="0"/>
    <n v="0"/>
  </r>
  <r>
    <s v="ID-1053"/>
    <n v="5"/>
    <x v="0"/>
    <n v="35"/>
    <n v="0"/>
    <n v="2148"/>
    <n v="54"/>
    <n v="352"/>
    <n v="22"/>
    <n v="2"/>
    <n v="1"/>
    <n v="1"/>
    <n v="25"/>
    <n v="1683.09"/>
    <n v="0"/>
    <n v="1"/>
    <x v="0"/>
    <n v="78.35614525139664"/>
  </r>
  <r>
    <s v="ID-1054"/>
    <n v="5"/>
    <x v="0"/>
    <n v="36"/>
    <n v="0"/>
    <n v="3893"/>
    <n v="60"/>
    <n v="0"/>
    <n v="33"/>
    <n v="1"/>
    <n v="1"/>
    <n v="1"/>
    <n v="15"/>
    <n v="217.41499999999999"/>
    <n v="0"/>
    <n v="1"/>
    <x v="0"/>
    <n v="5.5847675314667349"/>
  </r>
  <r>
    <s v="ID-1055"/>
    <n v="0"/>
    <x v="0"/>
    <n v="36"/>
    <n v="0"/>
    <n v="2088"/>
    <n v="52"/>
    <n v="0"/>
    <n v="31"/>
    <n v="1"/>
    <n v="1"/>
    <n v="1"/>
    <n v="15"/>
    <n v="117.7"/>
    <n v="0"/>
    <n v="1"/>
    <x v="0"/>
    <n v="5.6369731800766285"/>
  </r>
  <r>
    <s v="ID-1056"/>
    <n v="6"/>
    <x v="0"/>
    <n v="36"/>
    <n v="0"/>
    <n v="3470"/>
    <n v="76"/>
    <n v="25"/>
    <n v="26"/>
    <n v="2"/>
    <n v="1"/>
    <n v="1"/>
    <n v="25"/>
    <n v="272.07"/>
    <n v="0"/>
    <n v="1"/>
    <x v="0"/>
    <n v="7.8406340057636887"/>
  </r>
  <r>
    <s v="ID-1057"/>
    <n v="0"/>
    <x v="0"/>
    <n v="36"/>
    <n v="0"/>
    <n v="2055"/>
    <n v="33"/>
    <n v="278"/>
    <n v="16"/>
    <n v="3"/>
    <n v="1"/>
    <n v="1"/>
    <n v="30"/>
    <n v="1195.52"/>
    <n v="0"/>
    <n v="1"/>
    <x v="0"/>
    <n v="58.17615571776156"/>
  </r>
  <r>
    <s v="ID-1058"/>
    <n v="8"/>
    <x v="0"/>
    <n v="35"/>
    <n v="1"/>
    <n v="8810"/>
    <n v="115"/>
    <n v="137"/>
    <n v="41"/>
    <n v="3"/>
    <n v="1"/>
    <n v="1"/>
    <n v="30"/>
    <n v="905"/>
    <n v="0"/>
    <n v="0"/>
    <x v="0"/>
    <n v="10.272417707150964"/>
  </r>
  <r>
    <s v="ID-1059"/>
    <n v="2"/>
    <x v="0"/>
    <n v="36"/>
    <n v="0"/>
    <n v="13468"/>
    <n v="163"/>
    <n v="0"/>
    <n v="42"/>
    <n v="3"/>
    <n v="1"/>
    <n v="1"/>
    <n v="30"/>
    <n v="545.24"/>
    <n v="0"/>
    <n v="3"/>
    <x v="1"/>
    <n v="4.0484110484110483"/>
  </r>
  <r>
    <s v="ID-1060"/>
    <n v="2"/>
    <x v="0"/>
    <n v="36"/>
    <n v="0"/>
    <n v="4210"/>
    <n v="77"/>
    <n v="0"/>
    <n v="23"/>
    <n v="3"/>
    <n v="1"/>
    <n v="1"/>
    <n v="30"/>
    <n v="171.48"/>
    <n v="0"/>
    <n v="1"/>
    <x v="0"/>
    <n v="4.0731591448931113"/>
  </r>
  <r>
    <s v="ID-1061"/>
    <n v="1"/>
    <x v="0"/>
    <n v="36"/>
    <n v="0"/>
    <n v="5613"/>
    <n v="89"/>
    <n v="0"/>
    <n v="10"/>
    <n v="2"/>
    <n v="1"/>
    <n v="1"/>
    <n v="25"/>
    <n v="256.58999999999997"/>
    <n v="0"/>
    <n v="1"/>
    <x v="0"/>
    <n v="4.571352218065206"/>
  </r>
  <r>
    <s v="ID-1062"/>
    <n v="4"/>
    <x v="0"/>
    <n v="36"/>
    <n v="0"/>
    <n v="1933"/>
    <n v="48"/>
    <n v="1"/>
    <n v="15"/>
    <n v="3"/>
    <n v="1"/>
    <n v="2"/>
    <n v="30"/>
    <n v="83.24"/>
    <n v="0"/>
    <n v="1"/>
    <x v="0"/>
    <n v="4.3062596999482663"/>
  </r>
  <r>
    <s v="ID-1063"/>
    <n v="20"/>
    <x v="0"/>
    <n v="36"/>
    <n v="2"/>
    <n v="14835"/>
    <n v="219"/>
    <n v="47"/>
    <n v="30"/>
    <n v="3"/>
    <n v="1"/>
    <n v="1"/>
    <n v="30"/>
    <n v="790.16"/>
    <n v="0"/>
    <n v="4"/>
    <x v="1"/>
    <n v="5.3263228850690929"/>
  </r>
  <r>
    <s v="ID-1064"/>
    <n v="0"/>
    <x v="0"/>
    <n v="36"/>
    <n v="0"/>
    <n v="2790"/>
    <n v="21"/>
    <n v="476"/>
    <n v="6"/>
    <n v="3"/>
    <n v="1"/>
    <n v="1"/>
    <n v="30"/>
    <n v="2016.44"/>
    <n v="0"/>
    <n v="1"/>
    <x v="0"/>
    <n v="72.273835125448031"/>
  </r>
  <r>
    <s v="ID-1065"/>
    <n v="4"/>
    <x v="0"/>
    <n v="35"/>
    <n v="0"/>
    <n v="15180"/>
    <n v="176"/>
    <n v="143"/>
    <n v="28"/>
    <n v="2"/>
    <n v="1"/>
    <n v="1"/>
    <n v="25"/>
    <n v="1334.52"/>
    <n v="0"/>
    <n v="3"/>
    <x v="1"/>
    <n v="8.7913043478260864"/>
  </r>
  <r>
    <s v="ID-1066"/>
    <n v="0"/>
    <x v="0"/>
    <n v="35"/>
    <n v="0"/>
    <n v="6195"/>
    <n v="80"/>
    <n v="179"/>
    <n v="24"/>
    <n v="3"/>
    <n v="1"/>
    <n v="1"/>
    <n v="30"/>
    <n v="967"/>
    <n v="0"/>
    <n v="1"/>
    <x v="0"/>
    <n v="15.609362389023406"/>
  </r>
  <r>
    <s v="ID-1067"/>
    <n v="0"/>
    <x v="0"/>
    <n v="35"/>
    <n v="0"/>
    <n v="570"/>
    <n v="8"/>
    <n v="0"/>
    <n v="9"/>
    <n v="2"/>
    <n v="1"/>
    <n v="2"/>
    <n v="25"/>
    <n v="26.01"/>
    <n v="0"/>
    <n v="1"/>
    <x v="0"/>
    <n v="4.5631578947368423"/>
  </r>
  <r>
    <s v="ID-1068"/>
    <n v="0"/>
    <x v="0"/>
    <n v="36"/>
    <n v="0"/>
    <n v="405"/>
    <n v="8"/>
    <n v="6"/>
    <n v="6"/>
    <n v="2"/>
    <n v="1"/>
    <n v="2"/>
    <n v="25"/>
    <n v="45.585000000000001"/>
    <n v="0"/>
    <n v="1"/>
    <x v="0"/>
    <n v="11.255555555555556"/>
  </r>
  <r>
    <s v="ID-1069"/>
    <n v="0"/>
    <x v="0"/>
    <n v="35"/>
    <n v="0"/>
    <n v="0"/>
    <n v="0"/>
    <n v="0"/>
    <n v="0"/>
    <n v="2"/>
    <n v="1"/>
    <n v="2"/>
    <n v="25"/>
    <n v="0"/>
    <n v="1"/>
    <n v="1"/>
    <x v="0"/>
    <n v="0"/>
  </r>
  <r>
    <s v="ID-1070"/>
    <n v="0"/>
    <x v="0"/>
    <n v="35"/>
    <n v="0"/>
    <n v="7203"/>
    <n v="121"/>
    <n v="377"/>
    <n v="41"/>
    <n v="2"/>
    <n v="1"/>
    <n v="1"/>
    <n v="25"/>
    <n v="2026.08"/>
    <n v="0"/>
    <n v="1"/>
    <x v="0"/>
    <n v="28.128279883381925"/>
  </r>
  <r>
    <s v="ID-1071"/>
    <n v="2"/>
    <x v="0"/>
    <n v="35"/>
    <n v="0"/>
    <n v="11160"/>
    <n v="148"/>
    <n v="4"/>
    <n v="45"/>
    <n v="3"/>
    <n v="1"/>
    <n v="1"/>
    <n v="30"/>
    <n v="468.32"/>
    <n v="0"/>
    <n v="3"/>
    <x v="1"/>
    <n v="4.1964157706093195"/>
  </r>
  <r>
    <s v="ID-1072"/>
    <n v="3"/>
    <x v="0"/>
    <n v="35"/>
    <n v="0"/>
    <n v="6413"/>
    <n v="69"/>
    <n v="101"/>
    <n v="35"/>
    <n v="2"/>
    <n v="1"/>
    <n v="1"/>
    <n v="25"/>
    <n v="746.19"/>
    <n v="0"/>
    <n v="1"/>
    <x v="0"/>
    <n v="11.635583970060814"/>
  </r>
  <r>
    <s v="ID-1073"/>
    <n v="18"/>
    <x v="0"/>
    <n v="31"/>
    <n v="0"/>
    <n v="650"/>
    <n v="41"/>
    <n v="9"/>
    <n v="15"/>
    <n v="2"/>
    <n v="1"/>
    <n v="2"/>
    <n v="25"/>
    <n v="71.594999999999999"/>
    <n v="1"/>
    <n v="3"/>
    <x v="1"/>
    <n v="11.014615384615384"/>
  </r>
  <r>
    <s v="ID-1074"/>
    <n v="16"/>
    <x v="0"/>
    <n v="34"/>
    <n v="7"/>
    <n v="10130"/>
    <n v="87"/>
    <n v="0"/>
    <n v="40"/>
    <n v="4"/>
    <n v="1"/>
    <n v="1"/>
    <n v="45"/>
    <n v="255.42500000000001"/>
    <n v="0"/>
    <n v="2"/>
    <x v="0"/>
    <n v="2.5214708785784796"/>
  </r>
  <r>
    <s v="ID-1075"/>
    <n v="8"/>
    <x v="1"/>
    <n v="34"/>
    <n v="0"/>
    <n v="5513"/>
    <n v="92"/>
    <n v="19"/>
    <n v="22"/>
    <n v="2"/>
    <n v="1"/>
    <n v="1"/>
    <n v="25"/>
    <n v="337.72500000000002"/>
    <n v="1"/>
    <n v="3"/>
    <x v="1"/>
    <n v="6.1259749682568474"/>
  </r>
  <r>
    <s v="ID-1076"/>
    <n v="0"/>
    <x v="0"/>
    <n v="32"/>
    <n v="0"/>
    <n v="2535"/>
    <n v="16"/>
    <n v="0"/>
    <n v="12"/>
    <n v="3"/>
    <n v="1"/>
    <n v="1"/>
    <n v="30"/>
    <n v="102.04"/>
    <n v="0"/>
    <n v="1"/>
    <x v="0"/>
    <n v="4.0252465483234721"/>
  </r>
  <r>
    <s v="ID-1077"/>
    <n v="4"/>
    <x v="0"/>
    <n v="33"/>
    <n v="0"/>
    <n v="2685"/>
    <n v="35"/>
    <n v="2"/>
    <n v="14"/>
    <n v="2"/>
    <n v="1"/>
    <n v="2"/>
    <n v="25"/>
    <n v="131.4"/>
    <n v="1"/>
    <n v="1"/>
    <x v="0"/>
    <n v="4.8938547486033528"/>
  </r>
  <r>
    <s v="ID-1078"/>
    <n v="4"/>
    <x v="0"/>
    <n v="34"/>
    <n v="0"/>
    <n v="1963"/>
    <n v="38"/>
    <n v="27"/>
    <n v="29"/>
    <n v="3"/>
    <n v="1"/>
    <n v="2"/>
    <n v="30"/>
    <n v="188.04"/>
    <n v="1"/>
    <n v="1"/>
    <x v="0"/>
    <n v="9.5792154865002548"/>
  </r>
  <r>
    <s v="ID-1079"/>
    <n v="0"/>
    <x v="1"/>
    <n v="34"/>
    <n v="0"/>
    <n v="0"/>
    <n v="0"/>
    <n v="0"/>
    <n v="0"/>
    <n v="3"/>
    <n v="1"/>
    <n v="2"/>
    <n v="30"/>
    <n v="0"/>
    <n v="1"/>
    <n v="3"/>
    <x v="1"/>
    <n v="0"/>
  </r>
  <r>
    <s v="ID-1080"/>
    <n v="0"/>
    <x v="0"/>
    <n v="34"/>
    <n v="0"/>
    <n v="1363"/>
    <n v="19"/>
    <n v="0"/>
    <n v="4"/>
    <n v="3"/>
    <n v="1"/>
    <n v="1"/>
    <n v="30"/>
    <n v="55.28"/>
    <n v="0"/>
    <n v="1"/>
    <x v="0"/>
    <n v="4.0557593543653709"/>
  </r>
  <r>
    <s v="ID-1081"/>
    <n v="0"/>
    <x v="0"/>
    <n v="31"/>
    <n v="0"/>
    <n v="6480"/>
    <n v="91"/>
    <n v="7"/>
    <n v="20"/>
    <n v="4"/>
    <n v="1"/>
    <n v="1"/>
    <n v="45"/>
    <n v="181.77500000000001"/>
    <n v="0"/>
    <n v="1"/>
    <x v="0"/>
    <n v="2.8051697530864197"/>
  </r>
  <r>
    <s v="ID-1082"/>
    <n v="0"/>
    <x v="0"/>
    <n v="34"/>
    <n v="0"/>
    <n v="323"/>
    <n v="1"/>
    <n v="2"/>
    <n v="2"/>
    <n v="4"/>
    <n v="1"/>
    <n v="2"/>
    <n v="45"/>
    <n v="13.1"/>
    <n v="1"/>
    <n v="1"/>
    <x v="0"/>
    <n v="4.0557275541795672"/>
  </r>
  <r>
    <s v="ID-1083"/>
    <n v="0"/>
    <x v="0"/>
    <n v="34"/>
    <n v="0"/>
    <n v="0"/>
    <n v="0"/>
    <n v="0"/>
    <n v="0"/>
    <n v="5"/>
    <n v="1"/>
    <n v="1"/>
    <n v="55"/>
    <n v="0"/>
    <n v="0"/>
    <n v="1"/>
    <x v="0"/>
    <n v="0"/>
  </r>
  <r>
    <s v="ID-1084"/>
    <n v="20"/>
    <x v="0"/>
    <n v="29"/>
    <n v="2"/>
    <n v="15770"/>
    <n v="232"/>
    <n v="0"/>
    <n v="78"/>
    <n v="2"/>
    <n v="1"/>
    <n v="1"/>
    <n v="25"/>
    <n v="720.09"/>
    <n v="0"/>
    <n v="5"/>
    <x v="1"/>
    <n v="4.5662016487000638"/>
  </r>
  <r>
    <s v="ID-1085"/>
    <n v="1"/>
    <x v="0"/>
    <n v="32"/>
    <n v="2"/>
    <n v="6660"/>
    <n v="110"/>
    <n v="264"/>
    <n v="31"/>
    <n v="2"/>
    <n v="2"/>
    <n v="1"/>
    <n v="25"/>
    <n v="1492.65"/>
    <n v="0"/>
    <n v="0"/>
    <x v="0"/>
    <n v="22.412162162162165"/>
  </r>
  <r>
    <s v="ID-1086"/>
    <n v="0"/>
    <x v="0"/>
    <n v="34"/>
    <n v="0"/>
    <n v="3413"/>
    <n v="76"/>
    <n v="0"/>
    <n v="26"/>
    <n v="2"/>
    <n v="1"/>
    <n v="1"/>
    <n v="25"/>
    <n v="157.005"/>
    <n v="0"/>
    <n v="1"/>
    <x v="0"/>
    <n v="4.6002050981541167"/>
  </r>
  <r>
    <s v="ID-1087"/>
    <n v="0"/>
    <x v="0"/>
    <n v="33"/>
    <n v="0"/>
    <n v="1360"/>
    <n v="38"/>
    <n v="31"/>
    <n v="18"/>
    <n v="3"/>
    <n v="1"/>
    <n v="2"/>
    <n v="30"/>
    <n v="179.92"/>
    <n v="0"/>
    <n v="1"/>
    <x v="0"/>
    <n v="13.229411764705882"/>
  </r>
  <r>
    <s v="ID-1088"/>
    <n v="1"/>
    <x v="0"/>
    <n v="34"/>
    <n v="0"/>
    <n v="2475"/>
    <n v="47"/>
    <n v="168"/>
    <n v="21"/>
    <n v="2"/>
    <n v="1"/>
    <n v="1"/>
    <n v="25"/>
    <n v="869.49"/>
    <n v="0"/>
    <n v="1"/>
    <x v="0"/>
    <n v="35.130909090909093"/>
  </r>
  <r>
    <s v="ID-1089"/>
    <n v="0"/>
    <x v="1"/>
    <n v="25"/>
    <n v="0"/>
    <n v="1010"/>
    <n v="30"/>
    <n v="186"/>
    <n v="9"/>
    <n v="2"/>
    <n v="2"/>
    <n v="1"/>
    <n v="25"/>
    <n v="883.8"/>
    <n v="1"/>
    <n v="3"/>
    <x v="1"/>
    <n v="87.504950495049499"/>
  </r>
  <r>
    <s v="ID-1090"/>
    <n v="0"/>
    <x v="0"/>
    <n v="24"/>
    <n v="0"/>
    <n v="1263"/>
    <n v="33"/>
    <n v="23"/>
    <n v="66"/>
    <n v="4"/>
    <n v="1"/>
    <n v="1"/>
    <n v="45"/>
    <n v="89.9"/>
    <n v="0"/>
    <n v="2"/>
    <x v="0"/>
    <n v="7.1179730799683298"/>
  </r>
  <r>
    <s v="ID-1091"/>
    <n v="6"/>
    <x v="0"/>
    <n v="25"/>
    <n v="0"/>
    <n v="395"/>
    <n v="19"/>
    <n v="3"/>
    <n v="5"/>
    <n v="2"/>
    <n v="1"/>
    <n v="2"/>
    <n v="25"/>
    <n v="32.130000000000003"/>
    <n v="0"/>
    <n v="1"/>
    <x v="0"/>
    <n v="8.1341772151898741"/>
  </r>
  <r>
    <s v="ID-1092"/>
    <n v="0"/>
    <x v="0"/>
    <n v="24"/>
    <n v="0"/>
    <n v="520"/>
    <n v="4"/>
    <n v="14"/>
    <n v="1"/>
    <n v="4"/>
    <n v="1"/>
    <n v="2"/>
    <n v="45"/>
    <n v="48.1"/>
    <n v="0"/>
    <n v="1"/>
    <x v="0"/>
    <n v="9.25"/>
  </r>
  <r>
    <s v="ID-1093"/>
    <n v="5"/>
    <x v="0"/>
    <n v="23"/>
    <n v="0"/>
    <n v="920"/>
    <n v="26"/>
    <n v="12"/>
    <n v="11"/>
    <n v="2"/>
    <n v="1"/>
    <n v="1"/>
    <n v="25"/>
    <n v="96.57"/>
    <n v="0"/>
    <n v="1"/>
    <x v="0"/>
    <n v="10.496739130434781"/>
  </r>
  <r>
    <s v="ID-1094"/>
    <n v="0"/>
    <x v="0"/>
    <n v="23"/>
    <n v="0"/>
    <n v="2920"/>
    <n v="55"/>
    <n v="1"/>
    <n v="21"/>
    <n v="3"/>
    <n v="1"/>
    <n v="1"/>
    <n v="30"/>
    <n v="123"/>
    <n v="0"/>
    <n v="1"/>
    <x v="0"/>
    <n v="4.2123287671232879"/>
  </r>
  <r>
    <s v="ID-1095"/>
    <n v="0"/>
    <x v="0"/>
    <n v="16"/>
    <n v="0"/>
    <n v="1390"/>
    <n v="20"/>
    <n v="21"/>
    <n v="12"/>
    <n v="2"/>
    <n v="1"/>
    <n v="1"/>
    <n v="25"/>
    <n v="157.94999999999999"/>
    <n v="0"/>
    <n v="1"/>
    <x v="0"/>
    <n v="11.363309352517986"/>
  </r>
  <r>
    <s v="ID-1096"/>
    <n v="11"/>
    <x v="0"/>
    <n v="15"/>
    <n v="0"/>
    <n v="6088"/>
    <n v="135"/>
    <n v="78"/>
    <n v="40"/>
    <n v="1"/>
    <n v="2"/>
    <n v="1"/>
    <n v="15"/>
    <n v="771.26499999999999"/>
    <n v="0"/>
    <n v="3"/>
    <x v="1"/>
    <n v="12.66861038107753"/>
  </r>
  <r>
    <s v="ID-1097"/>
    <n v="7"/>
    <x v="0"/>
    <n v="13"/>
    <n v="0"/>
    <n v="8628"/>
    <n v="165"/>
    <n v="66"/>
    <n v="38"/>
    <n v="4"/>
    <n v="1"/>
    <n v="1"/>
    <n v="45"/>
    <n v="384.82499999999999"/>
    <n v="0"/>
    <n v="3"/>
    <x v="1"/>
    <n v="4.4601877607788598"/>
  </r>
  <r>
    <s v="ID-1098"/>
    <n v="3"/>
    <x v="0"/>
    <n v="14"/>
    <n v="2"/>
    <n v="2548"/>
    <n v="39"/>
    <n v="24"/>
    <n v="17"/>
    <n v="3"/>
    <n v="1"/>
    <n v="1"/>
    <n v="30"/>
    <n v="199.48"/>
    <n v="0"/>
    <n v="0"/>
    <x v="0"/>
    <n v="7.8288854003139718"/>
  </r>
  <r>
    <s v="ID-1099"/>
    <n v="0"/>
    <x v="0"/>
    <n v="7"/>
    <n v="0"/>
    <n v="4085"/>
    <n v="34"/>
    <n v="208"/>
    <n v="8"/>
    <n v="3"/>
    <n v="1"/>
    <n v="1"/>
    <n v="30"/>
    <n v="996.76"/>
    <n v="0"/>
    <n v="1"/>
    <x v="0"/>
    <n v="24.400489596083229"/>
  </r>
  <r>
    <s v="ID-1100"/>
    <n v="0"/>
    <x v="1"/>
    <n v="7"/>
    <n v="0"/>
    <n v="1183"/>
    <n v="13"/>
    <n v="0"/>
    <n v="5"/>
    <n v="2"/>
    <n v="1"/>
    <n v="2"/>
    <n v="25"/>
    <n v="53.82"/>
    <n v="1"/>
    <n v="3"/>
    <x v="1"/>
    <n v="4.5494505494505493"/>
  </r>
  <r>
    <s v="ID-1101"/>
    <n v="6"/>
    <x v="0"/>
    <n v="38"/>
    <n v="0"/>
    <n v="4125"/>
    <n v="68"/>
    <n v="3"/>
    <n v="17"/>
    <n v="2"/>
    <n v="1"/>
    <n v="1"/>
    <n v="25"/>
    <n v="202.185"/>
    <n v="0"/>
    <n v="1"/>
    <x v="0"/>
    <n v="4.9014545454545457"/>
  </r>
  <r>
    <s v="ID-1102"/>
    <n v="0"/>
    <x v="0"/>
    <n v="39"/>
    <n v="0"/>
    <n v="73"/>
    <n v="2"/>
    <n v="5"/>
    <n v="4"/>
    <n v="2"/>
    <n v="1"/>
    <n v="1"/>
    <n v="25"/>
    <n v="25.875"/>
    <n v="0"/>
    <n v="1"/>
    <x v="0"/>
    <n v="35.445205479452049"/>
  </r>
  <r>
    <s v="ID-1103"/>
    <n v="8"/>
    <x v="0"/>
    <n v="37"/>
    <n v="0"/>
    <n v="2208"/>
    <n v="57"/>
    <n v="357"/>
    <n v="24"/>
    <n v="2"/>
    <n v="1"/>
    <n v="1"/>
    <n v="25"/>
    <n v="1708.425"/>
    <n v="0"/>
    <n v="1"/>
    <x v="0"/>
    <n v="77.374320652173907"/>
  </r>
  <r>
    <s v="ID-1104"/>
    <n v="8"/>
    <x v="0"/>
    <n v="38"/>
    <n v="0"/>
    <n v="3953"/>
    <n v="63"/>
    <n v="0"/>
    <n v="35"/>
    <n v="1"/>
    <n v="1"/>
    <n v="1"/>
    <n v="15"/>
    <n v="220.88"/>
    <n v="0"/>
    <n v="1"/>
    <x v="0"/>
    <n v="5.5876549456109279"/>
  </r>
  <r>
    <s v="ID-1105"/>
    <n v="1"/>
    <x v="0"/>
    <n v="38"/>
    <n v="0"/>
    <n v="2148"/>
    <n v="55"/>
    <n v="0"/>
    <n v="33"/>
    <n v="1"/>
    <n v="1"/>
    <n v="1"/>
    <n v="15"/>
    <n v="121.16500000000001"/>
    <n v="0"/>
    <n v="1"/>
    <x v="0"/>
    <n v="5.6408286778398518"/>
  </r>
  <r>
    <s v="ID-1106"/>
    <n v="9"/>
    <x v="0"/>
    <n v="38"/>
    <n v="1"/>
    <n v="3530"/>
    <n v="79"/>
    <n v="30"/>
    <n v="28"/>
    <n v="3"/>
    <n v="1"/>
    <n v="1"/>
    <n v="30"/>
    <n v="264.36"/>
    <n v="0"/>
    <n v="0"/>
    <x v="0"/>
    <n v="7.488951841359774"/>
  </r>
  <r>
    <s v="ID-1107"/>
    <n v="2"/>
    <x v="0"/>
    <n v="38"/>
    <n v="0"/>
    <n v="2115"/>
    <n v="36"/>
    <n v="283"/>
    <n v="18"/>
    <n v="3"/>
    <n v="1"/>
    <n v="1"/>
    <n v="30"/>
    <n v="1218.04"/>
    <n v="0"/>
    <n v="1"/>
    <x v="0"/>
    <n v="57.590543735224585"/>
  </r>
  <r>
    <s v="ID-1108"/>
    <n v="11"/>
    <x v="0"/>
    <n v="37"/>
    <n v="2"/>
    <n v="8870"/>
    <n v="118"/>
    <n v="142"/>
    <n v="43"/>
    <n v="3"/>
    <n v="1"/>
    <n v="1"/>
    <n v="30"/>
    <n v="927.52"/>
    <n v="0"/>
    <n v="2"/>
    <x v="0"/>
    <n v="10.456820744081172"/>
  </r>
  <r>
    <s v="ID-1109"/>
    <n v="5"/>
    <x v="0"/>
    <n v="38"/>
    <n v="0"/>
    <n v="13528"/>
    <n v="166"/>
    <n v="0"/>
    <n v="44"/>
    <n v="3"/>
    <n v="1"/>
    <n v="1"/>
    <n v="30"/>
    <n v="547.76"/>
    <n v="0"/>
    <n v="3"/>
    <x v="1"/>
    <n v="4.0490833826138379"/>
  </r>
  <r>
    <s v="ID-1110"/>
    <n v="5"/>
    <x v="0"/>
    <n v="38"/>
    <n v="1"/>
    <n v="4270"/>
    <n v="80"/>
    <n v="0"/>
    <n v="25"/>
    <n v="3"/>
    <n v="1"/>
    <n v="1"/>
    <n v="30"/>
    <n v="174"/>
    <n v="0"/>
    <n v="0"/>
    <x v="0"/>
    <n v="4.0749414519906324"/>
  </r>
  <r>
    <s v="ID-1111"/>
    <n v="4"/>
    <x v="0"/>
    <n v="38"/>
    <n v="0"/>
    <n v="5673"/>
    <n v="92"/>
    <n v="5"/>
    <n v="12"/>
    <n v="2"/>
    <n v="1"/>
    <n v="1"/>
    <n v="25"/>
    <n v="281.92500000000001"/>
    <n v="0"/>
    <n v="1"/>
    <x v="0"/>
    <n v="4.9695928080380751"/>
  </r>
  <r>
    <s v="ID-1112"/>
    <n v="7"/>
    <x v="0"/>
    <n v="38"/>
    <n v="0"/>
    <n v="1993"/>
    <n v="51"/>
    <n v="6"/>
    <n v="17"/>
    <n v="3"/>
    <n v="1"/>
    <n v="1"/>
    <n v="30"/>
    <n v="105.76"/>
    <n v="0"/>
    <n v="1"/>
    <x v="0"/>
    <n v="5.3065730055193185"/>
  </r>
  <r>
    <s v="ID-1113"/>
    <n v="23"/>
    <x v="0"/>
    <n v="38"/>
    <n v="3"/>
    <n v="14895"/>
    <n v="222"/>
    <n v="52"/>
    <n v="32"/>
    <n v="3"/>
    <n v="1"/>
    <n v="1"/>
    <n v="30"/>
    <n v="812.68"/>
    <n v="0"/>
    <n v="4"/>
    <x v="1"/>
    <n v="5.4560590802282638"/>
  </r>
  <r>
    <s v="ID-1114"/>
    <n v="2"/>
    <x v="0"/>
    <n v="38"/>
    <n v="1"/>
    <n v="2850"/>
    <n v="24"/>
    <n v="481"/>
    <n v="8"/>
    <n v="3"/>
    <n v="1"/>
    <n v="1"/>
    <n v="30"/>
    <n v="2038.96"/>
    <n v="0"/>
    <n v="0"/>
    <x v="0"/>
    <n v="71.542456140350879"/>
  </r>
  <r>
    <s v="ID-1115"/>
    <n v="7"/>
    <x v="0"/>
    <n v="37"/>
    <n v="0"/>
    <n v="15240"/>
    <n v="179"/>
    <n v="148"/>
    <n v="30"/>
    <n v="2"/>
    <n v="1"/>
    <n v="1"/>
    <n v="25"/>
    <n v="1359.855"/>
    <n v="0"/>
    <n v="3"/>
    <x v="1"/>
    <n v="8.9229330708661418"/>
  </r>
  <r>
    <s v="ID-1116"/>
    <n v="1"/>
    <x v="0"/>
    <n v="37"/>
    <n v="1"/>
    <n v="6255"/>
    <n v="83"/>
    <n v="184"/>
    <n v="26"/>
    <n v="3"/>
    <n v="1"/>
    <n v="1"/>
    <n v="30"/>
    <n v="989.52"/>
    <n v="0"/>
    <n v="0"/>
    <x v="0"/>
    <n v="15.819664268585132"/>
  </r>
  <r>
    <s v="ID-1117"/>
    <n v="0"/>
    <x v="0"/>
    <n v="37"/>
    <n v="0"/>
    <n v="630"/>
    <n v="11"/>
    <n v="0"/>
    <n v="11"/>
    <n v="2"/>
    <n v="1"/>
    <n v="1"/>
    <n v="25"/>
    <n v="28.844999999999999"/>
    <n v="0"/>
    <n v="1"/>
    <x v="0"/>
    <n v="4.5785714285714283"/>
  </r>
  <r>
    <s v="ID-1118"/>
    <n v="0"/>
    <x v="0"/>
    <n v="38"/>
    <n v="0"/>
    <n v="465"/>
    <n v="11"/>
    <n v="11"/>
    <n v="8"/>
    <n v="2"/>
    <n v="1"/>
    <n v="1"/>
    <n v="25"/>
    <n v="70.92"/>
    <n v="0"/>
    <n v="1"/>
    <x v="0"/>
    <n v="15.251612903225805"/>
  </r>
  <r>
    <s v="ID-1119"/>
    <n v="0"/>
    <x v="0"/>
    <n v="37"/>
    <n v="0"/>
    <n v="0"/>
    <n v="0"/>
    <n v="0"/>
    <n v="0"/>
    <n v="2"/>
    <n v="1"/>
    <n v="1"/>
    <n v="25"/>
    <n v="0"/>
    <n v="1"/>
    <n v="1"/>
    <x v="0"/>
    <n v="0"/>
  </r>
  <r>
    <s v="ID-1120"/>
    <n v="1"/>
    <x v="0"/>
    <n v="37"/>
    <n v="0"/>
    <n v="7263"/>
    <n v="124"/>
    <n v="382"/>
    <n v="43"/>
    <n v="2"/>
    <n v="1"/>
    <n v="1"/>
    <n v="25"/>
    <n v="2051.415"/>
    <n v="0"/>
    <n v="1"/>
    <x v="0"/>
    <n v="28.244733581164805"/>
  </r>
  <r>
    <s v="ID-1121"/>
    <n v="5"/>
    <x v="0"/>
    <n v="37"/>
    <n v="1"/>
    <n v="11220"/>
    <n v="151"/>
    <n v="9"/>
    <n v="47"/>
    <n v="3"/>
    <n v="1"/>
    <n v="1"/>
    <n v="30"/>
    <n v="490.84"/>
    <n v="0"/>
    <n v="2"/>
    <x v="0"/>
    <n v="4.3746880570409976"/>
  </r>
  <r>
    <s v="ID-1122"/>
    <n v="6"/>
    <x v="0"/>
    <n v="37"/>
    <n v="1"/>
    <n v="6473"/>
    <n v="72"/>
    <n v="106"/>
    <n v="37"/>
    <n v="2"/>
    <n v="1"/>
    <n v="1"/>
    <n v="25"/>
    <n v="771.52499999999998"/>
    <n v="0"/>
    <n v="0"/>
    <x v="0"/>
    <n v="11.919125598640507"/>
  </r>
  <r>
    <s v="ID-1123"/>
    <n v="21"/>
    <x v="1"/>
    <n v="33"/>
    <n v="0"/>
    <n v="710"/>
    <n v="44"/>
    <n v="14"/>
    <n v="17"/>
    <n v="2"/>
    <n v="1"/>
    <n v="1"/>
    <n v="25"/>
    <n v="96.93"/>
    <n v="1"/>
    <n v="5"/>
    <x v="1"/>
    <n v="13.652112676056339"/>
  </r>
  <r>
    <s v="ID-1124"/>
    <n v="19"/>
    <x v="0"/>
    <n v="36"/>
    <n v="8"/>
    <n v="10190"/>
    <n v="90"/>
    <n v="0"/>
    <n v="42"/>
    <n v="4"/>
    <n v="1"/>
    <n v="1"/>
    <n v="45"/>
    <n v="257"/>
    <n v="0"/>
    <n v="2"/>
    <x v="0"/>
    <n v="2.5220804710500491"/>
  </r>
  <r>
    <s v="ID-1125"/>
    <n v="11"/>
    <x v="1"/>
    <n v="36"/>
    <n v="1"/>
    <n v="5573"/>
    <n v="95"/>
    <n v="24"/>
    <n v="24"/>
    <n v="2"/>
    <n v="1"/>
    <n v="1"/>
    <n v="25"/>
    <n v="363.06"/>
    <n v="1"/>
    <n v="4"/>
    <x v="1"/>
    <n v="6.5146240803875832"/>
  </r>
  <r>
    <s v="ID-1126"/>
    <n v="0"/>
    <x v="0"/>
    <n v="34"/>
    <n v="0"/>
    <n v="2595"/>
    <n v="19"/>
    <n v="0"/>
    <n v="14"/>
    <n v="3"/>
    <n v="1"/>
    <n v="1"/>
    <n v="30"/>
    <n v="104.56"/>
    <n v="0"/>
    <n v="1"/>
    <x v="0"/>
    <n v="4.0292870905587668"/>
  </r>
  <r>
    <s v="ID-1127"/>
    <n v="7"/>
    <x v="0"/>
    <n v="35"/>
    <n v="0"/>
    <n v="2745"/>
    <n v="38"/>
    <n v="7"/>
    <n v="16"/>
    <n v="3"/>
    <n v="1"/>
    <n v="1"/>
    <n v="30"/>
    <n v="139.32"/>
    <n v="1"/>
    <n v="1"/>
    <x v="0"/>
    <n v="5.0754098360655728"/>
  </r>
  <r>
    <s v="ID-1128"/>
    <n v="7"/>
    <x v="1"/>
    <n v="36"/>
    <n v="0"/>
    <n v="2023"/>
    <n v="41"/>
    <n v="32"/>
    <n v="31"/>
    <n v="3"/>
    <n v="1"/>
    <n v="1"/>
    <n v="30"/>
    <n v="210.56"/>
    <n v="1"/>
    <n v="3"/>
    <x v="1"/>
    <n v="10.408304498269896"/>
  </r>
  <r>
    <s v="ID-1129"/>
    <n v="0"/>
    <x v="0"/>
    <n v="36"/>
    <n v="0"/>
    <n v="0"/>
    <n v="0"/>
    <n v="0"/>
    <n v="0"/>
    <n v="3"/>
    <n v="1"/>
    <n v="1"/>
    <n v="30"/>
    <n v="0"/>
    <n v="1"/>
    <n v="1"/>
    <x v="0"/>
    <n v="0"/>
  </r>
  <r>
    <s v="ID-1130"/>
    <n v="0"/>
    <x v="0"/>
    <n v="36"/>
    <n v="0"/>
    <n v="1423"/>
    <n v="22"/>
    <n v="0"/>
    <n v="6"/>
    <n v="3"/>
    <n v="1"/>
    <n v="1"/>
    <n v="30"/>
    <n v="57.8"/>
    <n v="0"/>
    <n v="1"/>
    <x v="0"/>
    <n v="4.0618411806043566"/>
  </r>
  <r>
    <s v="ID-1131"/>
    <n v="1"/>
    <x v="0"/>
    <n v="33"/>
    <n v="1"/>
    <n v="6540"/>
    <n v="94"/>
    <n v="12"/>
    <n v="22"/>
    <n v="4"/>
    <n v="1"/>
    <n v="1"/>
    <n v="45"/>
    <n v="195.85"/>
    <n v="0"/>
    <n v="0"/>
    <x v="0"/>
    <n v="2.9946483180428132"/>
  </r>
  <r>
    <s v="ID-1132"/>
    <n v="0"/>
    <x v="0"/>
    <n v="36"/>
    <n v="0"/>
    <n v="383"/>
    <n v="4"/>
    <n v="7"/>
    <n v="4"/>
    <n v="4"/>
    <n v="1"/>
    <n v="1"/>
    <n v="45"/>
    <n v="27.175000000000001"/>
    <n v="1"/>
    <n v="1"/>
    <x v="0"/>
    <n v="7.0953002610966056"/>
  </r>
  <r>
    <s v="ID-1133"/>
    <n v="0"/>
    <x v="0"/>
    <n v="36"/>
    <n v="1"/>
    <n v="93"/>
    <n v="1"/>
    <n v="2"/>
    <n v="2"/>
    <n v="5"/>
    <n v="1"/>
    <n v="1"/>
    <n v="55"/>
    <n v="4.41"/>
    <n v="0"/>
    <n v="0"/>
    <x v="0"/>
    <n v="4.741935483870968"/>
  </r>
  <r>
    <s v="ID-1134"/>
    <n v="23"/>
    <x v="0"/>
    <n v="31"/>
    <n v="3"/>
    <n v="15830"/>
    <n v="235"/>
    <n v="0"/>
    <n v="80"/>
    <n v="2"/>
    <n v="1"/>
    <n v="1"/>
    <n v="25"/>
    <n v="722.92499999999995"/>
    <n v="0"/>
    <n v="5"/>
    <x v="1"/>
    <n v="4.5668035375868605"/>
  </r>
  <r>
    <s v="ID-1135"/>
    <n v="4"/>
    <x v="0"/>
    <n v="34"/>
    <n v="3"/>
    <n v="6720"/>
    <n v="113"/>
    <n v="269"/>
    <n v="33"/>
    <n v="2"/>
    <n v="2"/>
    <n v="1"/>
    <n v="25"/>
    <n v="1517.9849999999999"/>
    <n v="0"/>
    <n v="0"/>
    <x v="0"/>
    <n v="22.589062499999997"/>
  </r>
  <r>
    <s v="ID-1136"/>
    <n v="0"/>
    <x v="0"/>
    <n v="36"/>
    <n v="0"/>
    <n v="3473"/>
    <n v="79"/>
    <n v="0"/>
    <n v="28"/>
    <n v="2"/>
    <n v="1"/>
    <n v="1"/>
    <n v="25"/>
    <n v="159.84"/>
    <n v="0"/>
    <n v="1"/>
    <x v="0"/>
    <n v="4.6023610711200691"/>
  </r>
  <r>
    <s v="ID-1137"/>
    <n v="1"/>
    <x v="0"/>
    <n v="35"/>
    <n v="0"/>
    <n v="1420"/>
    <n v="41"/>
    <n v="36"/>
    <n v="20"/>
    <n v="3"/>
    <n v="1"/>
    <n v="1"/>
    <n v="30"/>
    <n v="202.44"/>
    <n v="0"/>
    <n v="1"/>
    <x v="0"/>
    <n v="14.256338028169013"/>
  </r>
  <r>
    <s v="ID-1138"/>
    <n v="4"/>
    <x v="0"/>
    <n v="36"/>
    <n v="0"/>
    <n v="2535"/>
    <n v="50"/>
    <n v="173"/>
    <n v="23"/>
    <n v="2"/>
    <n v="1"/>
    <n v="1"/>
    <n v="25"/>
    <n v="894.82500000000005"/>
    <n v="0"/>
    <n v="1"/>
    <x v="0"/>
    <n v="35.298816568047336"/>
  </r>
  <r>
    <s v="ID-1139"/>
    <n v="2"/>
    <x v="1"/>
    <n v="27"/>
    <n v="1"/>
    <n v="1070"/>
    <n v="33"/>
    <n v="191"/>
    <n v="11"/>
    <n v="2"/>
    <n v="2"/>
    <n v="1"/>
    <n v="25"/>
    <n v="909.13499999999999"/>
    <n v="0"/>
    <n v="2"/>
    <x v="0"/>
    <n v="84.965887850467297"/>
  </r>
  <r>
    <s v="ID-1140"/>
    <n v="2"/>
    <x v="0"/>
    <n v="26"/>
    <n v="0"/>
    <n v="1323"/>
    <n v="36"/>
    <n v="28"/>
    <n v="68"/>
    <n v="4"/>
    <n v="1"/>
    <n v="1"/>
    <n v="45"/>
    <n v="103.97499999999999"/>
    <n v="0"/>
    <n v="2"/>
    <x v="0"/>
    <n v="7.8590325018896445"/>
  </r>
  <r>
    <s v="ID-1141"/>
    <n v="9"/>
    <x v="0"/>
    <n v="27"/>
    <n v="0"/>
    <n v="455"/>
    <n v="22"/>
    <n v="8"/>
    <n v="7"/>
    <n v="2"/>
    <n v="1"/>
    <n v="1"/>
    <n v="25"/>
    <n v="57.465000000000003"/>
    <n v="0"/>
    <n v="1"/>
    <x v="0"/>
    <n v="12.629670329670331"/>
  </r>
  <r>
    <s v="ID-1142"/>
    <n v="0"/>
    <x v="0"/>
    <n v="26"/>
    <n v="0"/>
    <n v="580"/>
    <n v="7"/>
    <n v="19"/>
    <n v="3"/>
    <n v="4"/>
    <n v="1"/>
    <n v="1"/>
    <n v="45"/>
    <n v="62.174999999999997"/>
    <n v="0"/>
    <n v="1"/>
    <x v="0"/>
    <n v="10.719827586206897"/>
  </r>
  <r>
    <s v="ID-1143"/>
    <n v="8"/>
    <x v="0"/>
    <n v="25"/>
    <n v="0"/>
    <n v="980"/>
    <n v="29"/>
    <n v="17"/>
    <n v="13"/>
    <n v="2"/>
    <n v="1"/>
    <n v="1"/>
    <n v="25"/>
    <n v="121.905"/>
    <n v="0"/>
    <n v="1"/>
    <x v="0"/>
    <n v="12.439285714285713"/>
  </r>
  <r>
    <s v="ID-1144"/>
    <n v="0"/>
    <x v="0"/>
    <n v="25"/>
    <n v="0"/>
    <n v="2980"/>
    <n v="58"/>
    <n v="6"/>
    <n v="23"/>
    <n v="3"/>
    <n v="1"/>
    <n v="1"/>
    <n v="30"/>
    <n v="145.52000000000001"/>
    <n v="0"/>
    <n v="1"/>
    <x v="0"/>
    <n v="4.8832214765100677"/>
  </r>
  <r>
    <s v="ID-1145"/>
    <n v="0"/>
    <x v="0"/>
    <n v="18"/>
    <n v="0"/>
    <n v="1450"/>
    <n v="23"/>
    <n v="26"/>
    <n v="14"/>
    <n v="2"/>
    <n v="1"/>
    <n v="1"/>
    <n v="25"/>
    <n v="183.285"/>
    <n v="0"/>
    <n v="1"/>
    <x v="0"/>
    <n v="12.640344827586206"/>
  </r>
  <r>
    <s v="ID-1146"/>
    <n v="14"/>
    <x v="1"/>
    <n v="17"/>
    <n v="1"/>
    <n v="6148"/>
    <n v="138"/>
    <n v="83"/>
    <n v="42"/>
    <n v="1"/>
    <n v="2"/>
    <n v="1"/>
    <n v="15"/>
    <n v="802.23"/>
    <n v="0"/>
    <n v="4"/>
    <x v="1"/>
    <n v="13.048633702016915"/>
  </r>
  <r>
    <s v="ID-1147"/>
    <n v="10"/>
    <x v="0"/>
    <n v="15"/>
    <n v="0"/>
    <n v="8688"/>
    <n v="168"/>
    <n v="71"/>
    <n v="40"/>
    <n v="4"/>
    <n v="1"/>
    <n v="1"/>
    <n v="45"/>
    <n v="398.9"/>
    <n v="0"/>
    <n v="3"/>
    <x v="1"/>
    <n v="4.5913904235727436"/>
  </r>
  <r>
    <s v="ID-1148"/>
    <n v="6"/>
    <x v="0"/>
    <n v="16"/>
    <n v="3"/>
    <n v="2608"/>
    <n v="42"/>
    <n v="29"/>
    <n v="19"/>
    <n v="3"/>
    <n v="1"/>
    <n v="1"/>
    <n v="30"/>
    <n v="222"/>
    <n v="0"/>
    <n v="0"/>
    <x v="0"/>
    <n v="8.5122699386503058"/>
  </r>
  <r>
    <s v="ID-1149"/>
    <n v="0"/>
    <x v="0"/>
    <n v="9"/>
    <n v="1"/>
    <n v="4145"/>
    <n v="37"/>
    <n v="213"/>
    <n v="10"/>
    <n v="3"/>
    <n v="1"/>
    <n v="1"/>
    <n v="30"/>
    <n v="1019.28"/>
    <n v="0"/>
    <n v="0"/>
    <x v="0"/>
    <n v="24.59059107358263"/>
  </r>
  <r>
    <s v="ID-1150"/>
    <n v="1"/>
    <x v="1"/>
    <n v="9"/>
    <n v="1"/>
    <n v="1243"/>
    <n v="16"/>
    <n v="0"/>
    <n v="7"/>
    <n v="3"/>
    <n v="1"/>
    <n v="1"/>
    <n v="30"/>
    <n v="50.36"/>
    <n v="1"/>
    <n v="2"/>
    <x v="0"/>
    <n v="4.0514883346741755"/>
  </r>
  <r>
    <s v="ID-1151"/>
    <n v="0"/>
    <x v="0"/>
    <n v="34"/>
    <n v="0"/>
    <n v="4005"/>
    <n v="62"/>
    <n v="0"/>
    <n v="13"/>
    <n v="2"/>
    <n v="1"/>
    <n v="1"/>
    <n v="25"/>
    <n v="183.01499999999999"/>
    <n v="0"/>
    <n v="1"/>
    <x v="0"/>
    <n v="4.5696629213483142"/>
  </r>
  <r>
    <s v="ID-1152"/>
    <n v="0"/>
    <x v="0"/>
    <n v="35"/>
    <n v="0"/>
    <n v="0"/>
    <n v="0"/>
    <n v="0"/>
    <n v="0"/>
    <n v="2"/>
    <n v="1"/>
    <n v="2"/>
    <n v="25"/>
    <n v="0"/>
    <n v="0"/>
    <n v="1"/>
    <x v="0"/>
    <n v="0"/>
  </r>
  <r>
    <s v="ID-1153"/>
    <n v="2"/>
    <x v="0"/>
    <n v="33"/>
    <n v="0"/>
    <n v="2088"/>
    <n v="51"/>
    <n v="347"/>
    <n v="20"/>
    <n v="2"/>
    <n v="1"/>
    <n v="1"/>
    <n v="25"/>
    <n v="1657.7550000000001"/>
    <n v="0"/>
    <n v="1"/>
    <x v="0"/>
    <n v="79.394396551724142"/>
  </r>
  <r>
    <s v="ID-1154"/>
    <n v="2"/>
    <x v="0"/>
    <n v="34"/>
    <n v="0"/>
    <n v="3833"/>
    <n v="57"/>
    <n v="0"/>
    <n v="31"/>
    <n v="2"/>
    <n v="1"/>
    <n v="1"/>
    <n v="25"/>
    <n v="175.05"/>
    <n v="0"/>
    <n v="1"/>
    <x v="0"/>
    <n v="4.5669188625097838"/>
  </r>
  <r>
    <s v="ID-1155"/>
    <n v="0"/>
    <x v="0"/>
    <n v="34"/>
    <n v="0"/>
    <n v="2028"/>
    <n v="49"/>
    <n v="0"/>
    <n v="29"/>
    <n v="1"/>
    <n v="1"/>
    <n v="1"/>
    <n v="15"/>
    <n v="114.235"/>
    <n v="0"/>
    <n v="1"/>
    <x v="0"/>
    <n v="5.6328895463510849"/>
  </r>
  <r>
    <s v="ID-1156"/>
    <n v="3"/>
    <x v="0"/>
    <n v="34"/>
    <n v="0"/>
    <n v="3410"/>
    <n v="73"/>
    <n v="20"/>
    <n v="24"/>
    <n v="2"/>
    <n v="1"/>
    <n v="1"/>
    <n v="25"/>
    <n v="246.73500000000001"/>
    <n v="0"/>
    <n v="1"/>
    <x v="0"/>
    <n v="7.235630498533725"/>
  </r>
  <r>
    <s v="ID-1157"/>
    <n v="0"/>
    <x v="0"/>
    <n v="34"/>
    <n v="0"/>
    <n v="1995"/>
    <n v="30"/>
    <n v="273"/>
    <n v="14"/>
    <n v="3"/>
    <n v="1"/>
    <n v="1"/>
    <n v="30"/>
    <n v="1173"/>
    <n v="0"/>
    <n v="1"/>
    <x v="0"/>
    <n v="58.796992481203006"/>
  </r>
  <r>
    <s v="ID-1158"/>
    <n v="5"/>
    <x v="0"/>
    <n v="33"/>
    <n v="0"/>
    <n v="8750"/>
    <n v="112"/>
    <n v="132"/>
    <n v="39"/>
    <n v="3"/>
    <n v="1"/>
    <n v="1"/>
    <n v="30"/>
    <n v="882.48"/>
    <n v="0"/>
    <n v="1"/>
    <x v="0"/>
    <n v="10.085485714285715"/>
  </r>
  <r>
    <s v="ID-1159"/>
    <n v="0"/>
    <x v="0"/>
    <n v="34"/>
    <n v="0"/>
    <n v="13408"/>
    <n v="160"/>
    <n v="0"/>
    <n v="40"/>
    <n v="3"/>
    <n v="1"/>
    <n v="1"/>
    <n v="30"/>
    <n v="542.72"/>
    <n v="0"/>
    <n v="3"/>
    <x v="1"/>
    <n v="4.0477326968973752"/>
  </r>
  <r>
    <s v="ID-1160"/>
    <n v="0"/>
    <x v="0"/>
    <n v="34"/>
    <n v="0"/>
    <n v="4150"/>
    <n v="74"/>
    <n v="0"/>
    <n v="21"/>
    <n v="3"/>
    <n v="1"/>
    <n v="1"/>
    <n v="30"/>
    <n v="168.96"/>
    <n v="0"/>
    <n v="1"/>
    <x v="0"/>
    <n v="4.0713253012048192"/>
  </r>
  <r>
    <s v="ID-1161"/>
    <n v="0"/>
    <x v="0"/>
    <n v="34"/>
    <n v="0"/>
    <n v="5553"/>
    <n v="86"/>
    <n v="0"/>
    <n v="8"/>
    <n v="2"/>
    <n v="1"/>
    <n v="1"/>
    <n v="25"/>
    <n v="253.755"/>
    <n v="0"/>
    <n v="1"/>
    <x v="0"/>
    <n v="4.5696920583468392"/>
  </r>
  <r>
    <s v="ID-1162"/>
    <n v="1"/>
    <x v="0"/>
    <n v="34"/>
    <n v="0"/>
    <n v="1873"/>
    <n v="45"/>
    <n v="0"/>
    <n v="13"/>
    <n v="3"/>
    <n v="1"/>
    <n v="2"/>
    <n v="30"/>
    <n v="76.72"/>
    <n v="0"/>
    <n v="1"/>
    <x v="0"/>
    <n v="4.0961025093432992"/>
  </r>
  <r>
    <s v="ID-1163"/>
    <n v="17"/>
    <x v="0"/>
    <n v="34"/>
    <n v="1"/>
    <n v="14775"/>
    <n v="216"/>
    <n v="42"/>
    <n v="28"/>
    <n v="2"/>
    <n v="1"/>
    <n v="1"/>
    <n v="25"/>
    <n v="863.59500000000003"/>
    <n v="0"/>
    <n v="4"/>
    <x v="1"/>
    <n v="5.8449746192893404"/>
  </r>
  <r>
    <s v="ID-1164"/>
    <n v="0"/>
    <x v="0"/>
    <n v="34"/>
    <n v="0"/>
    <n v="2730"/>
    <n v="18"/>
    <n v="471"/>
    <n v="4"/>
    <n v="3"/>
    <n v="1"/>
    <n v="1"/>
    <n v="30"/>
    <n v="1993.92"/>
    <n v="0"/>
    <n v="1"/>
    <x v="0"/>
    <n v="73.037362637362634"/>
  </r>
  <r>
    <s v="ID-1165"/>
    <n v="1"/>
    <x v="0"/>
    <n v="33"/>
    <n v="0"/>
    <n v="15120"/>
    <n v="173"/>
    <n v="138"/>
    <n v="26"/>
    <n v="2"/>
    <n v="1"/>
    <n v="1"/>
    <n v="25"/>
    <n v="1309.1849999999999"/>
    <n v="0"/>
    <n v="3"/>
    <x v="1"/>
    <n v="8.6586309523809533"/>
  </r>
  <r>
    <s v="ID-1166"/>
    <n v="0"/>
    <x v="0"/>
    <n v="33"/>
    <n v="0"/>
    <n v="6135"/>
    <n v="77"/>
    <n v="174"/>
    <n v="22"/>
    <n v="3"/>
    <n v="1"/>
    <n v="1"/>
    <n v="30"/>
    <n v="944.48"/>
    <n v="0"/>
    <n v="1"/>
    <x v="0"/>
    <n v="15.394947025264875"/>
  </r>
  <r>
    <s v="ID-1167"/>
    <n v="0"/>
    <x v="0"/>
    <n v="33"/>
    <n v="0"/>
    <n v="510"/>
    <n v="5"/>
    <n v="0"/>
    <n v="7"/>
    <n v="2"/>
    <n v="1"/>
    <n v="2"/>
    <n v="25"/>
    <n v="23.175000000000001"/>
    <n v="0"/>
    <n v="1"/>
    <x v="0"/>
    <n v="4.5441176470588234"/>
  </r>
  <r>
    <s v="ID-1168"/>
    <n v="0"/>
    <x v="0"/>
    <n v="34"/>
    <n v="0"/>
    <n v="345"/>
    <n v="5"/>
    <n v="1"/>
    <n v="4"/>
    <n v="2"/>
    <n v="1"/>
    <n v="2"/>
    <n v="25"/>
    <n v="20.25"/>
    <n v="0"/>
    <n v="1"/>
    <x v="0"/>
    <n v="5.8695652173913047"/>
  </r>
  <r>
    <s v="ID-1169"/>
    <n v="0"/>
    <x v="0"/>
    <n v="33"/>
    <n v="0"/>
    <n v="0"/>
    <n v="0"/>
    <n v="0"/>
    <n v="0"/>
    <n v="2"/>
    <n v="1"/>
    <n v="2"/>
    <n v="25"/>
    <n v="0"/>
    <n v="1"/>
    <n v="1"/>
    <x v="0"/>
    <n v="0"/>
  </r>
  <r>
    <s v="ID-1170"/>
    <n v="0"/>
    <x v="0"/>
    <n v="33"/>
    <n v="0"/>
    <n v="7143"/>
    <n v="118"/>
    <n v="372"/>
    <n v="39"/>
    <n v="2"/>
    <n v="1"/>
    <n v="1"/>
    <n v="25"/>
    <n v="2000.7449999999999"/>
    <n v="0"/>
    <n v="1"/>
    <x v="0"/>
    <n v="28.009869802603948"/>
  </r>
  <r>
    <s v="ID-1171"/>
    <n v="0"/>
    <x v="0"/>
    <n v="33"/>
    <n v="0"/>
    <n v="11100"/>
    <n v="145"/>
    <n v="0"/>
    <n v="43"/>
    <n v="3"/>
    <n v="1"/>
    <n v="1"/>
    <n v="30"/>
    <n v="449.8"/>
    <n v="0"/>
    <n v="3"/>
    <x v="1"/>
    <n v="4.0522522522522522"/>
  </r>
  <r>
    <s v="ID-1172"/>
    <n v="0"/>
    <x v="0"/>
    <n v="33"/>
    <n v="0"/>
    <n v="6353"/>
    <n v="66"/>
    <n v="96"/>
    <n v="33"/>
    <n v="2"/>
    <n v="1"/>
    <n v="1"/>
    <n v="25"/>
    <n v="720.85500000000002"/>
    <n v="0"/>
    <n v="1"/>
    <x v="0"/>
    <n v="11.346686604753661"/>
  </r>
  <r>
    <s v="ID-1173"/>
    <n v="15"/>
    <x v="0"/>
    <n v="29"/>
    <n v="0"/>
    <n v="590"/>
    <n v="38"/>
    <n v="4"/>
    <n v="13"/>
    <n v="2"/>
    <n v="1"/>
    <n v="2"/>
    <n v="25"/>
    <n v="46.26"/>
    <n v="1"/>
    <n v="3"/>
    <x v="1"/>
    <n v="7.8406779661016941"/>
  </r>
  <r>
    <s v="ID-1174"/>
    <n v="13"/>
    <x v="0"/>
    <n v="32"/>
    <n v="6"/>
    <n v="10070"/>
    <n v="84"/>
    <n v="0"/>
    <n v="38"/>
    <n v="4"/>
    <n v="1"/>
    <n v="1"/>
    <n v="45"/>
    <n v="253.85"/>
    <n v="0"/>
    <n v="2"/>
    <x v="0"/>
    <n v="2.5208540218470703"/>
  </r>
  <r>
    <s v="ID-1175"/>
    <n v="5"/>
    <x v="1"/>
    <n v="32"/>
    <n v="0"/>
    <n v="5453"/>
    <n v="89"/>
    <n v="14"/>
    <n v="20"/>
    <n v="2"/>
    <n v="1"/>
    <n v="1"/>
    <n v="25"/>
    <n v="312.39"/>
    <n v="1"/>
    <n v="3"/>
    <x v="1"/>
    <n v="5.7287731523931784"/>
  </r>
  <r>
    <s v="ID-1176"/>
    <n v="0"/>
    <x v="0"/>
    <n v="30"/>
    <n v="0"/>
    <n v="2475"/>
    <n v="13"/>
    <n v="0"/>
    <n v="10"/>
    <n v="3"/>
    <n v="1"/>
    <n v="1"/>
    <n v="30"/>
    <n v="99.52"/>
    <n v="0"/>
    <n v="1"/>
    <x v="0"/>
    <n v="4.0210101010101011"/>
  </r>
  <r>
    <s v="ID-1177"/>
    <n v="1"/>
    <x v="1"/>
    <n v="31"/>
    <n v="0"/>
    <n v="2625"/>
    <n v="32"/>
    <n v="0"/>
    <n v="12"/>
    <n v="2"/>
    <n v="1"/>
    <n v="2"/>
    <n v="25"/>
    <n v="119.565"/>
    <n v="1"/>
    <n v="3"/>
    <x v="1"/>
    <n v="4.5548571428571423"/>
  </r>
  <r>
    <s v="ID-1178"/>
    <n v="1"/>
    <x v="0"/>
    <n v="32"/>
    <n v="0"/>
    <n v="1903"/>
    <n v="35"/>
    <n v="22"/>
    <n v="27"/>
    <n v="3"/>
    <n v="1"/>
    <n v="2"/>
    <n v="30"/>
    <n v="165.52"/>
    <n v="1"/>
    <n v="1"/>
    <x v="0"/>
    <n v="8.6978455070940619"/>
  </r>
  <r>
    <s v="ID-1179"/>
    <n v="0"/>
    <x v="1"/>
    <n v="32"/>
    <n v="0"/>
    <n v="0"/>
    <n v="0"/>
    <n v="0"/>
    <n v="0"/>
    <n v="2"/>
    <n v="1"/>
    <n v="2"/>
    <n v="25"/>
    <n v="0"/>
    <n v="1"/>
    <n v="3"/>
    <x v="1"/>
    <n v="0"/>
  </r>
  <r>
    <s v="ID-1180"/>
    <n v="0"/>
    <x v="0"/>
    <n v="32"/>
    <n v="0"/>
    <n v="1303"/>
    <n v="16"/>
    <n v="0"/>
    <n v="2"/>
    <n v="3"/>
    <n v="1"/>
    <n v="1"/>
    <n v="30"/>
    <n v="52.76"/>
    <n v="0"/>
    <n v="1"/>
    <x v="0"/>
    <n v="4.0491174213353798"/>
  </r>
  <r>
    <s v="ID-1181"/>
    <n v="0"/>
    <x v="0"/>
    <n v="29"/>
    <n v="0"/>
    <n v="6420"/>
    <n v="88"/>
    <n v="2"/>
    <n v="18"/>
    <n v="4"/>
    <n v="1"/>
    <n v="1"/>
    <n v="45"/>
    <n v="167.7"/>
    <n v="0"/>
    <n v="1"/>
    <x v="0"/>
    <n v="2.6121495327102799"/>
  </r>
  <r>
    <s v="ID-1182"/>
    <n v="0"/>
    <x v="0"/>
    <n v="32"/>
    <n v="0"/>
    <n v="263"/>
    <n v="1"/>
    <n v="0"/>
    <n v="1"/>
    <n v="3"/>
    <n v="1"/>
    <n v="2"/>
    <n v="30"/>
    <n v="10.56"/>
    <n v="1"/>
    <n v="1"/>
    <x v="0"/>
    <n v="4.0152091254752849"/>
  </r>
  <r>
    <s v="ID-1183"/>
    <n v="0"/>
    <x v="0"/>
    <n v="32"/>
    <n v="0"/>
    <n v="0"/>
    <n v="0"/>
    <n v="0"/>
    <n v="0"/>
    <n v="4"/>
    <n v="1"/>
    <n v="1"/>
    <n v="45"/>
    <n v="0"/>
    <n v="0"/>
    <n v="1"/>
    <x v="0"/>
    <n v="0"/>
  </r>
  <r>
    <s v="ID-1184"/>
    <n v="17"/>
    <x v="0"/>
    <n v="27"/>
    <n v="1"/>
    <n v="15710"/>
    <n v="229"/>
    <n v="0"/>
    <n v="76"/>
    <n v="2"/>
    <n v="1"/>
    <n v="1"/>
    <n v="25"/>
    <n v="717.255"/>
    <n v="0"/>
    <n v="5"/>
    <x v="1"/>
    <n v="4.5655951623169955"/>
  </r>
  <r>
    <s v="ID-1185"/>
    <n v="0"/>
    <x v="0"/>
    <n v="30"/>
    <n v="1"/>
    <n v="6600"/>
    <n v="107"/>
    <n v="259"/>
    <n v="29"/>
    <n v="2"/>
    <n v="2"/>
    <n v="1"/>
    <n v="25"/>
    <n v="1467.3150000000001"/>
    <n v="0"/>
    <n v="0"/>
    <x v="0"/>
    <n v="22.232045454545453"/>
  </r>
  <r>
    <s v="ID-1186"/>
    <n v="0"/>
    <x v="0"/>
    <n v="32"/>
    <n v="0"/>
    <n v="3353"/>
    <n v="73"/>
    <n v="0"/>
    <n v="24"/>
    <n v="2"/>
    <n v="1"/>
    <n v="1"/>
    <n v="25"/>
    <n v="154.16999999999999"/>
    <n v="0"/>
    <n v="1"/>
    <x v="0"/>
    <n v="4.597971965404116"/>
  </r>
  <r>
    <s v="ID-1187"/>
    <n v="0"/>
    <x v="0"/>
    <n v="31"/>
    <n v="0"/>
    <n v="1300"/>
    <n v="35"/>
    <n v="26"/>
    <n v="16"/>
    <n v="3"/>
    <n v="1"/>
    <n v="2"/>
    <n v="30"/>
    <n v="157.4"/>
    <n v="0"/>
    <n v="1"/>
    <x v="0"/>
    <n v="12.107692307692307"/>
  </r>
  <r>
    <s v="ID-1188"/>
    <n v="0"/>
    <x v="0"/>
    <n v="32"/>
    <n v="0"/>
    <n v="2415"/>
    <n v="44"/>
    <n v="163"/>
    <n v="19"/>
    <n v="2"/>
    <n v="1"/>
    <n v="1"/>
    <n v="25"/>
    <n v="844.15499999999997"/>
    <n v="0"/>
    <n v="1"/>
    <x v="0"/>
    <n v="34.954658385093168"/>
  </r>
  <r>
    <s v="ID-1189"/>
    <n v="0"/>
    <x v="0"/>
    <n v="23"/>
    <n v="0"/>
    <n v="950"/>
    <n v="27"/>
    <n v="181"/>
    <n v="7"/>
    <n v="2"/>
    <n v="2"/>
    <n v="1"/>
    <n v="25"/>
    <n v="858.46500000000003"/>
    <n v="0"/>
    <n v="1"/>
    <x v="0"/>
    <n v="90.364736842105259"/>
  </r>
  <r>
    <s v="ID-1190"/>
    <n v="0"/>
    <x v="0"/>
    <n v="22"/>
    <n v="0"/>
    <n v="1203"/>
    <n v="30"/>
    <n v="18"/>
    <n v="64"/>
    <n v="4"/>
    <n v="1"/>
    <n v="1"/>
    <n v="45"/>
    <n v="75.825000000000003"/>
    <n v="0"/>
    <n v="2"/>
    <x v="0"/>
    <n v="6.3029925187032418"/>
  </r>
  <r>
    <s v="ID-1191"/>
    <n v="3"/>
    <x v="0"/>
    <n v="23"/>
    <n v="0"/>
    <n v="335"/>
    <n v="16"/>
    <n v="0"/>
    <n v="3"/>
    <n v="2"/>
    <n v="1"/>
    <n v="2"/>
    <n v="25"/>
    <n v="15.795"/>
    <n v="0"/>
    <n v="1"/>
    <x v="0"/>
    <n v="4.7149253731343288"/>
  </r>
  <r>
    <s v="ID-1192"/>
    <n v="0"/>
    <x v="0"/>
    <n v="22"/>
    <n v="0"/>
    <n v="0"/>
    <n v="0"/>
    <n v="9"/>
    <n v="0"/>
    <n v="4"/>
    <n v="1"/>
    <n v="2"/>
    <n v="45"/>
    <n v="22.5"/>
    <n v="0"/>
    <n v="1"/>
    <x v="0"/>
    <n v="0"/>
  </r>
  <r>
    <s v="ID-1193"/>
    <n v="2"/>
    <x v="0"/>
    <n v="21"/>
    <n v="0"/>
    <n v="860"/>
    <n v="23"/>
    <n v="7"/>
    <n v="9"/>
    <n v="2"/>
    <n v="1"/>
    <n v="1"/>
    <n v="25"/>
    <n v="71.234999999999999"/>
    <n v="0"/>
    <n v="1"/>
    <x v="0"/>
    <n v="8.2831395348837216"/>
  </r>
  <r>
    <s v="ID-1194"/>
    <n v="0"/>
    <x v="0"/>
    <n v="21"/>
    <n v="0"/>
    <n v="2860"/>
    <n v="52"/>
    <n v="0"/>
    <n v="19"/>
    <n v="3"/>
    <n v="1"/>
    <n v="1"/>
    <n v="30"/>
    <n v="116.48"/>
    <n v="0"/>
    <n v="1"/>
    <x v="0"/>
    <n v="4.0727272727272732"/>
  </r>
  <r>
    <s v="ID-1195"/>
    <n v="0"/>
    <x v="0"/>
    <n v="14"/>
    <n v="0"/>
    <n v="1330"/>
    <n v="17"/>
    <n v="16"/>
    <n v="10"/>
    <n v="2"/>
    <n v="1"/>
    <n v="1"/>
    <n v="25"/>
    <n v="132.61500000000001"/>
    <n v="0"/>
    <n v="1"/>
    <x v="0"/>
    <n v="9.9710526315789494"/>
  </r>
  <r>
    <s v="ID-1196"/>
    <n v="8"/>
    <x v="0"/>
    <n v="13"/>
    <n v="0"/>
    <n v="6028"/>
    <n v="132"/>
    <n v="73"/>
    <n v="38"/>
    <n v="1"/>
    <n v="2"/>
    <n v="1"/>
    <n v="15"/>
    <n v="740.3"/>
    <n v="0"/>
    <n v="1"/>
    <x v="0"/>
    <n v="12.281021897810218"/>
  </r>
  <r>
    <s v="ID-1197"/>
    <n v="4"/>
    <x v="0"/>
    <n v="11"/>
    <n v="0"/>
    <n v="8568"/>
    <n v="162"/>
    <n v="61"/>
    <n v="36"/>
    <n v="4"/>
    <n v="1"/>
    <n v="1"/>
    <n v="45"/>
    <n v="370.75"/>
    <n v="0"/>
    <n v="3"/>
    <x v="1"/>
    <n v="4.3271475256769376"/>
  </r>
  <r>
    <s v="ID-1198"/>
    <n v="0"/>
    <x v="0"/>
    <n v="12"/>
    <n v="1"/>
    <n v="2488"/>
    <n v="36"/>
    <n v="19"/>
    <n v="15"/>
    <n v="3"/>
    <n v="1"/>
    <n v="1"/>
    <n v="30"/>
    <n v="176.96"/>
    <n v="0"/>
    <n v="0"/>
    <x v="0"/>
    <n v="7.112540192926045"/>
  </r>
  <r>
    <s v="ID-1199"/>
    <n v="0"/>
    <x v="0"/>
    <n v="5"/>
    <n v="0"/>
    <n v="4025"/>
    <n v="31"/>
    <n v="203"/>
    <n v="6"/>
    <n v="3"/>
    <n v="1"/>
    <n v="1"/>
    <n v="30"/>
    <n v="974.24"/>
    <n v="0"/>
    <n v="1"/>
    <x v="0"/>
    <n v="24.20472049689441"/>
  </r>
  <r>
    <s v="ID-1200"/>
    <n v="0"/>
    <x v="1"/>
    <n v="5"/>
    <n v="0"/>
    <n v="1123"/>
    <n v="10"/>
    <n v="0"/>
    <n v="3"/>
    <n v="2"/>
    <n v="1"/>
    <n v="2"/>
    <n v="25"/>
    <n v="50.984999999999999"/>
    <n v="1"/>
    <n v="3"/>
    <x v="1"/>
    <n v="4.5400712377560106"/>
  </r>
  <r>
    <s v="ID-1201"/>
    <n v="4"/>
    <x v="0"/>
    <n v="40"/>
    <n v="0"/>
    <n v="4145"/>
    <n v="67"/>
    <n v="8"/>
    <n v="19"/>
    <n v="2"/>
    <n v="1"/>
    <n v="1"/>
    <n v="25"/>
    <n v="225.54"/>
    <n v="0"/>
    <n v="1"/>
    <x v="0"/>
    <n v="5.441254523522316"/>
  </r>
  <r>
    <s v="ID-1202"/>
    <n v="0"/>
    <x v="0"/>
    <n v="41"/>
    <n v="0"/>
    <n v="93"/>
    <n v="1"/>
    <n v="10"/>
    <n v="6"/>
    <n v="2"/>
    <n v="1"/>
    <n v="2"/>
    <n v="25"/>
    <n v="49.23"/>
    <n v="0"/>
    <n v="1"/>
    <x v="0"/>
    <n v="52.935483870967737"/>
  </r>
  <r>
    <s v="ID-1203"/>
    <n v="6"/>
    <x v="0"/>
    <n v="39"/>
    <n v="0"/>
    <n v="2228"/>
    <n v="56"/>
    <n v="362"/>
    <n v="26"/>
    <n v="2"/>
    <n v="1"/>
    <n v="1"/>
    <n v="25"/>
    <n v="1731.78"/>
    <n v="0"/>
    <n v="1"/>
    <x v="0"/>
    <n v="77.728007181328536"/>
  </r>
  <r>
    <s v="ID-1204"/>
    <n v="6"/>
    <x v="0"/>
    <n v="40"/>
    <n v="0"/>
    <n v="3973"/>
    <n v="62"/>
    <n v="4"/>
    <n v="37"/>
    <n v="2"/>
    <n v="1"/>
    <n v="1"/>
    <n v="25"/>
    <n v="199.57499999999999"/>
    <n v="0"/>
    <n v="1"/>
    <x v="0"/>
    <n v="5.0232821545431658"/>
  </r>
  <r>
    <s v="ID-1205"/>
    <n v="0"/>
    <x v="0"/>
    <n v="40"/>
    <n v="0"/>
    <n v="2168"/>
    <n v="54"/>
    <n v="5"/>
    <n v="35"/>
    <n v="1"/>
    <n v="1"/>
    <n v="1"/>
    <n v="15"/>
    <n v="149.71"/>
    <n v="0"/>
    <n v="1"/>
    <x v="0"/>
    <n v="6.905442804428044"/>
  </r>
  <r>
    <s v="ID-1206"/>
    <n v="7"/>
    <x v="0"/>
    <n v="40"/>
    <n v="1"/>
    <n v="3550"/>
    <n v="78"/>
    <n v="35"/>
    <n v="30"/>
    <n v="3"/>
    <n v="1"/>
    <n v="1"/>
    <n v="30"/>
    <n v="285.12"/>
    <n v="0"/>
    <n v="0"/>
    <x v="0"/>
    <n v="8.0315492957746475"/>
  </r>
  <r>
    <s v="ID-1207"/>
    <n v="0"/>
    <x v="0"/>
    <n v="40"/>
    <n v="0"/>
    <n v="2135"/>
    <n v="35"/>
    <n v="288"/>
    <n v="20"/>
    <n v="3"/>
    <n v="1"/>
    <n v="1"/>
    <n v="30"/>
    <n v="1238.8"/>
    <n v="0"/>
    <n v="1"/>
    <x v="0"/>
    <n v="58.023419203747075"/>
  </r>
  <r>
    <s v="ID-1208"/>
    <n v="9"/>
    <x v="0"/>
    <n v="39"/>
    <n v="2"/>
    <n v="8890"/>
    <n v="117"/>
    <n v="147"/>
    <n v="45"/>
    <n v="3"/>
    <n v="1"/>
    <n v="1"/>
    <n v="30"/>
    <n v="948.28"/>
    <n v="0"/>
    <n v="0"/>
    <x v="0"/>
    <n v="10.66681664791901"/>
  </r>
  <r>
    <s v="ID-1209"/>
    <n v="3"/>
    <x v="0"/>
    <n v="40"/>
    <n v="0"/>
    <n v="13548"/>
    <n v="165"/>
    <n v="3"/>
    <n v="46"/>
    <n v="3"/>
    <n v="1"/>
    <n v="1"/>
    <n v="30"/>
    <n v="560.52"/>
    <n v="0"/>
    <n v="3"/>
    <x v="1"/>
    <n v="4.1372896368467673"/>
  </r>
  <r>
    <s v="ID-1210"/>
    <n v="3"/>
    <x v="0"/>
    <n v="40"/>
    <n v="1"/>
    <n v="4290"/>
    <n v="79"/>
    <n v="5"/>
    <n v="27"/>
    <n v="3"/>
    <n v="1"/>
    <n v="1"/>
    <n v="30"/>
    <n v="194.76"/>
    <n v="0"/>
    <n v="0"/>
    <x v="0"/>
    <n v="4.5398601398601395"/>
  </r>
  <r>
    <s v="ID-1211"/>
    <n v="2"/>
    <x v="0"/>
    <n v="40"/>
    <n v="0"/>
    <n v="5693"/>
    <n v="91"/>
    <n v="10"/>
    <n v="14"/>
    <n v="2"/>
    <n v="1"/>
    <n v="1"/>
    <n v="25"/>
    <n v="305.27999999999997"/>
    <n v="0"/>
    <n v="1"/>
    <x v="0"/>
    <n v="5.3623748463024761"/>
  </r>
  <r>
    <s v="ID-1212"/>
    <n v="5"/>
    <x v="0"/>
    <n v="40"/>
    <n v="0"/>
    <n v="2013"/>
    <n v="50"/>
    <n v="11"/>
    <n v="19"/>
    <n v="3"/>
    <n v="1"/>
    <n v="2"/>
    <n v="30"/>
    <n v="126.52"/>
    <n v="0"/>
    <n v="1"/>
    <x v="0"/>
    <n v="6.285146547441629"/>
  </r>
  <r>
    <s v="ID-1213"/>
    <n v="21"/>
    <x v="0"/>
    <n v="40"/>
    <n v="3"/>
    <n v="14915"/>
    <n v="221"/>
    <n v="57"/>
    <n v="34"/>
    <n v="3"/>
    <n v="1"/>
    <n v="1"/>
    <n v="30"/>
    <n v="833.44"/>
    <n v="0"/>
    <n v="4"/>
    <x v="1"/>
    <n v="5.5879316124706673"/>
  </r>
  <r>
    <s v="ID-1214"/>
    <n v="0"/>
    <x v="0"/>
    <n v="40"/>
    <n v="1"/>
    <n v="2870"/>
    <n v="23"/>
    <n v="486"/>
    <n v="10"/>
    <n v="3"/>
    <n v="1"/>
    <n v="1"/>
    <n v="30"/>
    <n v="2059.7199999999998"/>
    <n v="0"/>
    <n v="0"/>
    <x v="0"/>
    <n v="71.767247386759564"/>
  </r>
  <r>
    <s v="ID-1215"/>
    <n v="5"/>
    <x v="0"/>
    <n v="39"/>
    <n v="0"/>
    <n v="15260"/>
    <n v="178"/>
    <n v="153"/>
    <n v="32"/>
    <n v="2"/>
    <n v="1"/>
    <n v="1"/>
    <n v="25"/>
    <n v="1383.21"/>
    <n v="0"/>
    <n v="3"/>
    <x v="1"/>
    <n v="9.0642857142857149"/>
  </r>
  <r>
    <s v="ID-1216"/>
    <n v="0"/>
    <x v="0"/>
    <n v="39"/>
    <n v="1"/>
    <n v="6275"/>
    <n v="82"/>
    <n v="189"/>
    <n v="28"/>
    <n v="3"/>
    <n v="1"/>
    <n v="1"/>
    <n v="30"/>
    <n v="1010.28"/>
    <n v="0"/>
    <n v="0"/>
    <x v="0"/>
    <n v="16.100079681274902"/>
  </r>
  <r>
    <s v="ID-1217"/>
    <n v="0"/>
    <x v="0"/>
    <n v="39"/>
    <n v="0"/>
    <n v="650"/>
    <n v="10"/>
    <n v="3"/>
    <n v="13"/>
    <n v="2"/>
    <n v="1"/>
    <n v="2"/>
    <n v="25"/>
    <n v="43.2"/>
    <n v="0"/>
    <n v="1"/>
    <x v="0"/>
    <n v="6.6461538461538456"/>
  </r>
  <r>
    <s v="ID-1218"/>
    <n v="0"/>
    <x v="0"/>
    <n v="40"/>
    <n v="0"/>
    <n v="485"/>
    <n v="10"/>
    <n v="16"/>
    <n v="10"/>
    <n v="2"/>
    <n v="1"/>
    <n v="2"/>
    <n v="25"/>
    <n v="94.275000000000006"/>
    <n v="0"/>
    <n v="1"/>
    <x v="0"/>
    <n v="19.438144329896907"/>
  </r>
  <r>
    <s v="ID-1219"/>
    <n v="0"/>
    <x v="0"/>
    <n v="39"/>
    <n v="0"/>
    <n v="0"/>
    <n v="0"/>
    <n v="3"/>
    <n v="0"/>
    <n v="2"/>
    <n v="1"/>
    <n v="2"/>
    <n v="25"/>
    <n v="13.5"/>
    <n v="1"/>
    <n v="1"/>
    <x v="0"/>
    <n v="0"/>
  </r>
  <r>
    <s v="ID-1220"/>
    <n v="0"/>
    <x v="0"/>
    <n v="39"/>
    <n v="0"/>
    <n v="7283"/>
    <n v="123"/>
    <n v="387"/>
    <n v="45"/>
    <n v="2"/>
    <n v="1"/>
    <n v="1"/>
    <n v="25"/>
    <n v="2074.77"/>
    <n v="0"/>
    <n v="1"/>
    <x v="0"/>
    <n v="28.487848414115064"/>
  </r>
  <r>
    <s v="ID-1221"/>
    <n v="3"/>
    <x v="0"/>
    <n v="39"/>
    <n v="1"/>
    <n v="11240"/>
    <n v="150"/>
    <n v="14"/>
    <n v="49"/>
    <n v="3"/>
    <n v="1"/>
    <n v="1"/>
    <n v="30"/>
    <n v="511.6"/>
    <n v="0"/>
    <n v="3"/>
    <x v="1"/>
    <n v="4.5516014234875444"/>
  </r>
  <r>
    <s v="ID-1222"/>
    <n v="4"/>
    <x v="0"/>
    <n v="39"/>
    <n v="1"/>
    <n v="6493"/>
    <n v="71"/>
    <n v="111"/>
    <n v="39"/>
    <n v="2"/>
    <n v="1"/>
    <n v="1"/>
    <n v="25"/>
    <n v="794.88"/>
    <n v="0"/>
    <n v="0"/>
    <x v="0"/>
    <n v="12.242106884336978"/>
  </r>
  <r>
    <s v="ID-1223"/>
    <n v="19"/>
    <x v="0"/>
    <n v="35"/>
    <n v="0"/>
    <n v="730"/>
    <n v="43"/>
    <n v="19"/>
    <n v="19"/>
    <n v="2"/>
    <n v="1"/>
    <n v="2"/>
    <n v="25"/>
    <n v="120.285"/>
    <n v="1"/>
    <n v="3"/>
    <x v="1"/>
    <n v="16.477397260273971"/>
  </r>
  <r>
    <s v="ID-1224"/>
    <n v="17"/>
    <x v="0"/>
    <n v="38"/>
    <n v="8"/>
    <n v="10210"/>
    <n v="89"/>
    <n v="4"/>
    <n v="44"/>
    <n v="4"/>
    <n v="2"/>
    <n v="1"/>
    <n v="45"/>
    <n v="267.47500000000002"/>
    <n v="0"/>
    <n v="2"/>
    <x v="0"/>
    <n v="2.6197355533790403"/>
  </r>
  <r>
    <s v="ID-1225"/>
    <n v="9"/>
    <x v="0"/>
    <n v="38"/>
    <n v="1"/>
    <n v="5593"/>
    <n v="94"/>
    <n v="29"/>
    <n v="26"/>
    <n v="2"/>
    <n v="1"/>
    <n v="1"/>
    <n v="25"/>
    <n v="386.41500000000002"/>
    <n v="1"/>
    <n v="0"/>
    <x v="0"/>
    <n v="6.9089039871267657"/>
  </r>
  <r>
    <s v="ID-1226"/>
    <n v="0"/>
    <x v="0"/>
    <n v="36"/>
    <n v="0"/>
    <n v="2615"/>
    <n v="18"/>
    <n v="3"/>
    <n v="16"/>
    <n v="3"/>
    <n v="1"/>
    <n v="1"/>
    <n v="30"/>
    <n v="117.32"/>
    <n v="0"/>
    <n v="1"/>
    <x v="0"/>
    <n v="4.4864244741873804"/>
  </r>
  <r>
    <s v="ID-1227"/>
    <n v="5"/>
    <x v="1"/>
    <n v="37"/>
    <n v="0"/>
    <n v="2765"/>
    <n v="37"/>
    <n v="12"/>
    <n v="18"/>
    <n v="2"/>
    <n v="1"/>
    <n v="2"/>
    <n v="25"/>
    <n v="180.09"/>
    <n v="1"/>
    <n v="3"/>
    <x v="1"/>
    <n v="6.5132007233273059"/>
  </r>
  <r>
    <s v="ID-1228"/>
    <n v="5"/>
    <x v="0"/>
    <n v="38"/>
    <n v="0"/>
    <n v="2043"/>
    <n v="40"/>
    <n v="37"/>
    <n v="33"/>
    <n v="3"/>
    <n v="1"/>
    <n v="2"/>
    <n v="30"/>
    <n v="231.32"/>
    <n v="1"/>
    <n v="1"/>
    <x v="0"/>
    <n v="11.322564855604503"/>
  </r>
  <r>
    <s v="ID-1229"/>
    <n v="0"/>
    <x v="0"/>
    <n v="38"/>
    <n v="0"/>
    <n v="0"/>
    <n v="0"/>
    <n v="3"/>
    <n v="0"/>
    <n v="3"/>
    <n v="1"/>
    <n v="2"/>
    <n v="30"/>
    <n v="12"/>
    <n v="1"/>
    <n v="1"/>
    <x v="0"/>
    <n v="0"/>
  </r>
  <r>
    <s v="ID-1230"/>
    <n v="0"/>
    <x v="0"/>
    <n v="38"/>
    <n v="0"/>
    <n v="1443"/>
    <n v="21"/>
    <n v="3"/>
    <n v="8"/>
    <n v="3"/>
    <n v="1"/>
    <n v="1"/>
    <n v="30"/>
    <n v="70.56"/>
    <n v="0"/>
    <n v="1"/>
    <x v="0"/>
    <n v="4.8898128898128901"/>
  </r>
  <r>
    <s v="ID-1231"/>
    <n v="0"/>
    <x v="0"/>
    <n v="35"/>
    <n v="1"/>
    <n v="6560"/>
    <n v="93"/>
    <n v="17"/>
    <n v="24"/>
    <n v="4"/>
    <n v="1"/>
    <n v="1"/>
    <n v="45"/>
    <n v="208.82499999999999"/>
    <n v="0"/>
    <n v="0"/>
    <x v="0"/>
    <n v="3.1833079268292681"/>
  </r>
  <r>
    <s v="ID-1232"/>
    <n v="0"/>
    <x v="1"/>
    <n v="38"/>
    <n v="0"/>
    <n v="403"/>
    <n v="3"/>
    <n v="12"/>
    <n v="6"/>
    <n v="4"/>
    <n v="1"/>
    <n v="2"/>
    <n v="45"/>
    <n v="40.15"/>
    <n v="1"/>
    <n v="3"/>
    <x v="1"/>
    <n v="9.9627791563275441"/>
  </r>
  <r>
    <s v="ID-1233"/>
    <n v="0"/>
    <x v="0"/>
    <n v="38"/>
    <n v="1"/>
    <n v="0"/>
    <n v="0"/>
    <n v="7"/>
    <n v="0"/>
    <n v="5"/>
    <n v="1"/>
    <n v="1"/>
    <n v="55"/>
    <n v="10.5"/>
    <n v="0"/>
    <n v="0"/>
    <x v="0"/>
    <n v="0"/>
  </r>
  <r>
    <s v="ID-1234"/>
    <n v="21"/>
    <x v="0"/>
    <n v="33"/>
    <n v="3"/>
    <n v="15850"/>
    <n v="234"/>
    <n v="3"/>
    <n v="82"/>
    <n v="2"/>
    <n v="1"/>
    <n v="1"/>
    <n v="25"/>
    <n v="737.28"/>
    <n v="0"/>
    <n v="5"/>
    <x v="1"/>
    <n v="4.6516088328075709"/>
  </r>
  <r>
    <s v="ID-1235"/>
    <n v="2"/>
    <x v="0"/>
    <n v="36"/>
    <n v="3"/>
    <n v="6740"/>
    <n v="112"/>
    <n v="274"/>
    <n v="35"/>
    <n v="2"/>
    <n v="2"/>
    <n v="1"/>
    <n v="25"/>
    <n v="1541.34"/>
    <n v="0"/>
    <n v="0"/>
    <x v="0"/>
    <n v="22.868545994065283"/>
  </r>
  <r>
    <s v="ID-1236"/>
    <n v="0"/>
    <x v="0"/>
    <n v="38"/>
    <n v="0"/>
    <n v="3493"/>
    <n v="78"/>
    <n v="5"/>
    <n v="30"/>
    <n v="2"/>
    <n v="1"/>
    <n v="1"/>
    <n v="25"/>
    <n v="183.19499999999999"/>
    <n v="0"/>
    <n v="1"/>
    <x v="0"/>
    <n v="5.244632121385628"/>
  </r>
  <r>
    <s v="ID-1237"/>
    <n v="0"/>
    <x v="0"/>
    <n v="37"/>
    <n v="0"/>
    <n v="1440"/>
    <n v="40"/>
    <n v="41"/>
    <n v="22"/>
    <n v="3"/>
    <n v="1"/>
    <n v="2"/>
    <n v="30"/>
    <n v="223.2"/>
    <n v="0"/>
    <n v="1"/>
    <x v="0"/>
    <n v="15.5"/>
  </r>
  <r>
    <s v="ID-1238"/>
    <n v="2"/>
    <x v="0"/>
    <n v="38"/>
    <n v="0"/>
    <n v="2555"/>
    <n v="49"/>
    <n v="178"/>
    <n v="25"/>
    <n v="2"/>
    <n v="1"/>
    <n v="1"/>
    <n v="25"/>
    <n v="918.18"/>
    <n v="0"/>
    <n v="1"/>
    <x v="0"/>
    <n v="35.936594911937377"/>
  </r>
  <r>
    <s v="ID-1239"/>
    <n v="0"/>
    <x v="0"/>
    <n v="29"/>
    <n v="1"/>
    <n v="1090"/>
    <n v="32"/>
    <n v="196"/>
    <n v="13"/>
    <n v="2"/>
    <n v="2"/>
    <n v="1"/>
    <n v="25"/>
    <n v="932.49"/>
    <n v="0"/>
    <n v="0"/>
    <x v="0"/>
    <n v="85.549541284403674"/>
  </r>
  <r>
    <s v="ID-1240"/>
    <n v="0"/>
    <x v="0"/>
    <n v="28"/>
    <n v="0"/>
    <n v="1343"/>
    <n v="35"/>
    <n v="33"/>
    <n v="70"/>
    <n v="4"/>
    <n v="1"/>
    <n v="1"/>
    <n v="45"/>
    <n v="116.95"/>
    <n v="0"/>
    <n v="2"/>
    <x v="0"/>
    <n v="8.7081161578555477"/>
  </r>
  <r>
    <s v="ID-1241"/>
    <n v="7"/>
    <x v="0"/>
    <n v="29"/>
    <n v="0"/>
    <n v="475"/>
    <n v="21"/>
    <n v="13"/>
    <n v="9"/>
    <n v="2"/>
    <n v="1"/>
    <n v="2"/>
    <n v="25"/>
    <n v="80.819999999999993"/>
    <n v="0"/>
    <n v="1"/>
    <x v="0"/>
    <n v="17.014736842105265"/>
  </r>
  <r>
    <s v="ID-1242"/>
    <n v="0"/>
    <x v="0"/>
    <n v="28"/>
    <n v="0"/>
    <n v="600"/>
    <n v="6"/>
    <n v="24"/>
    <n v="5"/>
    <n v="4"/>
    <n v="1"/>
    <n v="2"/>
    <n v="45"/>
    <n v="75.150000000000006"/>
    <n v="0"/>
    <n v="1"/>
    <x v="0"/>
    <n v="12.525"/>
  </r>
  <r>
    <s v="ID-1243"/>
    <n v="6"/>
    <x v="0"/>
    <n v="27"/>
    <n v="0"/>
    <n v="1000"/>
    <n v="28"/>
    <n v="22"/>
    <n v="15"/>
    <n v="2"/>
    <n v="1"/>
    <n v="1"/>
    <n v="25"/>
    <n v="145.26"/>
    <n v="0"/>
    <n v="1"/>
    <x v="0"/>
    <n v="14.526"/>
  </r>
  <r>
    <s v="ID-1244"/>
    <n v="0"/>
    <x v="0"/>
    <n v="27"/>
    <n v="0"/>
    <n v="3000"/>
    <n v="57"/>
    <n v="11"/>
    <n v="25"/>
    <n v="3"/>
    <n v="1"/>
    <n v="1"/>
    <n v="30"/>
    <n v="166.28"/>
    <n v="0"/>
    <n v="1"/>
    <x v="0"/>
    <n v="5.5426666666666664"/>
  </r>
  <r>
    <s v="ID-1245"/>
    <n v="0"/>
    <x v="0"/>
    <n v="20"/>
    <n v="0"/>
    <n v="1470"/>
    <n v="22"/>
    <n v="31"/>
    <n v="16"/>
    <n v="2"/>
    <n v="1"/>
    <n v="1"/>
    <n v="25"/>
    <n v="206.64"/>
    <n v="0"/>
    <n v="1"/>
    <x v="0"/>
    <n v="14.057142857142857"/>
  </r>
  <r>
    <s v="ID-1246"/>
    <n v="12"/>
    <x v="0"/>
    <n v="19"/>
    <n v="1"/>
    <n v="6168"/>
    <n v="137"/>
    <n v="88"/>
    <n v="44"/>
    <n v="1"/>
    <n v="2"/>
    <n v="1"/>
    <n v="15"/>
    <n v="830.77499999999998"/>
    <n v="0"/>
    <n v="2"/>
    <x v="0"/>
    <n v="13.469114785992216"/>
  </r>
  <r>
    <s v="ID-1247"/>
    <n v="8"/>
    <x v="0"/>
    <n v="17"/>
    <n v="0"/>
    <n v="8708"/>
    <n v="167"/>
    <n v="76"/>
    <n v="42"/>
    <n v="4"/>
    <n v="1"/>
    <n v="1"/>
    <n v="45"/>
    <n v="411.875"/>
    <n v="0"/>
    <n v="3"/>
    <x v="1"/>
    <n v="4.7298461185117135"/>
  </r>
  <r>
    <s v="ID-1248"/>
    <n v="4"/>
    <x v="0"/>
    <n v="18"/>
    <n v="3"/>
    <n v="2628"/>
    <n v="41"/>
    <n v="34"/>
    <n v="21"/>
    <n v="3"/>
    <n v="1"/>
    <n v="1"/>
    <n v="30"/>
    <n v="242.76"/>
    <n v="0"/>
    <n v="0"/>
    <x v="0"/>
    <n v="9.237442922374429"/>
  </r>
  <r>
    <s v="ID-1249"/>
    <n v="0"/>
    <x v="0"/>
    <n v="11"/>
    <n v="1"/>
    <n v="4165"/>
    <n v="36"/>
    <n v="218"/>
    <n v="12"/>
    <n v="3"/>
    <n v="1"/>
    <n v="1"/>
    <n v="30"/>
    <n v="1040.04"/>
    <n v="0"/>
    <n v="0"/>
    <x v="0"/>
    <n v="24.970948379351739"/>
  </r>
  <r>
    <s v="ID-1250"/>
    <n v="0"/>
    <x v="1"/>
    <n v="11"/>
    <n v="1"/>
    <n v="1263"/>
    <n v="15"/>
    <n v="3"/>
    <n v="9"/>
    <n v="3"/>
    <n v="1"/>
    <n v="1"/>
    <n v="30"/>
    <n v="63.12"/>
    <n v="1"/>
    <n v="2"/>
    <x v="0"/>
    <n v="4.9976247030878858"/>
  </r>
  <r>
    <s v="ID-1251"/>
    <n v="2"/>
    <x v="0"/>
    <n v="32"/>
    <n v="0"/>
    <n v="3985"/>
    <n v="63"/>
    <n v="0"/>
    <n v="11"/>
    <n v="2"/>
    <n v="1"/>
    <n v="1"/>
    <n v="25"/>
    <n v="182.16"/>
    <n v="0"/>
    <n v="1"/>
    <x v="0"/>
    <n v="4.5711417816813045"/>
  </r>
  <r>
    <s v="ID-1252"/>
    <n v="0"/>
    <x v="0"/>
    <n v="33"/>
    <n v="0"/>
    <n v="0"/>
    <n v="0"/>
    <n v="0"/>
    <n v="0"/>
    <n v="2"/>
    <n v="1"/>
    <n v="2"/>
    <n v="25"/>
    <n v="0"/>
    <n v="0"/>
    <n v="1"/>
    <x v="0"/>
    <n v="0"/>
  </r>
  <r>
    <s v="ID-1253"/>
    <n v="4"/>
    <x v="0"/>
    <n v="31"/>
    <n v="0"/>
    <n v="2068"/>
    <n v="52"/>
    <n v="342"/>
    <n v="18"/>
    <n v="2"/>
    <n v="1"/>
    <n v="1"/>
    <n v="25"/>
    <n v="1634.4"/>
    <n v="0"/>
    <n v="1"/>
    <x v="0"/>
    <n v="79.032882011605423"/>
  </r>
  <r>
    <s v="ID-1254"/>
    <n v="4"/>
    <x v="0"/>
    <n v="32"/>
    <n v="0"/>
    <n v="3813"/>
    <n v="58"/>
    <n v="0"/>
    <n v="29"/>
    <n v="1"/>
    <n v="1"/>
    <n v="1"/>
    <n v="15"/>
    <n v="212.905"/>
    <n v="0"/>
    <n v="1"/>
    <x v="0"/>
    <n v="5.5836611591922374"/>
  </r>
  <r>
    <s v="ID-1255"/>
    <n v="0"/>
    <x v="0"/>
    <n v="32"/>
    <n v="0"/>
    <n v="2008"/>
    <n v="50"/>
    <n v="0"/>
    <n v="27"/>
    <n v="1"/>
    <n v="1"/>
    <n v="1"/>
    <n v="15"/>
    <n v="113.19"/>
    <n v="0"/>
    <n v="1"/>
    <x v="0"/>
    <n v="5.6369521912350598"/>
  </r>
  <r>
    <s v="ID-1256"/>
    <n v="5"/>
    <x v="0"/>
    <n v="32"/>
    <n v="0"/>
    <n v="3390"/>
    <n v="74"/>
    <n v="15"/>
    <n v="22"/>
    <n v="2"/>
    <n v="1"/>
    <n v="1"/>
    <n v="25"/>
    <n v="223.38"/>
    <n v="0"/>
    <n v="1"/>
    <x v="0"/>
    <n v="6.5893805309734512"/>
  </r>
  <r>
    <s v="ID-1257"/>
    <n v="0"/>
    <x v="0"/>
    <n v="32"/>
    <n v="0"/>
    <n v="1975"/>
    <n v="31"/>
    <n v="268"/>
    <n v="12"/>
    <n v="3"/>
    <n v="1"/>
    <n v="1"/>
    <n v="30"/>
    <n v="1152.24"/>
    <n v="0"/>
    <n v="1"/>
    <x v="0"/>
    <n v="58.341265822784813"/>
  </r>
  <r>
    <s v="ID-1258"/>
    <n v="7"/>
    <x v="0"/>
    <n v="31"/>
    <n v="0"/>
    <n v="8730"/>
    <n v="113"/>
    <n v="127"/>
    <n v="37"/>
    <n v="3"/>
    <n v="1"/>
    <n v="1"/>
    <n v="30"/>
    <n v="861.72"/>
    <n v="0"/>
    <n v="1"/>
    <x v="0"/>
    <n v="9.8707903780068733"/>
  </r>
  <r>
    <s v="ID-1259"/>
    <n v="1"/>
    <x v="0"/>
    <n v="32"/>
    <n v="0"/>
    <n v="13388"/>
    <n v="161"/>
    <n v="0"/>
    <n v="38"/>
    <n v="3"/>
    <n v="1"/>
    <n v="1"/>
    <n v="30"/>
    <n v="541.96"/>
    <n v="0"/>
    <n v="3"/>
    <x v="1"/>
    <n v="4.0481027786077091"/>
  </r>
  <r>
    <s v="ID-1260"/>
    <n v="1"/>
    <x v="0"/>
    <n v="32"/>
    <n v="0"/>
    <n v="4130"/>
    <n v="75"/>
    <n v="0"/>
    <n v="19"/>
    <n v="3"/>
    <n v="1"/>
    <n v="1"/>
    <n v="30"/>
    <n v="168.2"/>
    <n v="0"/>
    <n v="1"/>
    <x v="0"/>
    <n v="4.0726392251815975"/>
  </r>
  <r>
    <s v="ID-1261"/>
    <n v="0"/>
    <x v="0"/>
    <n v="32"/>
    <n v="0"/>
    <n v="5533"/>
    <n v="87"/>
    <n v="0"/>
    <n v="6"/>
    <n v="2"/>
    <n v="1"/>
    <n v="1"/>
    <n v="25"/>
    <n v="252.9"/>
    <n v="0"/>
    <n v="1"/>
    <x v="0"/>
    <n v="4.5707572745346106"/>
  </r>
  <r>
    <s v="ID-1262"/>
    <n v="3"/>
    <x v="0"/>
    <n v="32"/>
    <n v="0"/>
    <n v="1853"/>
    <n v="46"/>
    <n v="0"/>
    <n v="11"/>
    <n v="3"/>
    <n v="1"/>
    <n v="2"/>
    <n v="30"/>
    <n v="75.959999999999994"/>
    <n v="0"/>
    <n v="1"/>
    <x v="0"/>
    <n v="4.0992984349703177"/>
  </r>
  <r>
    <s v="ID-1263"/>
    <n v="19"/>
    <x v="0"/>
    <n v="32"/>
    <n v="1"/>
    <n v="14755"/>
    <n v="217"/>
    <n v="37"/>
    <n v="26"/>
    <n v="3"/>
    <n v="1"/>
    <n v="1"/>
    <n v="30"/>
    <n v="746.88"/>
    <n v="0"/>
    <n v="4"/>
    <x v="1"/>
    <n v="5.0618773297187394"/>
  </r>
  <r>
    <s v="ID-1264"/>
    <n v="0"/>
    <x v="0"/>
    <n v="32"/>
    <n v="0"/>
    <n v="2710"/>
    <n v="19"/>
    <n v="466"/>
    <n v="2"/>
    <n v="3"/>
    <n v="1"/>
    <n v="1"/>
    <n v="30"/>
    <n v="1973.16"/>
    <n v="0"/>
    <n v="1"/>
    <x v="0"/>
    <n v="72.810332103321045"/>
  </r>
  <r>
    <s v="ID-1265"/>
    <n v="3"/>
    <x v="0"/>
    <n v="31"/>
    <n v="0"/>
    <n v="15100"/>
    <n v="174"/>
    <n v="133"/>
    <n v="24"/>
    <n v="2"/>
    <n v="1"/>
    <n v="1"/>
    <n v="25"/>
    <n v="1285.83"/>
    <n v="0"/>
    <n v="3"/>
    <x v="1"/>
    <n v="8.5154304635761591"/>
  </r>
  <r>
    <s v="ID-1266"/>
    <n v="0"/>
    <x v="0"/>
    <n v="31"/>
    <n v="0"/>
    <n v="6115"/>
    <n v="78"/>
    <n v="169"/>
    <n v="20"/>
    <n v="3"/>
    <n v="1"/>
    <n v="1"/>
    <n v="30"/>
    <n v="923.72"/>
    <n v="0"/>
    <n v="1"/>
    <x v="0"/>
    <n v="15.105805396565822"/>
  </r>
  <r>
    <s v="ID-1267"/>
    <n v="0"/>
    <x v="0"/>
    <n v="31"/>
    <n v="0"/>
    <n v="490"/>
    <n v="6"/>
    <n v="0"/>
    <n v="5"/>
    <n v="2"/>
    <n v="1"/>
    <n v="2"/>
    <n v="25"/>
    <n v="22.32"/>
    <n v="0"/>
    <n v="1"/>
    <x v="0"/>
    <n v="4.5551020408163261"/>
  </r>
  <r>
    <s v="ID-1268"/>
    <n v="0"/>
    <x v="0"/>
    <n v="32"/>
    <n v="0"/>
    <n v="325"/>
    <n v="6"/>
    <n v="0"/>
    <n v="2"/>
    <n v="2"/>
    <n v="1"/>
    <n v="2"/>
    <n v="25"/>
    <n v="14.895"/>
    <n v="0"/>
    <n v="1"/>
    <x v="0"/>
    <n v="4.5830769230769235"/>
  </r>
  <r>
    <s v="ID-1269"/>
    <n v="0"/>
    <x v="0"/>
    <n v="31"/>
    <n v="0"/>
    <n v="0"/>
    <n v="0"/>
    <n v="0"/>
    <n v="0"/>
    <n v="2"/>
    <n v="1"/>
    <n v="2"/>
    <n v="25"/>
    <n v="0"/>
    <n v="1"/>
    <n v="1"/>
    <x v="0"/>
    <n v="0"/>
  </r>
  <r>
    <s v="ID-1270"/>
    <n v="0"/>
    <x v="0"/>
    <n v="31"/>
    <n v="0"/>
    <n v="7123"/>
    <n v="119"/>
    <n v="367"/>
    <n v="37"/>
    <n v="2"/>
    <n v="1"/>
    <n v="1"/>
    <n v="25"/>
    <n v="1977.39"/>
    <n v="0"/>
    <n v="1"/>
    <x v="0"/>
    <n v="27.760634564088164"/>
  </r>
  <r>
    <s v="ID-1271"/>
    <n v="1"/>
    <x v="0"/>
    <n v="31"/>
    <n v="0"/>
    <n v="11080"/>
    <n v="146"/>
    <n v="0"/>
    <n v="41"/>
    <n v="3"/>
    <n v="1"/>
    <n v="1"/>
    <n v="30"/>
    <n v="449.04"/>
    <n v="0"/>
    <n v="3"/>
    <x v="1"/>
    <n v="4.0527075812274367"/>
  </r>
  <r>
    <s v="ID-1272"/>
    <n v="2"/>
    <x v="0"/>
    <n v="31"/>
    <n v="0"/>
    <n v="6333"/>
    <n v="67"/>
    <n v="91"/>
    <n v="31"/>
    <n v="2"/>
    <n v="1"/>
    <n v="1"/>
    <n v="25"/>
    <n v="697.5"/>
    <n v="0"/>
    <n v="1"/>
    <x v="0"/>
    <n v="11.013737565135006"/>
  </r>
  <r>
    <s v="ID-1273"/>
    <n v="17"/>
    <x v="0"/>
    <n v="27"/>
    <n v="0"/>
    <n v="570"/>
    <n v="39"/>
    <n v="0"/>
    <n v="11"/>
    <n v="2"/>
    <n v="1"/>
    <n v="2"/>
    <n v="25"/>
    <n v="27.405000000000001"/>
    <n v="1"/>
    <n v="3"/>
    <x v="1"/>
    <n v="4.8078947368421057"/>
  </r>
  <r>
    <s v="ID-1274"/>
    <n v="15"/>
    <x v="0"/>
    <n v="30"/>
    <n v="6"/>
    <n v="10050"/>
    <n v="85"/>
    <n v="0"/>
    <n v="36"/>
    <n v="4"/>
    <n v="1"/>
    <n v="1"/>
    <n v="45"/>
    <n v="253.375"/>
    <n v="0"/>
    <n v="2"/>
    <x v="0"/>
    <n v="2.5211442786069651"/>
  </r>
  <r>
    <s v="ID-1275"/>
    <n v="7"/>
    <x v="0"/>
    <n v="30"/>
    <n v="0"/>
    <n v="5433"/>
    <n v="90"/>
    <n v="9"/>
    <n v="18"/>
    <n v="2"/>
    <n v="1"/>
    <n v="1"/>
    <n v="25"/>
    <n v="289.03500000000003"/>
    <n v="1"/>
    <n v="1"/>
    <x v="0"/>
    <n v="5.3199889563776921"/>
  </r>
  <r>
    <s v="ID-1276"/>
    <n v="0"/>
    <x v="0"/>
    <n v="28"/>
    <n v="0"/>
    <n v="2455"/>
    <n v="14"/>
    <n v="0"/>
    <n v="8"/>
    <n v="3"/>
    <n v="1"/>
    <n v="1"/>
    <n v="30"/>
    <n v="98.76"/>
    <n v="0"/>
    <n v="1"/>
    <x v="0"/>
    <n v="4.0228105906313649"/>
  </r>
  <r>
    <s v="ID-1277"/>
    <n v="3"/>
    <x v="1"/>
    <n v="29"/>
    <n v="0"/>
    <n v="2605"/>
    <n v="33"/>
    <n v="0"/>
    <n v="10"/>
    <n v="2"/>
    <n v="1"/>
    <n v="2"/>
    <n v="25"/>
    <n v="118.71"/>
    <n v="1"/>
    <n v="3"/>
    <x v="1"/>
    <n v="4.5570057581573895"/>
  </r>
  <r>
    <s v="ID-1278"/>
    <n v="3"/>
    <x v="0"/>
    <n v="30"/>
    <n v="0"/>
    <n v="1883"/>
    <n v="36"/>
    <n v="17"/>
    <n v="25"/>
    <n v="3"/>
    <n v="1"/>
    <n v="2"/>
    <n v="30"/>
    <n v="144.76"/>
    <n v="1"/>
    <n v="1"/>
    <x v="0"/>
    <n v="7.6877323420074344"/>
  </r>
  <r>
    <s v="ID-1279"/>
    <n v="0"/>
    <x v="0"/>
    <n v="30"/>
    <n v="0"/>
    <n v="0"/>
    <n v="0"/>
    <n v="0"/>
    <n v="0"/>
    <n v="2"/>
    <n v="1"/>
    <n v="2"/>
    <n v="25"/>
    <n v="0"/>
    <n v="1"/>
    <n v="1"/>
    <x v="0"/>
    <n v="0"/>
  </r>
  <r>
    <s v="ID-1280"/>
    <n v="0"/>
    <x v="0"/>
    <n v="30"/>
    <n v="0"/>
    <n v="1283"/>
    <n v="17"/>
    <n v="0"/>
    <n v="5"/>
    <n v="3"/>
    <n v="1"/>
    <n v="1"/>
    <n v="30"/>
    <n v="52"/>
    <n v="0"/>
    <n v="1"/>
    <x v="0"/>
    <n v="4.0530007794232272"/>
  </r>
  <r>
    <s v="ID-1281"/>
    <n v="0"/>
    <x v="0"/>
    <n v="27"/>
    <n v="0"/>
    <n v="6400"/>
    <n v="89"/>
    <n v="0"/>
    <n v="16"/>
    <n v="4"/>
    <n v="1"/>
    <n v="1"/>
    <n v="45"/>
    <n v="162.22499999999999"/>
    <n v="0"/>
    <n v="1"/>
    <x v="0"/>
    <n v="2.5347656249999999"/>
  </r>
  <r>
    <s v="ID-1282"/>
    <n v="0"/>
    <x v="1"/>
    <n v="30"/>
    <n v="0"/>
    <n v="0"/>
    <n v="0"/>
    <n v="0"/>
    <n v="0"/>
    <n v="4"/>
    <n v="1"/>
    <n v="2"/>
    <n v="45"/>
    <n v="0"/>
    <n v="1"/>
    <n v="3"/>
    <x v="1"/>
    <n v="0"/>
  </r>
  <r>
    <s v="ID-1283"/>
    <n v="0"/>
    <x v="0"/>
    <n v="30"/>
    <n v="0"/>
    <n v="0"/>
    <n v="0"/>
    <n v="0"/>
    <n v="0"/>
    <n v="4"/>
    <n v="1"/>
    <n v="1"/>
    <n v="45"/>
    <n v="0"/>
    <n v="0"/>
    <n v="1"/>
    <x v="0"/>
    <n v="0"/>
  </r>
  <r>
    <s v="ID-1284"/>
    <n v="19"/>
    <x v="0"/>
    <n v="25"/>
    <n v="1"/>
    <n v="15690"/>
    <n v="230"/>
    <n v="0"/>
    <n v="74"/>
    <n v="2"/>
    <n v="1"/>
    <n v="1"/>
    <n v="25"/>
    <n v="716.4"/>
    <n v="0"/>
    <n v="5"/>
    <x v="1"/>
    <n v="4.5659655831739965"/>
  </r>
  <r>
    <s v="ID-1285"/>
    <n v="0"/>
    <x v="0"/>
    <n v="28"/>
    <n v="1"/>
    <n v="6580"/>
    <n v="108"/>
    <n v="254"/>
    <n v="27"/>
    <n v="2"/>
    <n v="2"/>
    <n v="1"/>
    <n v="25"/>
    <n v="1443.96"/>
    <n v="0"/>
    <n v="0"/>
    <x v="0"/>
    <n v="21.944680851063829"/>
  </r>
  <r>
    <s v="ID-1286"/>
    <n v="0"/>
    <x v="0"/>
    <n v="30"/>
    <n v="0"/>
    <n v="3333"/>
    <n v="74"/>
    <n v="0"/>
    <n v="22"/>
    <n v="2"/>
    <n v="1"/>
    <n v="1"/>
    <n v="25"/>
    <n v="153.315"/>
    <n v="0"/>
    <n v="1"/>
    <x v="0"/>
    <n v="4.5999099909990999"/>
  </r>
  <r>
    <s v="ID-1287"/>
    <n v="0"/>
    <x v="0"/>
    <n v="29"/>
    <n v="0"/>
    <n v="1280"/>
    <n v="36"/>
    <n v="21"/>
    <n v="14"/>
    <n v="3"/>
    <n v="1"/>
    <n v="2"/>
    <n v="30"/>
    <n v="136.63999999999999"/>
    <n v="0"/>
    <n v="1"/>
    <x v="0"/>
    <n v="10.674999999999999"/>
  </r>
  <r>
    <s v="ID-1288"/>
    <n v="0"/>
    <x v="0"/>
    <n v="30"/>
    <n v="0"/>
    <n v="2395"/>
    <n v="45"/>
    <n v="158"/>
    <n v="17"/>
    <n v="2"/>
    <n v="1"/>
    <n v="1"/>
    <n v="25"/>
    <n v="820.8"/>
    <n v="0"/>
    <n v="1"/>
    <x v="0"/>
    <n v="34.2713987473904"/>
  </r>
  <r>
    <s v="ID-1289"/>
    <n v="0"/>
    <x v="0"/>
    <n v="21"/>
    <n v="0"/>
    <n v="930"/>
    <n v="28"/>
    <n v="176"/>
    <n v="5"/>
    <n v="2"/>
    <n v="2"/>
    <n v="1"/>
    <n v="25"/>
    <n v="835.11"/>
    <n v="0"/>
    <n v="1"/>
    <x v="0"/>
    <n v="89.796774193548387"/>
  </r>
  <r>
    <s v="ID-1290"/>
    <n v="0"/>
    <x v="0"/>
    <n v="20"/>
    <n v="0"/>
    <n v="1183"/>
    <n v="31"/>
    <n v="13"/>
    <n v="62"/>
    <n v="4"/>
    <n v="1"/>
    <n v="1"/>
    <n v="45"/>
    <n v="62.85"/>
    <n v="0"/>
    <n v="2"/>
    <x v="0"/>
    <n v="5.3127641589180055"/>
  </r>
  <r>
    <s v="ID-1291"/>
    <n v="5"/>
    <x v="0"/>
    <n v="21"/>
    <n v="0"/>
    <n v="315"/>
    <n v="17"/>
    <n v="0"/>
    <n v="1"/>
    <n v="2"/>
    <n v="1"/>
    <n v="2"/>
    <n v="25"/>
    <n v="14.94"/>
    <n v="0"/>
    <n v="1"/>
    <x v="0"/>
    <n v="4.742857142857142"/>
  </r>
  <r>
    <s v="ID-1292"/>
    <n v="0"/>
    <x v="0"/>
    <n v="20"/>
    <n v="0"/>
    <n v="0"/>
    <n v="0"/>
    <n v="4"/>
    <n v="0"/>
    <n v="4"/>
    <n v="1"/>
    <n v="2"/>
    <n v="45"/>
    <n v="10"/>
    <n v="0"/>
    <n v="1"/>
    <x v="0"/>
    <n v="0"/>
  </r>
  <r>
    <s v="ID-1293"/>
    <n v="4"/>
    <x v="0"/>
    <n v="19"/>
    <n v="0"/>
    <n v="840"/>
    <n v="24"/>
    <n v="2"/>
    <n v="7"/>
    <n v="2"/>
    <n v="1"/>
    <n v="1"/>
    <n v="25"/>
    <n v="47.88"/>
    <n v="0"/>
    <n v="1"/>
    <x v="0"/>
    <n v="5.7"/>
  </r>
  <r>
    <s v="ID-1294"/>
    <n v="0"/>
    <x v="0"/>
    <n v="19"/>
    <n v="0"/>
    <n v="2840"/>
    <n v="53"/>
    <n v="0"/>
    <n v="17"/>
    <n v="3"/>
    <n v="1"/>
    <n v="1"/>
    <n v="30"/>
    <n v="115.72"/>
    <n v="0"/>
    <n v="1"/>
    <x v="0"/>
    <n v="4.0746478873239438"/>
  </r>
  <r>
    <s v="ID-1295"/>
    <n v="0"/>
    <x v="0"/>
    <n v="12"/>
    <n v="0"/>
    <n v="1310"/>
    <n v="18"/>
    <n v="11"/>
    <n v="8"/>
    <n v="2"/>
    <n v="1"/>
    <n v="1"/>
    <n v="25"/>
    <n v="109.26"/>
    <n v="0"/>
    <n v="1"/>
    <x v="0"/>
    <n v="8.3404580152671759"/>
  </r>
  <r>
    <s v="ID-1296"/>
    <n v="10"/>
    <x v="0"/>
    <n v="11"/>
    <n v="0"/>
    <n v="6008"/>
    <n v="133"/>
    <n v="68"/>
    <n v="36"/>
    <n v="1"/>
    <n v="2"/>
    <n v="1"/>
    <n v="15"/>
    <n v="711.755"/>
    <n v="0"/>
    <n v="1"/>
    <x v="0"/>
    <n v="11.846787616511319"/>
  </r>
  <r>
    <s v="ID-1297"/>
    <n v="6"/>
    <x v="0"/>
    <n v="9"/>
    <n v="0"/>
    <n v="8548"/>
    <n v="163"/>
    <n v="56"/>
    <n v="34"/>
    <n v="4"/>
    <n v="1"/>
    <n v="1"/>
    <n v="45"/>
    <n v="357.77499999999998"/>
    <n v="0"/>
    <n v="3"/>
    <x v="1"/>
    <n v="4.1854819840898454"/>
  </r>
  <r>
    <s v="ID-1298"/>
    <n v="2"/>
    <x v="0"/>
    <n v="10"/>
    <n v="1"/>
    <n v="2468"/>
    <n v="37"/>
    <n v="14"/>
    <n v="13"/>
    <n v="3"/>
    <n v="1"/>
    <n v="1"/>
    <n v="30"/>
    <n v="156.19999999999999"/>
    <n v="0"/>
    <n v="0"/>
    <x v="0"/>
    <n v="6.3290113452188006"/>
  </r>
  <r>
    <s v="ID-1299"/>
    <n v="0"/>
    <x v="0"/>
    <n v="3"/>
    <n v="0"/>
    <n v="4005"/>
    <n v="32"/>
    <n v="198"/>
    <n v="4"/>
    <n v="3"/>
    <n v="1"/>
    <n v="1"/>
    <n v="30"/>
    <n v="953.48"/>
    <n v="0"/>
    <n v="1"/>
    <x v="0"/>
    <n v="23.80724094881398"/>
  </r>
  <r>
    <s v="ID-1300"/>
    <n v="0"/>
    <x v="0"/>
    <n v="3"/>
    <n v="0"/>
    <n v="1103"/>
    <n v="11"/>
    <n v="0"/>
    <n v="1"/>
    <n v="2"/>
    <n v="1"/>
    <n v="1"/>
    <n v="25"/>
    <n v="50.13"/>
    <n v="1"/>
    <n v="1"/>
    <x v="0"/>
    <n v="4.5448776065276526"/>
  </r>
  <r>
    <s v="ID-1301"/>
    <n v="8"/>
    <x v="0"/>
    <n v="42"/>
    <n v="0"/>
    <n v="4325"/>
    <n v="75"/>
    <n v="13"/>
    <n v="21"/>
    <n v="3"/>
    <n v="1"/>
    <n v="1"/>
    <n v="30"/>
    <n v="228"/>
    <n v="0"/>
    <n v="1"/>
    <x v="0"/>
    <n v="5.2716763005780347"/>
  </r>
  <r>
    <s v="ID-1302"/>
    <n v="0"/>
    <x v="0"/>
    <n v="43"/>
    <n v="0"/>
    <n v="273"/>
    <n v="9"/>
    <n v="15"/>
    <n v="8"/>
    <n v="2"/>
    <n v="1"/>
    <n v="2"/>
    <n v="25"/>
    <n v="80.19"/>
    <n v="0"/>
    <n v="1"/>
    <x v="0"/>
    <n v="29.373626373626372"/>
  </r>
  <r>
    <s v="ID-1303"/>
    <n v="10"/>
    <x v="0"/>
    <n v="41"/>
    <n v="0"/>
    <n v="2408"/>
    <n v="64"/>
    <n v="367"/>
    <n v="28"/>
    <n v="3"/>
    <n v="1"/>
    <n v="1"/>
    <n v="30"/>
    <n v="1566.88"/>
    <n v="0"/>
    <n v="1"/>
    <x v="0"/>
    <n v="65.069767441860478"/>
  </r>
  <r>
    <s v="ID-1304"/>
    <n v="10"/>
    <x v="0"/>
    <n v="42"/>
    <n v="0"/>
    <n v="4153"/>
    <n v="70"/>
    <n v="9"/>
    <n v="39"/>
    <n v="1"/>
    <n v="1"/>
    <n v="1"/>
    <n v="15"/>
    <n v="281.76499999999999"/>
    <n v="0"/>
    <n v="1"/>
    <x v="0"/>
    <n v="6.784613532386226"/>
  </r>
  <r>
    <s v="ID-1305"/>
    <n v="3"/>
    <x v="0"/>
    <n v="42"/>
    <n v="0"/>
    <n v="2348"/>
    <n v="62"/>
    <n v="10"/>
    <n v="37"/>
    <n v="1"/>
    <n v="1"/>
    <n v="1"/>
    <n v="15"/>
    <n v="187.55"/>
    <n v="0"/>
    <n v="1"/>
    <x v="0"/>
    <n v="7.9876490630323689"/>
  </r>
  <r>
    <s v="ID-1306"/>
    <n v="11"/>
    <x v="0"/>
    <n v="42"/>
    <n v="1"/>
    <n v="3730"/>
    <n v="86"/>
    <n v="40"/>
    <n v="32"/>
    <n v="3"/>
    <n v="1"/>
    <n v="1"/>
    <n v="30"/>
    <n v="312.64"/>
    <n v="0"/>
    <n v="2"/>
    <x v="0"/>
    <n v="8.3817694369973186"/>
  </r>
  <r>
    <s v="ID-1307"/>
    <n v="4"/>
    <x v="0"/>
    <n v="42"/>
    <n v="0"/>
    <n v="2315"/>
    <n v="43"/>
    <n v="293"/>
    <n v="22"/>
    <n v="3"/>
    <n v="1"/>
    <n v="1"/>
    <n v="30"/>
    <n v="1266.32"/>
    <n v="0"/>
    <n v="1"/>
    <x v="0"/>
    <n v="54.700647948164146"/>
  </r>
  <r>
    <s v="ID-1308"/>
    <n v="13"/>
    <x v="0"/>
    <n v="41"/>
    <n v="2"/>
    <n v="9070"/>
    <n v="125"/>
    <n v="152"/>
    <n v="47"/>
    <n v="3"/>
    <n v="1"/>
    <n v="1"/>
    <n v="30"/>
    <n v="975.8"/>
    <n v="0"/>
    <n v="2"/>
    <x v="0"/>
    <n v="10.758544652701213"/>
  </r>
  <r>
    <s v="ID-1309"/>
    <n v="7"/>
    <x v="0"/>
    <n v="42"/>
    <n v="0"/>
    <n v="13728"/>
    <n v="173"/>
    <n v="8"/>
    <n v="48"/>
    <n v="3"/>
    <n v="1"/>
    <n v="1"/>
    <n v="30"/>
    <n v="588.04"/>
    <n v="0"/>
    <n v="4"/>
    <x v="1"/>
    <n v="4.283508158508158"/>
  </r>
  <r>
    <s v="ID-1310"/>
    <n v="7"/>
    <x v="0"/>
    <n v="42"/>
    <n v="1"/>
    <n v="4470"/>
    <n v="87"/>
    <n v="10"/>
    <n v="29"/>
    <n v="3"/>
    <n v="1"/>
    <n v="1"/>
    <n v="30"/>
    <n v="222.28"/>
    <n v="0"/>
    <n v="0"/>
    <x v="0"/>
    <n v="4.9727069351230426"/>
  </r>
  <r>
    <s v="ID-1311"/>
    <n v="6"/>
    <x v="0"/>
    <n v="42"/>
    <n v="0"/>
    <n v="5873"/>
    <n v="99"/>
    <n v="15"/>
    <n v="16"/>
    <n v="3"/>
    <n v="1"/>
    <n v="1"/>
    <n v="30"/>
    <n v="298.88"/>
    <n v="0"/>
    <n v="1"/>
    <x v="0"/>
    <n v="5.0890515920313293"/>
  </r>
  <r>
    <s v="ID-1312"/>
    <n v="9"/>
    <x v="1"/>
    <n v="42"/>
    <n v="0"/>
    <n v="2193"/>
    <n v="58"/>
    <n v="16"/>
    <n v="21"/>
    <n v="3"/>
    <n v="1"/>
    <n v="2"/>
    <n v="30"/>
    <n v="154.04"/>
    <n v="0"/>
    <n v="3"/>
    <x v="1"/>
    <n v="7.0241678066575473"/>
  </r>
  <r>
    <s v="ID-1313"/>
    <n v="25"/>
    <x v="0"/>
    <n v="42"/>
    <n v="3"/>
    <n v="15095"/>
    <n v="229"/>
    <n v="62"/>
    <n v="36"/>
    <n v="3"/>
    <n v="1"/>
    <n v="1"/>
    <n v="30"/>
    <n v="860.96"/>
    <n v="0"/>
    <n v="4"/>
    <x v="1"/>
    <n v="5.7036104670420675"/>
  </r>
  <r>
    <s v="ID-1314"/>
    <n v="4"/>
    <x v="0"/>
    <n v="42"/>
    <n v="1"/>
    <n v="3050"/>
    <n v="31"/>
    <n v="491"/>
    <n v="12"/>
    <n v="3"/>
    <n v="1"/>
    <n v="1"/>
    <n v="30"/>
    <n v="2087.2399999999998"/>
    <n v="0"/>
    <n v="0"/>
    <x v="0"/>
    <n v="68.434098360655724"/>
  </r>
  <r>
    <s v="ID-1315"/>
    <n v="9"/>
    <x v="0"/>
    <n v="41"/>
    <n v="0"/>
    <n v="15440"/>
    <n v="186"/>
    <n v="158"/>
    <n v="34"/>
    <n v="2"/>
    <n v="1"/>
    <n v="1"/>
    <n v="25"/>
    <n v="1414.17"/>
    <n v="0"/>
    <n v="3"/>
    <x v="1"/>
    <n v="9.1591321243523325"/>
  </r>
  <r>
    <s v="ID-1316"/>
    <n v="3"/>
    <x v="0"/>
    <n v="41"/>
    <n v="1"/>
    <n v="6455"/>
    <n v="90"/>
    <n v="194"/>
    <n v="30"/>
    <n v="3"/>
    <n v="1"/>
    <n v="1"/>
    <n v="30"/>
    <n v="1037.8"/>
    <n v="0"/>
    <n v="0"/>
    <x v="0"/>
    <n v="16.077459333849728"/>
  </r>
  <r>
    <s v="ID-1317"/>
    <n v="0"/>
    <x v="0"/>
    <n v="41"/>
    <n v="0"/>
    <n v="830"/>
    <n v="18"/>
    <n v="8"/>
    <n v="15"/>
    <n v="2"/>
    <n v="1"/>
    <n v="2"/>
    <n v="25"/>
    <n v="74.16"/>
    <n v="0"/>
    <n v="1"/>
    <x v="0"/>
    <n v="8.9349397590361441"/>
  </r>
  <r>
    <s v="ID-1318"/>
    <n v="2"/>
    <x v="0"/>
    <n v="42"/>
    <n v="0"/>
    <n v="665"/>
    <n v="18"/>
    <n v="21"/>
    <n v="12"/>
    <n v="3"/>
    <n v="1"/>
    <n v="2"/>
    <n v="30"/>
    <n v="111.32"/>
    <n v="0"/>
    <n v="1"/>
    <x v="0"/>
    <n v="16.739849624060149"/>
  </r>
  <r>
    <s v="ID-1319"/>
    <n v="0"/>
    <x v="0"/>
    <n v="41"/>
    <n v="0"/>
    <n v="0"/>
    <n v="0"/>
    <n v="8"/>
    <n v="0"/>
    <n v="2"/>
    <n v="1"/>
    <n v="2"/>
    <n v="25"/>
    <n v="36"/>
    <n v="1"/>
    <n v="1"/>
    <x v="0"/>
    <n v="0"/>
  </r>
  <r>
    <s v="ID-1320"/>
    <n v="3"/>
    <x v="0"/>
    <n v="41"/>
    <n v="0"/>
    <n v="7463"/>
    <n v="131"/>
    <n v="392"/>
    <n v="47"/>
    <n v="2"/>
    <n v="1"/>
    <n v="1"/>
    <n v="25"/>
    <n v="2105.73"/>
    <n v="0"/>
    <n v="1"/>
    <x v="0"/>
    <n v="28.215596944928311"/>
  </r>
  <r>
    <s v="ID-1321"/>
    <n v="7"/>
    <x v="0"/>
    <n v="41"/>
    <n v="1"/>
    <n v="11420"/>
    <n v="158"/>
    <n v="19"/>
    <n v="51"/>
    <n v="4"/>
    <n v="1"/>
    <n v="1"/>
    <n v="45"/>
    <n v="336.95"/>
    <n v="0"/>
    <n v="3"/>
    <x v="1"/>
    <n v="2.9505253940455343"/>
  </r>
  <r>
    <s v="ID-1322"/>
    <n v="8"/>
    <x v="0"/>
    <n v="41"/>
    <n v="1"/>
    <n v="6673"/>
    <n v="79"/>
    <n v="116"/>
    <n v="41"/>
    <n v="2"/>
    <n v="1"/>
    <n v="1"/>
    <n v="25"/>
    <n v="825.84"/>
    <n v="0"/>
    <n v="0"/>
    <x v="0"/>
    <n v="12.375842949198262"/>
  </r>
  <r>
    <s v="ID-1323"/>
    <n v="23"/>
    <x v="1"/>
    <n v="37"/>
    <n v="0"/>
    <n v="910"/>
    <n v="51"/>
    <n v="24"/>
    <n v="21"/>
    <n v="2"/>
    <n v="1"/>
    <n v="2"/>
    <n v="25"/>
    <n v="151.245"/>
    <n v="1"/>
    <n v="5"/>
    <x v="1"/>
    <n v="16.620329670329671"/>
  </r>
  <r>
    <s v="ID-1324"/>
    <n v="21"/>
    <x v="1"/>
    <n v="40"/>
    <n v="8"/>
    <n v="10390"/>
    <n v="97"/>
    <n v="9"/>
    <n v="46"/>
    <n v="5"/>
    <n v="2"/>
    <n v="1"/>
    <n v="55"/>
    <n v="170.80500000000001"/>
    <n v="0"/>
    <n v="4"/>
    <x v="1"/>
    <n v="1.6439364773820981"/>
  </r>
  <r>
    <s v="ID-1325"/>
    <n v="13"/>
    <x v="0"/>
    <n v="40"/>
    <n v="1"/>
    <n v="5773"/>
    <n v="102"/>
    <n v="34"/>
    <n v="28"/>
    <n v="2"/>
    <n v="1"/>
    <n v="1"/>
    <n v="25"/>
    <n v="417.375"/>
    <n v="0"/>
    <n v="2"/>
    <x v="0"/>
    <n v="7.2297765459899539"/>
  </r>
  <r>
    <s v="ID-1326"/>
    <n v="1"/>
    <x v="0"/>
    <n v="38"/>
    <n v="0"/>
    <n v="2795"/>
    <n v="26"/>
    <n v="8"/>
    <n v="18"/>
    <n v="3"/>
    <n v="1"/>
    <n v="1"/>
    <n v="30"/>
    <n v="144.84"/>
    <n v="0"/>
    <n v="1"/>
    <x v="0"/>
    <n v="5.1821109123434708"/>
  </r>
  <r>
    <s v="ID-1327"/>
    <n v="9"/>
    <x v="1"/>
    <n v="39"/>
    <n v="0"/>
    <n v="2945"/>
    <n v="45"/>
    <n v="17"/>
    <n v="20"/>
    <n v="3"/>
    <n v="1"/>
    <n v="2"/>
    <n v="30"/>
    <n v="187.6"/>
    <n v="1"/>
    <n v="3"/>
    <x v="1"/>
    <n v="6.3701188455008477"/>
  </r>
  <r>
    <s v="ID-1328"/>
    <n v="9"/>
    <x v="0"/>
    <n v="40"/>
    <n v="0"/>
    <n v="2223"/>
    <n v="48"/>
    <n v="42"/>
    <n v="35"/>
    <n v="3"/>
    <n v="1"/>
    <n v="2"/>
    <n v="30"/>
    <n v="258.83999999999997"/>
    <n v="1"/>
    <n v="1"/>
    <x v="0"/>
    <n v="11.643724696356275"/>
  </r>
  <r>
    <s v="ID-1329"/>
    <n v="0"/>
    <x v="0"/>
    <n v="40"/>
    <n v="0"/>
    <n v="88"/>
    <n v="6"/>
    <n v="8"/>
    <n v="6"/>
    <n v="3"/>
    <n v="1"/>
    <n v="2"/>
    <n v="30"/>
    <n v="35.76"/>
    <n v="1"/>
    <n v="1"/>
    <x v="0"/>
    <n v="40.636363636363633"/>
  </r>
  <r>
    <s v="ID-1330"/>
    <n v="1"/>
    <x v="0"/>
    <n v="40"/>
    <n v="0"/>
    <n v="1623"/>
    <n v="29"/>
    <n v="8"/>
    <n v="10"/>
    <n v="3"/>
    <n v="1"/>
    <n v="1"/>
    <n v="30"/>
    <n v="98.08"/>
    <n v="0"/>
    <n v="1"/>
    <x v="0"/>
    <n v="6.0431300061614293"/>
  </r>
  <r>
    <s v="ID-1331"/>
    <n v="3"/>
    <x v="0"/>
    <n v="37"/>
    <n v="1"/>
    <n v="6740"/>
    <n v="101"/>
    <n v="22"/>
    <n v="26"/>
    <n v="5"/>
    <n v="1"/>
    <n v="1"/>
    <n v="55"/>
    <n v="135.61500000000001"/>
    <n v="0"/>
    <n v="0"/>
    <x v="0"/>
    <n v="2.0120919881305639"/>
  </r>
  <r>
    <s v="ID-1332"/>
    <n v="0"/>
    <x v="1"/>
    <n v="40"/>
    <n v="0"/>
    <n v="583"/>
    <n v="11"/>
    <n v="17"/>
    <n v="8"/>
    <n v="4"/>
    <n v="1"/>
    <n v="2"/>
    <n v="45"/>
    <n v="57.35"/>
    <n v="1"/>
    <n v="3"/>
    <x v="1"/>
    <n v="9.8370497427101196"/>
  </r>
  <r>
    <s v="ID-1333"/>
    <n v="0"/>
    <x v="0"/>
    <n v="40"/>
    <n v="1"/>
    <n v="293"/>
    <n v="8"/>
    <n v="12"/>
    <n v="6"/>
    <n v="5"/>
    <n v="1"/>
    <n v="1"/>
    <n v="55"/>
    <n v="22.515000000000001"/>
    <n v="0"/>
    <n v="0"/>
    <x v="0"/>
    <n v="7.6843003412969288"/>
  </r>
  <r>
    <s v="ID-1334"/>
    <n v="25"/>
    <x v="0"/>
    <n v="35"/>
    <n v="3"/>
    <n v="16030"/>
    <n v="242"/>
    <n v="8"/>
    <n v="84"/>
    <n v="2"/>
    <n v="1"/>
    <n v="1"/>
    <n v="25"/>
    <n v="768.24"/>
    <n v="0"/>
    <n v="5"/>
    <x v="1"/>
    <n v="4.7925140361821583"/>
  </r>
  <r>
    <s v="ID-1335"/>
    <n v="6"/>
    <x v="0"/>
    <n v="38"/>
    <n v="3"/>
    <n v="6920"/>
    <n v="120"/>
    <n v="279"/>
    <n v="37"/>
    <n v="2"/>
    <n v="2"/>
    <n v="1"/>
    <n v="25"/>
    <n v="1572.3"/>
    <n v="0"/>
    <n v="0"/>
    <x v="0"/>
    <n v="22.721098265895954"/>
  </r>
  <r>
    <s v="ID-1336"/>
    <n v="2"/>
    <x v="0"/>
    <n v="40"/>
    <n v="0"/>
    <n v="3673"/>
    <n v="86"/>
    <n v="10"/>
    <n v="32"/>
    <n v="2"/>
    <n v="1"/>
    <n v="1"/>
    <n v="25"/>
    <n v="214.155"/>
    <n v="0"/>
    <n v="1"/>
    <x v="0"/>
    <n v="5.8305200108902806"/>
  </r>
  <r>
    <s v="ID-1337"/>
    <n v="3"/>
    <x v="0"/>
    <n v="39"/>
    <n v="0"/>
    <n v="1620"/>
    <n v="48"/>
    <n v="46"/>
    <n v="24"/>
    <n v="3"/>
    <n v="1"/>
    <n v="2"/>
    <n v="30"/>
    <n v="250.72"/>
    <n v="0"/>
    <n v="1"/>
    <x v="0"/>
    <n v="15.476543209876542"/>
  </r>
  <r>
    <s v="ID-1338"/>
    <n v="6"/>
    <x v="0"/>
    <n v="40"/>
    <n v="0"/>
    <n v="2735"/>
    <n v="57"/>
    <n v="183"/>
    <n v="27"/>
    <n v="2"/>
    <n v="1"/>
    <n v="1"/>
    <n v="25"/>
    <n v="949.14"/>
    <n v="0"/>
    <n v="1"/>
    <x v="0"/>
    <n v="34.703473491773309"/>
  </r>
  <r>
    <s v="ID-1339"/>
    <n v="4"/>
    <x v="0"/>
    <n v="31"/>
    <n v="1"/>
    <n v="1270"/>
    <n v="40"/>
    <n v="201"/>
    <n v="15"/>
    <n v="2"/>
    <n v="2"/>
    <n v="1"/>
    <n v="25"/>
    <n v="963.45"/>
    <n v="0"/>
    <n v="0"/>
    <x v="0"/>
    <n v="75.862204724409452"/>
  </r>
  <r>
    <s v="ID-1340"/>
    <n v="4"/>
    <x v="0"/>
    <n v="30"/>
    <n v="0"/>
    <n v="1523"/>
    <n v="43"/>
    <n v="38"/>
    <n v="72"/>
    <n v="4"/>
    <n v="1"/>
    <n v="1"/>
    <n v="45"/>
    <n v="134.15"/>
    <n v="0"/>
    <n v="2"/>
    <x v="0"/>
    <n v="8.8082731451083394"/>
  </r>
  <r>
    <s v="ID-1341"/>
    <n v="11"/>
    <x v="0"/>
    <n v="31"/>
    <n v="0"/>
    <n v="655"/>
    <n v="29"/>
    <n v="18"/>
    <n v="11"/>
    <n v="2"/>
    <n v="1"/>
    <n v="2"/>
    <n v="25"/>
    <n v="111.78"/>
    <n v="0"/>
    <n v="3"/>
    <x v="1"/>
    <n v="17.065648854961832"/>
  </r>
  <r>
    <s v="ID-1342"/>
    <n v="0"/>
    <x v="0"/>
    <n v="30"/>
    <n v="0"/>
    <n v="780"/>
    <n v="14"/>
    <n v="29"/>
    <n v="7"/>
    <n v="4"/>
    <n v="1"/>
    <n v="2"/>
    <n v="45"/>
    <n v="92.35"/>
    <n v="0"/>
    <n v="1"/>
    <x v="0"/>
    <n v="11.839743589743588"/>
  </r>
  <r>
    <s v="ID-1343"/>
    <n v="10"/>
    <x v="0"/>
    <n v="29"/>
    <n v="0"/>
    <n v="1180"/>
    <n v="36"/>
    <n v="27"/>
    <n v="17"/>
    <n v="2"/>
    <n v="1"/>
    <n v="1"/>
    <n v="25"/>
    <n v="176.22"/>
    <n v="0"/>
    <n v="1"/>
    <x v="0"/>
    <n v="14.933898305084744"/>
  </r>
  <r>
    <s v="ID-1344"/>
    <n v="2"/>
    <x v="0"/>
    <n v="29"/>
    <n v="0"/>
    <n v="3180"/>
    <n v="65"/>
    <n v="16"/>
    <n v="27"/>
    <n v="3"/>
    <n v="1"/>
    <n v="1"/>
    <n v="30"/>
    <n v="193.8"/>
    <n v="0"/>
    <n v="1"/>
    <x v="0"/>
    <n v="6.0943396226415096"/>
  </r>
  <r>
    <s v="ID-1345"/>
    <n v="2"/>
    <x v="0"/>
    <n v="22"/>
    <n v="0"/>
    <n v="1650"/>
    <n v="30"/>
    <n v="36"/>
    <n v="18"/>
    <n v="2"/>
    <n v="1"/>
    <n v="1"/>
    <n v="25"/>
    <n v="237.6"/>
    <n v="0"/>
    <n v="1"/>
    <x v="0"/>
    <n v="14.399999999999999"/>
  </r>
  <r>
    <s v="ID-1346"/>
    <n v="16"/>
    <x v="0"/>
    <n v="21"/>
    <n v="1"/>
    <n v="6348"/>
    <n v="145"/>
    <n v="93"/>
    <n v="46"/>
    <n v="2"/>
    <n v="2"/>
    <n v="1"/>
    <n v="25"/>
    <n v="710.68499999999995"/>
    <n v="0"/>
    <n v="4"/>
    <x v="1"/>
    <n v="11.195415879017013"/>
  </r>
  <r>
    <s v="ID-1347"/>
    <n v="12"/>
    <x v="0"/>
    <n v="19"/>
    <n v="0"/>
    <n v="8888"/>
    <n v="175"/>
    <n v="81"/>
    <n v="44"/>
    <n v="4"/>
    <n v="1"/>
    <n v="1"/>
    <n v="45"/>
    <n v="429.07499999999999"/>
    <n v="0"/>
    <n v="5"/>
    <x v="1"/>
    <n v="4.8275765076507655"/>
  </r>
  <r>
    <s v="ID-1348"/>
    <n v="8"/>
    <x v="0"/>
    <n v="20"/>
    <n v="3"/>
    <n v="2808"/>
    <n v="49"/>
    <n v="39"/>
    <n v="23"/>
    <n v="3"/>
    <n v="1"/>
    <n v="1"/>
    <n v="30"/>
    <n v="270.27999999999997"/>
    <n v="0"/>
    <n v="0"/>
    <x v="0"/>
    <n v="9.6253561253561237"/>
  </r>
  <r>
    <s v="ID-1349"/>
    <n v="2"/>
    <x v="0"/>
    <n v="13"/>
    <n v="1"/>
    <n v="4345"/>
    <n v="44"/>
    <n v="223"/>
    <n v="14"/>
    <n v="3"/>
    <n v="1"/>
    <n v="1"/>
    <n v="30"/>
    <n v="1067.56"/>
    <n v="0"/>
    <n v="0"/>
    <x v="0"/>
    <n v="24.569850402761794"/>
  </r>
  <r>
    <s v="ID-1350"/>
    <n v="3"/>
    <x v="0"/>
    <n v="13"/>
    <n v="1"/>
    <n v="1443"/>
    <n v="23"/>
    <n v="8"/>
    <n v="11"/>
    <n v="3"/>
    <n v="1"/>
    <n v="1"/>
    <n v="30"/>
    <n v="90.64"/>
    <n v="1"/>
    <n v="0"/>
    <x v="0"/>
    <n v="6.2813582813582816"/>
  </r>
  <r>
    <s v="ID-1351"/>
    <n v="0"/>
    <x v="0"/>
    <n v="30"/>
    <n v="0"/>
    <n v="3805"/>
    <n v="55"/>
    <n v="0"/>
    <n v="9"/>
    <n v="2"/>
    <n v="1"/>
    <n v="1"/>
    <n v="25"/>
    <n v="173.7"/>
    <n v="0"/>
    <n v="1"/>
    <x v="0"/>
    <n v="4.5650459921156372"/>
  </r>
  <r>
    <s v="ID-1352"/>
    <n v="0"/>
    <x v="0"/>
    <n v="31"/>
    <n v="0"/>
    <n v="0"/>
    <n v="0"/>
    <n v="0"/>
    <n v="0"/>
    <n v="2"/>
    <n v="1"/>
    <n v="2"/>
    <n v="25"/>
    <n v="0"/>
    <n v="0"/>
    <n v="1"/>
    <x v="0"/>
    <n v="0"/>
  </r>
  <r>
    <s v="ID-1353"/>
    <n v="0"/>
    <x v="0"/>
    <n v="29"/>
    <n v="0"/>
    <n v="1888"/>
    <n v="44"/>
    <n v="337"/>
    <n v="16"/>
    <n v="2"/>
    <n v="1"/>
    <n v="1"/>
    <n v="25"/>
    <n v="1603.44"/>
    <n v="0"/>
    <n v="1"/>
    <x v="0"/>
    <n v="84.927966101694921"/>
  </r>
  <r>
    <s v="ID-1354"/>
    <n v="0"/>
    <x v="0"/>
    <n v="30"/>
    <n v="0"/>
    <n v="3633"/>
    <n v="50"/>
    <n v="0"/>
    <n v="27"/>
    <n v="1"/>
    <n v="1"/>
    <n v="1"/>
    <n v="15"/>
    <n v="202.565"/>
    <n v="0"/>
    <n v="1"/>
    <x v="0"/>
    <n v="5.5756950178915492"/>
  </r>
  <r>
    <s v="ID-1355"/>
    <n v="0"/>
    <x v="0"/>
    <n v="30"/>
    <n v="0"/>
    <n v="1828"/>
    <n v="42"/>
    <n v="0"/>
    <n v="25"/>
    <n v="1"/>
    <n v="1"/>
    <n v="1"/>
    <n v="15"/>
    <n v="102.85"/>
    <n v="0"/>
    <n v="1"/>
    <x v="0"/>
    <n v="5.6263676148796495"/>
  </r>
  <r>
    <s v="ID-1356"/>
    <n v="1"/>
    <x v="0"/>
    <n v="30"/>
    <n v="0"/>
    <n v="3210"/>
    <n v="66"/>
    <n v="10"/>
    <n v="20"/>
    <n v="2"/>
    <n v="1"/>
    <n v="1"/>
    <n v="25"/>
    <n v="192.42"/>
    <n v="0"/>
    <n v="1"/>
    <x v="0"/>
    <n v="5.9943925233644855"/>
  </r>
  <r>
    <s v="ID-1357"/>
    <n v="0"/>
    <x v="0"/>
    <n v="30"/>
    <n v="0"/>
    <n v="1795"/>
    <n v="23"/>
    <n v="263"/>
    <n v="10"/>
    <n v="3"/>
    <n v="1"/>
    <n v="1"/>
    <n v="30"/>
    <n v="1124.72"/>
    <n v="0"/>
    <n v="1"/>
    <x v="0"/>
    <n v="62.658495821727023"/>
  </r>
  <r>
    <s v="ID-1358"/>
    <n v="3"/>
    <x v="0"/>
    <n v="29"/>
    <n v="0"/>
    <n v="8550"/>
    <n v="105"/>
    <n v="122"/>
    <n v="35"/>
    <n v="3"/>
    <n v="1"/>
    <n v="1"/>
    <n v="30"/>
    <n v="834.2"/>
    <n v="0"/>
    <n v="1"/>
    <x v="0"/>
    <n v="9.756725146198832"/>
  </r>
  <r>
    <s v="ID-1359"/>
    <n v="0"/>
    <x v="0"/>
    <n v="30"/>
    <n v="0"/>
    <n v="13208"/>
    <n v="153"/>
    <n v="0"/>
    <n v="36"/>
    <n v="3"/>
    <n v="1"/>
    <n v="1"/>
    <n v="30"/>
    <n v="534.44000000000005"/>
    <n v="0"/>
    <n v="3"/>
    <x v="1"/>
    <n v="4.0463355542095698"/>
  </r>
  <r>
    <s v="ID-1360"/>
    <n v="0"/>
    <x v="0"/>
    <n v="30"/>
    <n v="0"/>
    <n v="3950"/>
    <n v="67"/>
    <n v="0"/>
    <n v="17"/>
    <n v="3"/>
    <n v="1"/>
    <n v="1"/>
    <n v="30"/>
    <n v="160.68"/>
    <n v="0"/>
    <n v="1"/>
    <x v="0"/>
    <n v="4.067848101265823"/>
  </r>
  <r>
    <s v="ID-1361"/>
    <n v="0"/>
    <x v="0"/>
    <n v="30"/>
    <n v="0"/>
    <n v="5353"/>
    <n v="79"/>
    <n v="0"/>
    <n v="4"/>
    <n v="2"/>
    <n v="1"/>
    <n v="1"/>
    <n v="25"/>
    <n v="244.44"/>
    <n v="0"/>
    <n v="1"/>
    <x v="0"/>
    <n v="4.5664113581169437"/>
  </r>
  <r>
    <s v="ID-1362"/>
    <n v="0"/>
    <x v="0"/>
    <n v="30"/>
    <n v="0"/>
    <n v="1673"/>
    <n v="38"/>
    <n v="0"/>
    <n v="9"/>
    <n v="3"/>
    <n v="1"/>
    <n v="2"/>
    <n v="30"/>
    <n v="68.44"/>
    <n v="0"/>
    <n v="1"/>
    <x v="0"/>
    <n v="4.0908547519426177"/>
  </r>
  <r>
    <s v="ID-1363"/>
    <n v="15"/>
    <x v="0"/>
    <n v="30"/>
    <n v="1"/>
    <n v="14575"/>
    <n v="209"/>
    <n v="32"/>
    <n v="24"/>
    <n v="2"/>
    <n v="1"/>
    <n v="1"/>
    <n v="25"/>
    <n v="809.28"/>
    <n v="0"/>
    <n v="4"/>
    <x v="1"/>
    <n v="5.5525214408233277"/>
  </r>
  <r>
    <s v="ID-1364"/>
    <n v="0"/>
    <x v="0"/>
    <n v="30"/>
    <n v="0"/>
    <n v="2530"/>
    <n v="11"/>
    <n v="461"/>
    <n v="7"/>
    <n v="3"/>
    <n v="1"/>
    <n v="1"/>
    <n v="30"/>
    <n v="1945.64"/>
    <n v="0"/>
    <n v="1"/>
    <x v="0"/>
    <n v="76.90276679841898"/>
  </r>
  <r>
    <s v="ID-1365"/>
    <n v="0"/>
    <x v="0"/>
    <n v="29"/>
    <n v="0"/>
    <n v="14920"/>
    <n v="166"/>
    <n v="128"/>
    <n v="22"/>
    <n v="2"/>
    <n v="1"/>
    <n v="1"/>
    <n v="25"/>
    <n v="1254.8699999999999"/>
    <n v="0"/>
    <n v="3"/>
    <x v="1"/>
    <n v="8.4106568364611256"/>
  </r>
  <r>
    <s v="ID-1366"/>
    <n v="0"/>
    <x v="0"/>
    <n v="29"/>
    <n v="0"/>
    <n v="5935"/>
    <n v="70"/>
    <n v="164"/>
    <n v="18"/>
    <n v="3"/>
    <n v="1"/>
    <n v="1"/>
    <n v="30"/>
    <n v="896.2"/>
    <n v="0"/>
    <n v="1"/>
    <x v="0"/>
    <n v="15.100252737994946"/>
  </r>
  <r>
    <s v="ID-1367"/>
    <n v="0"/>
    <x v="0"/>
    <n v="29"/>
    <n v="0"/>
    <n v="0"/>
    <n v="0"/>
    <n v="0"/>
    <n v="0"/>
    <n v="2"/>
    <n v="1"/>
    <n v="2"/>
    <n v="25"/>
    <n v="0"/>
    <n v="0"/>
    <n v="1"/>
    <x v="0"/>
    <n v="0"/>
  </r>
  <r>
    <s v="ID-1368"/>
    <n v="0"/>
    <x v="0"/>
    <n v="30"/>
    <n v="0"/>
    <n v="0"/>
    <n v="0"/>
    <n v="0"/>
    <n v="0"/>
    <n v="2"/>
    <n v="1"/>
    <n v="2"/>
    <n v="25"/>
    <n v="0"/>
    <n v="0"/>
    <n v="1"/>
    <x v="0"/>
    <n v="0"/>
  </r>
  <r>
    <s v="ID-1369"/>
    <n v="0"/>
    <x v="0"/>
    <n v="29"/>
    <n v="0"/>
    <n v="0"/>
    <n v="0"/>
    <n v="0"/>
    <n v="0"/>
    <n v="2"/>
    <n v="1"/>
    <n v="2"/>
    <n v="25"/>
    <n v="0"/>
    <n v="1"/>
    <n v="1"/>
    <x v="0"/>
    <n v="0"/>
  </r>
  <r>
    <s v="ID-1370"/>
    <n v="0"/>
    <x v="0"/>
    <n v="29"/>
    <n v="0"/>
    <n v="6943"/>
    <n v="111"/>
    <n v="362"/>
    <n v="35"/>
    <n v="2"/>
    <n v="1"/>
    <n v="1"/>
    <n v="25"/>
    <n v="1946.43"/>
    <n v="0"/>
    <n v="1"/>
    <x v="0"/>
    <n v="28.034423160017287"/>
  </r>
  <r>
    <s v="ID-1371"/>
    <n v="0"/>
    <x v="0"/>
    <n v="29"/>
    <n v="0"/>
    <n v="10900"/>
    <n v="138"/>
    <n v="0"/>
    <n v="39"/>
    <n v="3"/>
    <n v="1"/>
    <n v="1"/>
    <n v="30"/>
    <n v="441.52"/>
    <n v="0"/>
    <n v="1"/>
    <x v="0"/>
    <n v="4.0506422018348625"/>
  </r>
  <r>
    <s v="ID-1372"/>
    <n v="0"/>
    <x v="0"/>
    <n v="29"/>
    <n v="0"/>
    <n v="6153"/>
    <n v="59"/>
    <n v="86"/>
    <n v="29"/>
    <n v="2"/>
    <n v="1"/>
    <n v="1"/>
    <n v="25"/>
    <n v="666.54"/>
    <n v="0"/>
    <n v="1"/>
    <x v="0"/>
    <n v="10.832764505119453"/>
  </r>
  <r>
    <s v="ID-1373"/>
    <n v="13"/>
    <x v="1"/>
    <n v="25"/>
    <n v="0"/>
    <n v="390"/>
    <n v="31"/>
    <n v="0"/>
    <n v="9"/>
    <n v="2"/>
    <n v="1"/>
    <n v="2"/>
    <n v="25"/>
    <n v="18.945"/>
    <n v="1"/>
    <n v="5"/>
    <x v="1"/>
    <n v="4.8576923076923082"/>
  </r>
  <r>
    <s v="ID-1374"/>
    <n v="11"/>
    <x v="0"/>
    <n v="28"/>
    <n v="6"/>
    <n v="9870"/>
    <n v="77"/>
    <n v="0"/>
    <n v="34"/>
    <n v="4"/>
    <n v="2"/>
    <n v="1"/>
    <n v="45"/>
    <n v="248.67500000000001"/>
    <n v="0"/>
    <n v="2"/>
    <x v="0"/>
    <n v="2.5195035460992909"/>
  </r>
  <r>
    <s v="ID-1375"/>
    <n v="3"/>
    <x v="0"/>
    <n v="28"/>
    <n v="0"/>
    <n v="5253"/>
    <n v="82"/>
    <n v="4"/>
    <n v="16"/>
    <n v="2"/>
    <n v="1"/>
    <n v="1"/>
    <n v="25"/>
    <n v="258.07499999999999"/>
    <n v="1"/>
    <n v="1"/>
    <x v="0"/>
    <n v="4.9129069103369494"/>
  </r>
  <r>
    <s v="ID-1376"/>
    <n v="0"/>
    <x v="0"/>
    <n v="26"/>
    <n v="0"/>
    <n v="2275"/>
    <n v="6"/>
    <n v="0"/>
    <n v="6"/>
    <n v="3"/>
    <n v="1"/>
    <n v="1"/>
    <n v="30"/>
    <n v="91.24"/>
    <n v="0"/>
    <n v="1"/>
    <x v="0"/>
    <n v="4.0105494505494503"/>
  </r>
  <r>
    <s v="ID-1377"/>
    <n v="0"/>
    <x v="1"/>
    <n v="27"/>
    <n v="0"/>
    <n v="2425"/>
    <n v="25"/>
    <n v="0"/>
    <n v="8"/>
    <n v="2"/>
    <n v="1"/>
    <n v="2"/>
    <n v="25"/>
    <n v="110.25"/>
    <n v="1"/>
    <n v="3"/>
    <x v="1"/>
    <n v="4.5463917525773194"/>
  </r>
  <r>
    <s v="ID-1378"/>
    <n v="0"/>
    <x v="1"/>
    <n v="28"/>
    <n v="0"/>
    <n v="1703"/>
    <n v="28"/>
    <n v="12"/>
    <n v="23"/>
    <n v="3"/>
    <n v="1"/>
    <n v="2"/>
    <n v="30"/>
    <n v="117.24"/>
    <n v="1"/>
    <n v="3"/>
    <x v="1"/>
    <n v="6.8843217850851426"/>
  </r>
  <r>
    <s v="ID-1379"/>
    <n v="0"/>
    <x v="0"/>
    <n v="28"/>
    <n v="0"/>
    <n v="0"/>
    <n v="0"/>
    <n v="0"/>
    <n v="0"/>
    <n v="2"/>
    <n v="1"/>
    <n v="2"/>
    <n v="25"/>
    <n v="0"/>
    <n v="1"/>
    <n v="1"/>
    <x v="0"/>
    <n v="0"/>
  </r>
  <r>
    <s v="ID-1380"/>
    <n v="0"/>
    <x v="0"/>
    <n v="28"/>
    <n v="0"/>
    <n v="0"/>
    <n v="0"/>
    <n v="0"/>
    <n v="0"/>
    <n v="3"/>
    <n v="1"/>
    <n v="1"/>
    <n v="30"/>
    <n v="0"/>
    <n v="0"/>
    <n v="1"/>
    <x v="0"/>
    <n v="0"/>
  </r>
  <r>
    <s v="ID-1381"/>
    <n v="0"/>
    <x v="0"/>
    <n v="25"/>
    <n v="0"/>
    <n v="6220"/>
    <n v="81"/>
    <n v="0"/>
    <n v="14"/>
    <n v="4"/>
    <n v="1"/>
    <n v="1"/>
    <n v="45"/>
    <n v="157.52500000000001"/>
    <n v="0"/>
    <n v="1"/>
    <x v="0"/>
    <n v="2.532556270096463"/>
  </r>
  <r>
    <s v="ID-1382"/>
    <n v="0"/>
    <x v="0"/>
    <n v="28"/>
    <n v="0"/>
    <n v="0"/>
    <n v="0"/>
    <n v="0"/>
    <n v="0"/>
    <n v="3"/>
    <n v="1"/>
    <n v="2"/>
    <n v="30"/>
    <n v="0"/>
    <n v="1"/>
    <n v="1"/>
    <x v="0"/>
    <n v="0"/>
  </r>
  <r>
    <s v="ID-1383"/>
    <n v="0"/>
    <x v="1"/>
    <n v="28"/>
    <n v="0"/>
    <n v="0"/>
    <n v="0"/>
    <n v="0"/>
    <n v="0"/>
    <n v="4"/>
    <n v="1"/>
    <n v="1"/>
    <n v="45"/>
    <n v="0"/>
    <n v="1"/>
    <n v="3"/>
    <x v="1"/>
    <n v="0"/>
  </r>
  <r>
    <s v="ID-1384"/>
    <n v="15"/>
    <x v="0"/>
    <n v="23"/>
    <n v="1"/>
    <n v="15510"/>
    <n v="222"/>
    <n v="0"/>
    <n v="72"/>
    <n v="2"/>
    <n v="1"/>
    <n v="1"/>
    <n v="25"/>
    <n v="707.94"/>
    <n v="0"/>
    <n v="5"/>
    <x v="1"/>
    <n v="4.5644100580270797"/>
  </r>
  <r>
    <s v="ID-1385"/>
    <n v="0"/>
    <x v="0"/>
    <n v="26"/>
    <n v="1"/>
    <n v="6400"/>
    <n v="100"/>
    <n v="249"/>
    <n v="25"/>
    <n v="2"/>
    <n v="2"/>
    <n v="1"/>
    <n v="25"/>
    <n v="1413"/>
    <n v="0"/>
    <n v="0"/>
    <x v="0"/>
    <n v="22.078125"/>
  </r>
  <r>
    <s v="ID-1386"/>
    <n v="0"/>
    <x v="0"/>
    <n v="28"/>
    <n v="0"/>
    <n v="3153"/>
    <n v="66"/>
    <n v="0"/>
    <n v="20"/>
    <n v="2"/>
    <n v="1"/>
    <n v="1"/>
    <n v="25"/>
    <n v="144.85499999999999"/>
    <n v="0"/>
    <n v="1"/>
    <x v="0"/>
    <n v="4.5941960038058989"/>
  </r>
  <r>
    <s v="ID-1387"/>
    <n v="0"/>
    <x v="0"/>
    <n v="27"/>
    <n v="0"/>
    <n v="1100"/>
    <n v="28"/>
    <n v="16"/>
    <n v="12"/>
    <n v="3"/>
    <n v="1"/>
    <n v="2"/>
    <n v="30"/>
    <n v="109.12"/>
    <n v="0"/>
    <n v="1"/>
    <x v="0"/>
    <n v="9.9200000000000017"/>
  </r>
  <r>
    <s v="ID-1388"/>
    <n v="0"/>
    <x v="0"/>
    <n v="28"/>
    <n v="0"/>
    <n v="2215"/>
    <n v="37"/>
    <n v="153"/>
    <n v="15"/>
    <n v="2"/>
    <n v="1"/>
    <n v="1"/>
    <n v="25"/>
    <n v="789.84"/>
    <n v="0"/>
    <n v="1"/>
    <x v="0"/>
    <n v="35.658690744920996"/>
  </r>
  <r>
    <s v="ID-1389"/>
    <n v="0"/>
    <x v="0"/>
    <n v="19"/>
    <n v="0"/>
    <n v="750"/>
    <n v="20"/>
    <n v="171"/>
    <n v="3"/>
    <n v="2"/>
    <n v="2"/>
    <n v="1"/>
    <n v="25"/>
    <n v="804.15"/>
    <n v="0"/>
    <n v="1"/>
    <x v="0"/>
    <n v="107.22"/>
  </r>
  <r>
    <s v="ID-1390"/>
    <n v="0"/>
    <x v="0"/>
    <n v="18"/>
    <n v="0"/>
    <n v="1003"/>
    <n v="23"/>
    <n v="8"/>
    <n v="60"/>
    <n v="4"/>
    <n v="1"/>
    <n v="1"/>
    <n v="45"/>
    <n v="45.65"/>
    <n v="0"/>
    <n v="2"/>
    <x v="0"/>
    <n v="4.5513459621136585"/>
  </r>
  <r>
    <s v="ID-1391"/>
    <n v="0"/>
    <x v="0"/>
    <n v="19"/>
    <n v="0"/>
    <n v="0"/>
    <n v="0"/>
    <n v="0"/>
    <n v="0"/>
    <n v="2"/>
    <n v="1"/>
    <n v="2"/>
    <n v="25"/>
    <n v="0"/>
    <n v="0"/>
    <n v="1"/>
    <x v="0"/>
    <n v="0"/>
  </r>
  <r>
    <s v="ID-1392"/>
    <n v="0"/>
    <x v="0"/>
    <n v="18"/>
    <n v="0"/>
    <n v="0"/>
    <n v="0"/>
    <n v="0"/>
    <n v="0"/>
    <n v="4"/>
    <n v="1"/>
    <n v="2"/>
    <n v="45"/>
    <n v="0"/>
    <n v="0"/>
    <n v="1"/>
    <x v="0"/>
    <n v="0"/>
  </r>
  <r>
    <s v="ID-1393"/>
    <n v="0"/>
    <x v="0"/>
    <n v="17"/>
    <n v="0"/>
    <n v="660"/>
    <n v="16"/>
    <n v="0"/>
    <n v="5"/>
    <n v="2"/>
    <n v="1"/>
    <n v="1"/>
    <n v="25"/>
    <n v="30.42"/>
    <n v="0"/>
    <n v="1"/>
    <x v="0"/>
    <n v="4.6090909090909093"/>
  </r>
  <r>
    <s v="ID-1394"/>
    <n v="0"/>
    <x v="0"/>
    <n v="17"/>
    <n v="0"/>
    <n v="2660"/>
    <n v="45"/>
    <n v="0"/>
    <n v="15"/>
    <n v="3"/>
    <n v="1"/>
    <n v="1"/>
    <n v="30"/>
    <n v="108.2"/>
    <n v="0"/>
    <n v="1"/>
    <x v="0"/>
    <n v="4.0676691729323311"/>
  </r>
  <r>
    <s v="ID-1395"/>
    <n v="0"/>
    <x v="0"/>
    <n v="10"/>
    <n v="0"/>
    <n v="1130"/>
    <n v="10"/>
    <n v="6"/>
    <n v="6"/>
    <n v="2"/>
    <n v="1"/>
    <n v="1"/>
    <n v="25"/>
    <n v="78.3"/>
    <n v="0"/>
    <n v="1"/>
    <x v="0"/>
    <n v="6.9292035398230087"/>
  </r>
  <r>
    <s v="ID-1396"/>
    <n v="6"/>
    <x v="0"/>
    <n v="9"/>
    <n v="0"/>
    <n v="5828"/>
    <n v="125"/>
    <n v="63"/>
    <n v="34"/>
    <n v="1"/>
    <n v="2"/>
    <n v="1"/>
    <n v="15"/>
    <n v="673.91499999999996"/>
    <n v="0"/>
    <n v="1"/>
    <x v="0"/>
    <n v="11.563400823610158"/>
  </r>
  <r>
    <s v="ID-1397"/>
    <n v="2"/>
    <x v="0"/>
    <n v="7"/>
    <n v="0"/>
    <n v="8368"/>
    <n v="155"/>
    <n v="51"/>
    <n v="32"/>
    <n v="4"/>
    <n v="1"/>
    <n v="1"/>
    <n v="45"/>
    <n v="340.57499999999999"/>
    <n v="0"/>
    <n v="3"/>
    <x v="1"/>
    <n v="4.0699689292543022"/>
  </r>
  <r>
    <s v="ID-1398"/>
    <n v="0"/>
    <x v="0"/>
    <n v="8"/>
    <n v="1"/>
    <n v="2288"/>
    <n v="29"/>
    <n v="9"/>
    <n v="11"/>
    <n v="3"/>
    <n v="1"/>
    <n v="1"/>
    <n v="30"/>
    <n v="128.68"/>
    <n v="0"/>
    <n v="0"/>
    <x v="0"/>
    <n v="5.6241258741258742"/>
  </r>
  <r>
    <s v="ID-1399"/>
    <n v="0"/>
    <x v="0"/>
    <n v="3"/>
    <n v="0"/>
    <n v="3825"/>
    <n v="24"/>
    <n v="193"/>
    <n v="2"/>
    <n v="2"/>
    <n v="1"/>
    <n v="1"/>
    <n v="25"/>
    <n v="1041.7049999999999"/>
    <n v="0"/>
    <n v="1"/>
    <x v="0"/>
    <n v="27.23411764705882"/>
  </r>
  <r>
    <s v="ID-1400"/>
    <n v="0"/>
    <x v="0"/>
    <n v="3"/>
    <n v="0"/>
    <n v="0"/>
    <n v="0"/>
    <n v="0"/>
    <n v="0"/>
    <n v="2"/>
    <n v="1"/>
    <n v="1"/>
    <n v="25"/>
    <n v="0"/>
    <n v="1"/>
    <n v="1"/>
    <x v="0"/>
    <n v="0"/>
  </r>
  <r>
    <s v="ID-1401"/>
    <n v="5"/>
    <x v="0"/>
    <n v="39"/>
    <n v="0"/>
    <n v="4245"/>
    <n v="73"/>
    <n v="9"/>
    <n v="20"/>
    <n v="2"/>
    <n v="1"/>
    <n v="1"/>
    <n v="25"/>
    <n v="234.81"/>
    <n v="0"/>
    <n v="1"/>
    <x v="0"/>
    <n v="5.5314487632508831"/>
  </r>
  <r>
    <s v="ID-1402"/>
    <n v="0"/>
    <x v="0"/>
    <n v="40"/>
    <n v="0"/>
    <n v="193"/>
    <n v="7"/>
    <n v="11"/>
    <n v="7"/>
    <n v="2"/>
    <n v="1"/>
    <n v="2"/>
    <n v="25"/>
    <n v="58.5"/>
    <n v="0"/>
    <n v="1"/>
    <x v="0"/>
    <n v="30.310880829015545"/>
  </r>
  <r>
    <s v="ID-1403"/>
    <n v="7"/>
    <x v="0"/>
    <n v="38"/>
    <n v="0"/>
    <n v="2328"/>
    <n v="62"/>
    <n v="363"/>
    <n v="27"/>
    <n v="2"/>
    <n v="1"/>
    <n v="1"/>
    <n v="25"/>
    <n v="1741.05"/>
    <n v="0"/>
    <n v="1"/>
    <x v="0"/>
    <n v="74.787371134020617"/>
  </r>
  <r>
    <s v="ID-1404"/>
    <n v="7"/>
    <x v="0"/>
    <n v="39"/>
    <n v="0"/>
    <n v="4073"/>
    <n v="68"/>
    <n v="5"/>
    <n v="38"/>
    <n v="1"/>
    <n v="1"/>
    <n v="1"/>
    <n v="15"/>
    <n v="255.255"/>
    <n v="0"/>
    <n v="1"/>
    <x v="0"/>
    <n v="6.2670022096734597"/>
  </r>
  <r>
    <s v="ID-1405"/>
    <n v="0"/>
    <x v="0"/>
    <n v="39"/>
    <n v="0"/>
    <n v="2268"/>
    <n v="60"/>
    <n v="6"/>
    <n v="36"/>
    <n v="1"/>
    <n v="1"/>
    <n v="1"/>
    <n v="15"/>
    <n v="161.04"/>
    <n v="0"/>
    <n v="1"/>
    <x v="0"/>
    <n v="7.1005291005291005"/>
  </r>
  <r>
    <s v="ID-1406"/>
    <n v="8"/>
    <x v="0"/>
    <n v="39"/>
    <n v="0"/>
    <n v="3650"/>
    <n v="84"/>
    <n v="36"/>
    <n v="31"/>
    <n v="2"/>
    <n v="1"/>
    <n v="1"/>
    <n v="25"/>
    <n v="330.03"/>
    <n v="0"/>
    <n v="1"/>
    <x v="0"/>
    <n v="9.0419178082191767"/>
  </r>
  <r>
    <s v="ID-1407"/>
    <n v="1"/>
    <x v="0"/>
    <n v="39"/>
    <n v="0"/>
    <n v="2235"/>
    <n v="41"/>
    <n v="289"/>
    <n v="21"/>
    <n v="3"/>
    <n v="1"/>
    <n v="1"/>
    <n v="30"/>
    <n v="1247.04"/>
    <n v="0"/>
    <n v="1"/>
    <x v="0"/>
    <n v="55.795973154362407"/>
  </r>
  <r>
    <s v="ID-1408"/>
    <n v="10"/>
    <x v="0"/>
    <n v="38"/>
    <n v="1"/>
    <n v="8990"/>
    <n v="123"/>
    <n v="148"/>
    <n v="46"/>
    <n v="3"/>
    <n v="1"/>
    <n v="1"/>
    <n v="30"/>
    <n v="956.52"/>
    <n v="0"/>
    <n v="0"/>
    <x v="0"/>
    <n v="10.639822024471634"/>
  </r>
  <r>
    <s v="ID-1409"/>
    <n v="4"/>
    <x v="0"/>
    <n v="39"/>
    <n v="0"/>
    <n v="13648"/>
    <n v="171"/>
    <n v="4"/>
    <n v="47"/>
    <n v="3"/>
    <n v="1"/>
    <n v="1"/>
    <n v="30"/>
    <n v="568.76"/>
    <n v="0"/>
    <n v="3"/>
    <x v="1"/>
    <n v="4.1673505275498242"/>
  </r>
  <r>
    <s v="ID-1410"/>
    <n v="4"/>
    <x v="0"/>
    <n v="39"/>
    <n v="0"/>
    <n v="4390"/>
    <n v="85"/>
    <n v="6"/>
    <n v="28"/>
    <n v="3"/>
    <n v="1"/>
    <n v="1"/>
    <n v="30"/>
    <n v="203"/>
    <n v="0"/>
    <n v="1"/>
    <x v="0"/>
    <n v="4.6241457858769932"/>
  </r>
  <r>
    <s v="ID-1411"/>
    <n v="3"/>
    <x v="0"/>
    <n v="39"/>
    <n v="0"/>
    <n v="5793"/>
    <n v="97"/>
    <n v="11"/>
    <n v="15"/>
    <n v="2"/>
    <n v="1"/>
    <n v="1"/>
    <n v="25"/>
    <n v="314.55"/>
    <n v="0"/>
    <n v="1"/>
    <x v="0"/>
    <n v="5.4298291040911444"/>
  </r>
  <r>
    <s v="ID-1412"/>
    <n v="6"/>
    <x v="0"/>
    <n v="39"/>
    <n v="0"/>
    <n v="2113"/>
    <n v="56"/>
    <n v="12"/>
    <n v="20"/>
    <n v="3"/>
    <n v="1"/>
    <n v="2"/>
    <n v="30"/>
    <n v="134.76"/>
    <n v="0"/>
    <n v="1"/>
    <x v="0"/>
    <n v="6.3776620918125886"/>
  </r>
  <r>
    <s v="ID-1413"/>
    <n v="22"/>
    <x v="0"/>
    <n v="39"/>
    <n v="2"/>
    <n v="15015"/>
    <n v="227"/>
    <n v="58"/>
    <n v="35"/>
    <n v="3"/>
    <n v="1"/>
    <n v="1"/>
    <n v="30"/>
    <n v="841.68"/>
    <n v="0"/>
    <n v="4"/>
    <x v="1"/>
    <n v="5.6055944055944051"/>
  </r>
  <r>
    <s v="ID-1414"/>
    <n v="1"/>
    <x v="0"/>
    <n v="39"/>
    <n v="0"/>
    <n v="2970"/>
    <n v="29"/>
    <n v="487"/>
    <n v="11"/>
    <n v="3"/>
    <n v="1"/>
    <n v="1"/>
    <n v="30"/>
    <n v="2067.96"/>
    <n v="0"/>
    <n v="1"/>
    <x v="0"/>
    <n v="69.628282828282835"/>
  </r>
  <r>
    <s v="ID-1415"/>
    <n v="6"/>
    <x v="0"/>
    <n v="38"/>
    <n v="0"/>
    <n v="15360"/>
    <n v="184"/>
    <n v="154"/>
    <n v="33"/>
    <n v="2"/>
    <n v="1"/>
    <n v="1"/>
    <n v="25"/>
    <n v="1392.48"/>
    <n v="0"/>
    <n v="3"/>
    <x v="1"/>
    <n v="9.0656250000000007"/>
  </r>
  <r>
    <s v="ID-1416"/>
    <n v="0"/>
    <x v="0"/>
    <n v="38"/>
    <n v="0"/>
    <n v="6375"/>
    <n v="88"/>
    <n v="190"/>
    <n v="29"/>
    <n v="3"/>
    <n v="1"/>
    <n v="1"/>
    <n v="30"/>
    <n v="1018.52"/>
    <n v="0"/>
    <n v="1"/>
    <x v="0"/>
    <n v="15.976784313725489"/>
  </r>
  <r>
    <s v="ID-1417"/>
    <n v="0"/>
    <x v="0"/>
    <n v="38"/>
    <n v="0"/>
    <n v="750"/>
    <n v="16"/>
    <n v="4"/>
    <n v="14"/>
    <n v="2"/>
    <n v="1"/>
    <n v="2"/>
    <n v="25"/>
    <n v="52.47"/>
    <n v="0"/>
    <n v="1"/>
    <x v="0"/>
    <n v="6.9959999999999996"/>
  </r>
  <r>
    <s v="ID-1418"/>
    <n v="0"/>
    <x v="0"/>
    <n v="39"/>
    <n v="0"/>
    <n v="585"/>
    <n v="16"/>
    <n v="17"/>
    <n v="11"/>
    <n v="2"/>
    <n v="1"/>
    <n v="2"/>
    <n v="25"/>
    <n v="103.545"/>
    <n v="0"/>
    <n v="1"/>
    <x v="0"/>
    <n v="17.7"/>
  </r>
  <r>
    <s v="ID-1419"/>
    <n v="0"/>
    <x v="0"/>
    <n v="38"/>
    <n v="0"/>
    <n v="0"/>
    <n v="0"/>
    <n v="4"/>
    <n v="0"/>
    <n v="2"/>
    <n v="1"/>
    <n v="2"/>
    <n v="25"/>
    <n v="18"/>
    <n v="1"/>
    <n v="1"/>
    <x v="0"/>
    <n v="0"/>
  </r>
  <r>
    <s v="ID-1420"/>
    <n v="0"/>
    <x v="0"/>
    <n v="38"/>
    <n v="0"/>
    <n v="7383"/>
    <n v="129"/>
    <n v="388"/>
    <n v="46"/>
    <n v="2"/>
    <n v="1"/>
    <n v="1"/>
    <n v="25"/>
    <n v="2084.04"/>
    <n v="0"/>
    <n v="1"/>
    <x v="0"/>
    <n v="28.227549776513612"/>
  </r>
  <r>
    <s v="ID-1421"/>
    <n v="4"/>
    <x v="0"/>
    <n v="38"/>
    <n v="0"/>
    <n v="11340"/>
    <n v="156"/>
    <n v="15"/>
    <n v="50"/>
    <n v="3"/>
    <n v="1"/>
    <n v="1"/>
    <n v="30"/>
    <n v="519.84"/>
    <n v="0"/>
    <n v="4"/>
    <x v="1"/>
    <n v="4.5841269841269838"/>
  </r>
  <r>
    <s v="ID-1422"/>
    <n v="5"/>
    <x v="0"/>
    <n v="38"/>
    <n v="0"/>
    <n v="6593"/>
    <n v="77"/>
    <n v="112"/>
    <n v="40"/>
    <n v="2"/>
    <n v="1"/>
    <n v="1"/>
    <n v="25"/>
    <n v="804.15"/>
    <n v="0"/>
    <n v="1"/>
    <x v="0"/>
    <n v="12.197027150007584"/>
  </r>
  <r>
    <s v="ID-1423"/>
    <n v="20"/>
    <x v="1"/>
    <n v="34"/>
    <n v="0"/>
    <n v="830"/>
    <n v="49"/>
    <n v="20"/>
    <n v="20"/>
    <n v="2"/>
    <n v="1"/>
    <n v="2"/>
    <n v="25"/>
    <n v="129.55500000000001"/>
    <n v="1"/>
    <n v="5"/>
    <x v="1"/>
    <n v="15.609036144578315"/>
  </r>
  <r>
    <s v="ID-1424"/>
    <n v="18"/>
    <x v="0"/>
    <n v="37"/>
    <n v="7"/>
    <n v="10310"/>
    <n v="95"/>
    <n v="5"/>
    <n v="45"/>
    <n v="4"/>
    <n v="2"/>
    <n v="1"/>
    <n v="45"/>
    <n v="272.625"/>
    <n v="0"/>
    <n v="2"/>
    <x v="0"/>
    <n v="2.6442774005819594"/>
  </r>
  <r>
    <s v="ID-1425"/>
    <n v="10"/>
    <x v="0"/>
    <n v="37"/>
    <n v="0"/>
    <n v="5693"/>
    <n v="100"/>
    <n v="30"/>
    <n v="27"/>
    <n v="2"/>
    <n v="1"/>
    <n v="1"/>
    <n v="25"/>
    <n v="395.685"/>
    <n v="1"/>
    <n v="1"/>
    <x v="0"/>
    <n v="6.9503776567714741"/>
  </r>
  <r>
    <s v="ID-1426"/>
    <n v="0"/>
    <x v="0"/>
    <n v="35"/>
    <n v="0"/>
    <n v="2715"/>
    <n v="24"/>
    <n v="4"/>
    <n v="17"/>
    <n v="3"/>
    <n v="1"/>
    <n v="1"/>
    <n v="30"/>
    <n v="125.56"/>
    <n v="0"/>
    <n v="1"/>
    <x v="0"/>
    <n v="4.6246777163904236"/>
  </r>
  <r>
    <s v="ID-1427"/>
    <n v="6"/>
    <x v="1"/>
    <n v="36"/>
    <n v="0"/>
    <n v="2865"/>
    <n v="43"/>
    <n v="13"/>
    <n v="19"/>
    <n v="2"/>
    <n v="1"/>
    <n v="2"/>
    <n v="25"/>
    <n v="189.36"/>
    <n v="1"/>
    <n v="3"/>
    <x v="1"/>
    <n v="6.6094240837696345"/>
  </r>
  <r>
    <s v="ID-1428"/>
    <n v="6"/>
    <x v="1"/>
    <n v="37"/>
    <n v="0"/>
    <n v="2143"/>
    <n v="46"/>
    <n v="38"/>
    <n v="34"/>
    <n v="3"/>
    <n v="1"/>
    <n v="2"/>
    <n v="30"/>
    <n v="239.56"/>
    <n v="1"/>
    <n v="3"/>
    <x v="1"/>
    <n v="11.178721418572096"/>
  </r>
  <r>
    <s v="ID-1429"/>
    <n v="0"/>
    <x v="0"/>
    <n v="37"/>
    <n v="0"/>
    <n v="8"/>
    <n v="4"/>
    <n v="4"/>
    <n v="5"/>
    <n v="3"/>
    <n v="1"/>
    <n v="2"/>
    <n v="30"/>
    <n v="16.48"/>
    <n v="1"/>
    <n v="1"/>
    <x v="0"/>
    <n v="206"/>
  </r>
  <r>
    <s v="ID-1430"/>
    <n v="0"/>
    <x v="0"/>
    <n v="37"/>
    <n v="0"/>
    <n v="1543"/>
    <n v="27"/>
    <n v="4"/>
    <n v="9"/>
    <n v="3"/>
    <n v="1"/>
    <n v="1"/>
    <n v="30"/>
    <n v="78.8"/>
    <n v="0"/>
    <n v="1"/>
    <x v="0"/>
    <n v="5.1069345430978608"/>
  </r>
  <r>
    <s v="ID-1431"/>
    <n v="0"/>
    <x v="0"/>
    <n v="34"/>
    <n v="0"/>
    <n v="6660"/>
    <n v="99"/>
    <n v="18"/>
    <n v="25"/>
    <n v="4"/>
    <n v="1"/>
    <n v="1"/>
    <n v="45"/>
    <n v="213.97499999999999"/>
    <n v="0"/>
    <n v="1"/>
    <x v="0"/>
    <n v="3.2128378378378377"/>
  </r>
  <r>
    <s v="ID-1432"/>
    <n v="0"/>
    <x v="1"/>
    <n v="37"/>
    <n v="0"/>
    <n v="503"/>
    <n v="9"/>
    <n v="13"/>
    <n v="7"/>
    <n v="4"/>
    <n v="1"/>
    <n v="2"/>
    <n v="45"/>
    <n v="45.3"/>
    <n v="1"/>
    <n v="3"/>
    <x v="1"/>
    <n v="9.005964214711728"/>
  </r>
  <r>
    <s v="ID-1433"/>
    <n v="0"/>
    <x v="0"/>
    <n v="37"/>
    <n v="0"/>
    <n v="213"/>
    <n v="6"/>
    <n v="8"/>
    <n v="5"/>
    <n v="5"/>
    <n v="1"/>
    <n v="1"/>
    <n v="55"/>
    <n v="15.285"/>
    <n v="0"/>
    <n v="1"/>
    <x v="0"/>
    <n v="7.1760563380281699"/>
  </r>
  <r>
    <s v="ID-1434"/>
    <n v="22"/>
    <x v="0"/>
    <n v="32"/>
    <n v="2"/>
    <n v="15950"/>
    <n v="240"/>
    <n v="4"/>
    <n v="83"/>
    <n v="2"/>
    <n v="1"/>
    <n v="1"/>
    <n v="25"/>
    <n v="746.55"/>
    <n v="0"/>
    <n v="5"/>
    <x v="1"/>
    <n v="4.6805642633228839"/>
  </r>
  <r>
    <s v="ID-1435"/>
    <n v="3"/>
    <x v="0"/>
    <n v="35"/>
    <n v="2"/>
    <n v="6840"/>
    <n v="118"/>
    <n v="275"/>
    <n v="36"/>
    <n v="2"/>
    <n v="2"/>
    <n v="1"/>
    <n v="25"/>
    <n v="1550.61"/>
    <n v="0"/>
    <n v="0"/>
    <x v="0"/>
    <n v="22.669736842105262"/>
  </r>
  <r>
    <s v="ID-1436"/>
    <n v="0"/>
    <x v="0"/>
    <n v="37"/>
    <n v="0"/>
    <n v="3593"/>
    <n v="84"/>
    <n v="6"/>
    <n v="31"/>
    <n v="2"/>
    <n v="1"/>
    <n v="1"/>
    <n v="25"/>
    <n v="192.465"/>
    <n v="0"/>
    <n v="1"/>
    <x v="0"/>
    <n v="5.3566657389368215"/>
  </r>
  <r>
    <s v="ID-1437"/>
    <n v="0"/>
    <x v="0"/>
    <n v="36"/>
    <n v="0"/>
    <n v="1540"/>
    <n v="46"/>
    <n v="42"/>
    <n v="23"/>
    <n v="3"/>
    <n v="1"/>
    <n v="2"/>
    <n v="30"/>
    <n v="231.44"/>
    <n v="0"/>
    <n v="1"/>
    <x v="0"/>
    <n v="15.028571428571427"/>
  </r>
  <r>
    <s v="ID-1438"/>
    <n v="3"/>
    <x v="0"/>
    <n v="37"/>
    <n v="0"/>
    <n v="2655"/>
    <n v="55"/>
    <n v="179"/>
    <n v="26"/>
    <n v="2"/>
    <n v="1"/>
    <n v="1"/>
    <n v="25"/>
    <n v="927.45"/>
    <n v="0"/>
    <n v="1"/>
    <x v="0"/>
    <n v="34.932203389830512"/>
  </r>
  <r>
    <s v="ID-1439"/>
    <n v="1"/>
    <x v="0"/>
    <n v="28"/>
    <n v="0"/>
    <n v="1190"/>
    <n v="38"/>
    <n v="197"/>
    <n v="14"/>
    <n v="2"/>
    <n v="2"/>
    <n v="1"/>
    <n v="25"/>
    <n v="941.76"/>
    <n v="0"/>
    <n v="1"/>
    <x v="0"/>
    <n v="79.139495798319331"/>
  </r>
  <r>
    <s v="ID-1440"/>
    <n v="1"/>
    <x v="0"/>
    <n v="27"/>
    <n v="0"/>
    <n v="1443"/>
    <n v="41"/>
    <n v="34"/>
    <n v="71"/>
    <n v="4"/>
    <n v="1"/>
    <n v="1"/>
    <n v="45"/>
    <n v="122.1"/>
    <n v="0"/>
    <n v="2"/>
    <x v="0"/>
    <n v="8.4615384615384599"/>
  </r>
  <r>
    <s v="ID-1441"/>
    <n v="8"/>
    <x v="0"/>
    <n v="28"/>
    <n v="0"/>
    <n v="575"/>
    <n v="27"/>
    <n v="14"/>
    <n v="10"/>
    <n v="2"/>
    <n v="1"/>
    <n v="2"/>
    <n v="25"/>
    <n v="90.09"/>
    <n v="0"/>
    <n v="1"/>
    <x v="0"/>
    <n v="15.667826086956522"/>
  </r>
  <r>
    <s v="ID-1442"/>
    <n v="0"/>
    <x v="0"/>
    <n v="27"/>
    <n v="0"/>
    <n v="700"/>
    <n v="12"/>
    <n v="25"/>
    <n v="6"/>
    <n v="4"/>
    <n v="1"/>
    <n v="2"/>
    <n v="45"/>
    <n v="80.3"/>
    <n v="0"/>
    <n v="1"/>
    <x v="0"/>
    <n v="11.471428571428572"/>
  </r>
  <r>
    <s v="ID-1443"/>
    <n v="7"/>
    <x v="0"/>
    <n v="26"/>
    <n v="0"/>
    <n v="1100"/>
    <n v="34"/>
    <n v="23"/>
    <n v="16"/>
    <n v="2"/>
    <n v="1"/>
    <n v="1"/>
    <n v="25"/>
    <n v="154.53"/>
    <n v="0"/>
    <n v="1"/>
    <x v="0"/>
    <n v="14.048181818181819"/>
  </r>
  <r>
    <s v="ID-1444"/>
    <n v="0"/>
    <x v="0"/>
    <n v="26"/>
    <n v="0"/>
    <n v="3100"/>
    <n v="63"/>
    <n v="12"/>
    <n v="26"/>
    <n v="3"/>
    <n v="1"/>
    <n v="1"/>
    <n v="30"/>
    <n v="174.52"/>
    <n v="0"/>
    <n v="1"/>
    <x v="0"/>
    <n v="5.6296774193548398"/>
  </r>
  <r>
    <s v="ID-1445"/>
    <n v="0"/>
    <x v="0"/>
    <n v="19"/>
    <n v="0"/>
    <n v="1570"/>
    <n v="28"/>
    <n v="32"/>
    <n v="17"/>
    <n v="2"/>
    <n v="1"/>
    <n v="1"/>
    <n v="25"/>
    <n v="215.91"/>
    <n v="0"/>
    <n v="1"/>
    <x v="0"/>
    <n v="13.752229299363059"/>
  </r>
  <r>
    <s v="ID-1446"/>
    <n v="13"/>
    <x v="0"/>
    <n v="18"/>
    <n v="0"/>
    <n v="6268"/>
    <n v="143"/>
    <n v="89"/>
    <n v="45"/>
    <n v="1"/>
    <n v="2"/>
    <n v="1"/>
    <n v="15"/>
    <n v="842.10500000000002"/>
    <n v="0"/>
    <n v="5"/>
    <x v="1"/>
    <n v="13.434987236758136"/>
  </r>
  <r>
    <s v="ID-1447"/>
    <n v="9"/>
    <x v="0"/>
    <n v="16"/>
    <n v="0"/>
    <n v="8808"/>
    <n v="173"/>
    <n v="77"/>
    <n v="43"/>
    <n v="4"/>
    <n v="1"/>
    <n v="1"/>
    <n v="45"/>
    <n v="417.02499999999998"/>
    <n v="0"/>
    <n v="3"/>
    <x v="1"/>
    <n v="4.7346162579473203"/>
  </r>
  <r>
    <s v="ID-1448"/>
    <n v="5"/>
    <x v="0"/>
    <n v="17"/>
    <n v="2"/>
    <n v="2728"/>
    <n v="47"/>
    <n v="35"/>
    <n v="22"/>
    <n v="3"/>
    <n v="1"/>
    <n v="1"/>
    <n v="30"/>
    <n v="251"/>
    <n v="0"/>
    <n v="0"/>
    <x v="0"/>
    <n v="9.2008797653958947"/>
  </r>
  <r>
    <s v="ID-1449"/>
    <n v="0"/>
    <x v="0"/>
    <n v="10"/>
    <n v="0"/>
    <n v="4265"/>
    <n v="42"/>
    <n v="219"/>
    <n v="13"/>
    <n v="3"/>
    <n v="1"/>
    <n v="1"/>
    <n v="30"/>
    <n v="1048.28"/>
    <n v="0"/>
    <n v="1"/>
    <x v="0"/>
    <n v="24.578663540445486"/>
  </r>
  <r>
    <s v="ID-1450"/>
    <n v="0"/>
    <x v="1"/>
    <n v="10"/>
    <n v="0"/>
    <n v="1363"/>
    <n v="21"/>
    <n v="4"/>
    <n v="10"/>
    <n v="2"/>
    <n v="1"/>
    <n v="1"/>
    <n v="25"/>
    <n v="80.28"/>
    <n v="1"/>
    <n v="3"/>
    <x v="1"/>
    <n v="5.8899486426999275"/>
  </r>
  <r>
    <s v="ID-1451"/>
    <n v="1"/>
    <x v="0"/>
    <n v="33"/>
    <n v="0"/>
    <n v="3885"/>
    <n v="57"/>
    <n v="0"/>
    <n v="10"/>
    <n v="2"/>
    <n v="1"/>
    <n v="1"/>
    <n v="25"/>
    <n v="177.39"/>
    <n v="0"/>
    <n v="1"/>
    <x v="0"/>
    <n v="4.5660231660231654"/>
  </r>
  <r>
    <s v="ID-1452"/>
    <n v="0"/>
    <x v="0"/>
    <n v="34"/>
    <n v="0"/>
    <n v="0"/>
    <n v="0"/>
    <n v="0"/>
    <n v="0"/>
    <n v="2"/>
    <n v="1"/>
    <n v="2"/>
    <n v="25"/>
    <n v="0"/>
    <n v="0"/>
    <n v="1"/>
    <x v="0"/>
    <n v="0"/>
  </r>
  <r>
    <s v="ID-1453"/>
    <n v="3"/>
    <x v="0"/>
    <n v="32"/>
    <n v="0"/>
    <n v="1968"/>
    <n v="46"/>
    <n v="341"/>
    <n v="17"/>
    <n v="2"/>
    <n v="1"/>
    <n v="1"/>
    <n v="25"/>
    <n v="1625.13"/>
    <n v="0"/>
    <n v="1"/>
    <x v="0"/>
    <n v="82.577743902439025"/>
  </r>
  <r>
    <s v="ID-1454"/>
    <n v="3"/>
    <x v="0"/>
    <n v="33"/>
    <n v="0"/>
    <n v="3713"/>
    <n v="52"/>
    <n v="0"/>
    <n v="28"/>
    <n v="1"/>
    <n v="1"/>
    <n v="1"/>
    <n v="15"/>
    <n v="207.07499999999999"/>
    <n v="0"/>
    <n v="1"/>
    <x v="0"/>
    <n v="5.5770266630756797"/>
  </r>
  <r>
    <s v="ID-1455"/>
    <n v="0"/>
    <x v="0"/>
    <n v="33"/>
    <n v="0"/>
    <n v="1908"/>
    <n v="44"/>
    <n v="0"/>
    <n v="26"/>
    <n v="1"/>
    <n v="1"/>
    <n v="1"/>
    <n v="15"/>
    <n v="107.36"/>
    <n v="0"/>
    <n v="1"/>
    <x v="0"/>
    <n v="5.6268343815513626"/>
  </r>
  <r>
    <s v="ID-1456"/>
    <n v="4"/>
    <x v="0"/>
    <n v="33"/>
    <n v="0"/>
    <n v="3290"/>
    <n v="68"/>
    <n v="14"/>
    <n v="21"/>
    <n v="2"/>
    <n v="1"/>
    <n v="1"/>
    <n v="25"/>
    <n v="214.11"/>
    <n v="0"/>
    <n v="1"/>
    <x v="0"/>
    <n v="6.5079027355623094"/>
  </r>
  <r>
    <s v="ID-1457"/>
    <n v="0"/>
    <x v="0"/>
    <n v="33"/>
    <n v="0"/>
    <n v="1875"/>
    <n v="25"/>
    <n v="267"/>
    <n v="11"/>
    <n v="3"/>
    <n v="1"/>
    <n v="1"/>
    <n v="30"/>
    <n v="1144"/>
    <n v="0"/>
    <n v="1"/>
    <x v="0"/>
    <n v="61.013333333333328"/>
  </r>
  <r>
    <s v="ID-1458"/>
    <n v="6"/>
    <x v="0"/>
    <n v="32"/>
    <n v="1"/>
    <n v="8630"/>
    <n v="107"/>
    <n v="126"/>
    <n v="36"/>
    <n v="3"/>
    <n v="1"/>
    <n v="1"/>
    <n v="30"/>
    <n v="853.48"/>
    <n v="0"/>
    <n v="0"/>
    <x v="0"/>
    <n v="9.8896871378910767"/>
  </r>
  <r>
    <s v="ID-1459"/>
    <n v="0"/>
    <x v="0"/>
    <n v="33"/>
    <n v="0"/>
    <n v="13288"/>
    <n v="155"/>
    <n v="0"/>
    <n v="37"/>
    <n v="3"/>
    <n v="1"/>
    <n v="1"/>
    <n v="30"/>
    <n v="537.72"/>
    <n v="0"/>
    <n v="3"/>
    <x v="1"/>
    <n v="4.046658639373871"/>
  </r>
  <r>
    <s v="ID-1460"/>
    <n v="0"/>
    <x v="0"/>
    <n v="33"/>
    <n v="0"/>
    <n v="4030"/>
    <n v="69"/>
    <n v="0"/>
    <n v="18"/>
    <n v="3"/>
    <n v="1"/>
    <n v="1"/>
    <n v="30"/>
    <n v="163.96"/>
    <n v="0"/>
    <n v="1"/>
    <x v="0"/>
    <n v="4.0684863523573203"/>
  </r>
  <r>
    <s v="ID-1461"/>
    <n v="0"/>
    <x v="0"/>
    <n v="33"/>
    <n v="0"/>
    <n v="5433"/>
    <n v="81"/>
    <n v="0"/>
    <n v="5"/>
    <n v="2"/>
    <n v="1"/>
    <n v="1"/>
    <n v="25"/>
    <n v="248.13"/>
    <n v="0"/>
    <n v="1"/>
    <x v="0"/>
    <n v="4.5670900055218109"/>
  </r>
  <r>
    <s v="ID-1462"/>
    <n v="2"/>
    <x v="0"/>
    <n v="33"/>
    <n v="0"/>
    <n v="1753"/>
    <n v="40"/>
    <n v="0"/>
    <n v="10"/>
    <n v="3"/>
    <n v="1"/>
    <n v="2"/>
    <n v="30"/>
    <n v="71.72"/>
    <n v="0"/>
    <n v="1"/>
    <x v="0"/>
    <n v="4.091272104962921"/>
  </r>
  <r>
    <s v="ID-1463"/>
    <n v="18"/>
    <x v="0"/>
    <n v="33"/>
    <n v="2"/>
    <n v="14655"/>
    <n v="211"/>
    <n v="36"/>
    <n v="25"/>
    <n v="3"/>
    <n v="1"/>
    <n v="1"/>
    <n v="30"/>
    <n v="738.64"/>
    <n v="0"/>
    <n v="4"/>
    <x v="1"/>
    <n v="5.0401910610713063"/>
  </r>
  <r>
    <s v="ID-1464"/>
    <n v="0"/>
    <x v="0"/>
    <n v="33"/>
    <n v="0"/>
    <n v="2610"/>
    <n v="13"/>
    <n v="465"/>
    <n v="1"/>
    <n v="3"/>
    <n v="1"/>
    <n v="1"/>
    <n v="30"/>
    <n v="1964.92"/>
    <n v="0"/>
    <n v="1"/>
    <x v="0"/>
    <n v="75.28429118773947"/>
  </r>
  <r>
    <s v="ID-1465"/>
    <n v="2"/>
    <x v="0"/>
    <n v="32"/>
    <n v="0"/>
    <n v="15000"/>
    <n v="168"/>
    <n v="132"/>
    <n v="23"/>
    <n v="2"/>
    <n v="1"/>
    <n v="1"/>
    <n v="25"/>
    <n v="1276.56"/>
    <n v="0"/>
    <n v="3"/>
    <x v="1"/>
    <n v="8.5104000000000006"/>
  </r>
  <r>
    <s v="ID-1466"/>
    <n v="0"/>
    <x v="0"/>
    <n v="32"/>
    <n v="0"/>
    <n v="6015"/>
    <n v="72"/>
    <n v="168"/>
    <n v="19"/>
    <n v="3"/>
    <n v="1"/>
    <n v="1"/>
    <n v="30"/>
    <n v="915.48"/>
    <n v="0"/>
    <n v="1"/>
    <x v="0"/>
    <n v="15.21995012468828"/>
  </r>
  <r>
    <s v="ID-1467"/>
    <n v="0"/>
    <x v="0"/>
    <n v="32"/>
    <n v="0"/>
    <n v="0"/>
    <n v="0"/>
    <n v="0"/>
    <n v="0"/>
    <n v="2"/>
    <n v="1"/>
    <n v="2"/>
    <n v="25"/>
    <n v="0"/>
    <n v="0"/>
    <n v="1"/>
    <x v="0"/>
    <n v="0"/>
  </r>
  <r>
    <s v="ID-1468"/>
    <n v="0"/>
    <x v="0"/>
    <n v="33"/>
    <n v="0"/>
    <n v="0"/>
    <n v="0"/>
    <n v="0"/>
    <n v="0"/>
    <n v="2"/>
    <n v="1"/>
    <n v="2"/>
    <n v="25"/>
    <n v="0"/>
    <n v="0"/>
    <n v="1"/>
    <x v="0"/>
    <n v="0"/>
  </r>
  <r>
    <s v="ID-1469"/>
    <n v="0"/>
    <x v="0"/>
    <n v="32"/>
    <n v="0"/>
    <n v="0"/>
    <n v="0"/>
    <n v="0"/>
    <n v="0"/>
    <n v="2"/>
    <n v="1"/>
    <n v="2"/>
    <n v="25"/>
    <n v="0"/>
    <n v="1"/>
    <n v="1"/>
    <x v="0"/>
    <n v="0"/>
  </r>
  <r>
    <s v="ID-1470"/>
    <n v="0"/>
    <x v="0"/>
    <n v="32"/>
    <n v="0"/>
    <n v="7023"/>
    <n v="113"/>
    <n v="366"/>
    <n v="36"/>
    <n v="2"/>
    <n v="1"/>
    <n v="1"/>
    <n v="25"/>
    <n v="1968.12"/>
    <n v="0"/>
    <n v="1"/>
    <x v="0"/>
    <n v="28.023921401110634"/>
  </r>
  <r>
    <s v="ID-1471"/>
    <n v="0"/>
    <x v="0"/>
    <n v="32"/>
    <n v="0"/>
    <n v="10980"/>
    <n v="140"/>
    <n v="0"/>
    <n v="40"/>
    <n v="3"/>
    <n v="1"/>
    <n v="1"/>
    <n v="30"/>
    <n v="444.8"/>
    <n v="0"/>
    <n v="3"/>
    <x v="1"/>
    <n v="4.0510018214936254"/>
  </r>
  <r>
    <s v="ID-1472"/>
    <n v="1"/>
    <x v="0"/>
    <n v="32"/>
    <n v="0"/>
    <n v="6233"/>
    <n v="61"/>
    <n v="90"/>
    <n v="30"/>
    <n v="2"/>
    <n v="1"/>
    <n v="1"/>
    <n v="25"/>
    <n v="688.23"/>
    <n v="0"/>
    <n v="1"/>
    <x v="0"/>
    <n v="11.041713460612868"/>
  </r>
  <r>
    <s v="ID-1473"/>
    <n v="16"/>
    <x v="0"/>
    <n v="28"/>
    <n v="0"/>
    <n v="470"/>
    <n v="33"/>
    <n v="0"/>
    <n v="10"/>
    <n v="2"/>
    <n v="1"/>
    <n v="2"/>
    <n v="25"/>
    <n v="22.635000000000002"/>
    <n v="1"/>
    <n v="3"/>
    <x v="1"/>
    <n v="4.8159574468085111"/>
  </r>
  <r>
    <s v="ID-1474"/>
    <n v="14"/>
    <x v="0"/>
    <n v="31"/>
    <n v="7"/>
    <n v="9950"/>
    <n v="79"/>
    <n v="0"/>
    <n v="35"/>
    <n v="4"/>
    <n v="1"/>
    <n v="1"/>
    <n v="45"/>
    <n v="250.72499999999999"/>
    <n v="0"/>
    <n v="2"/>
    <x v="0"/>
    <n v="2.5198492462311557"/>
  </r>
  <r>
    <s v="ID-1475"/>
    <n v="6"/>
    <x v="1"/>
    <n v="31"/>
    <n v="0"/>
    <n v="5333"/>
    <n v="84"/>
    <n v="8"/>
    <n v="17"/>
    <n v="2"/>
    <n v="1"/>
    <n v="1"/>
    <n v="25"/>
    <n v="279.76499999999999"/>
    <n v="1"/>
    <n v="3"/>
    <x v="1"/>
    <n v="5.2459216201012566"/>
  </r>
  <r>
    <s v="ID-1476"/>
    <n v="0"/>
    <x v="0"/>
    <n v="29"/>
    <n v="0"/>
    <n v="2355"/>
    <n v="8"/>
    <n v="0"/>
    <n v="7"/>
    <n v="3"/>
    <n v="1"/>
    <n v="1"/>
    <n v="30"/>
    <n v="94.52"/>
    <n v="0"/>
    <n v="1"/>
    <x v="0"/>
    <n v="4.013588110403397"/>
  </r>
  <r>
    <s v="ID-1477"/>
    <n v="2"/>
    <x v="1"/>
    <n v="30"/>
    <n v="0"/>
    <n v="2505"/>
    <n v="27"/>
    <n v="0"/>
    <n v="9"/>
    <n v="2"/>
    <n v="1"/>
    <n v="2"/>
    <n v="25"/>
    <n v="113.94"/>
    <n v="1"/>
    <n v="3"/>
    <x v="1"/>
    <n v="4.5485029940119759"/>
  </r>
  <r>
    <s v="ID-1478"/>
    <n v="2"/>
    <x v="0"/>
    <n v="31"/>
    <n v="0"/>
    <n v="1783"/>
    <n v="30"/>
    <n v="16"/>
    <n v="24"/>
    <n v="3"/>
    <n v="1"/>
    <n v="2"/>
    <n v="30"/>
    <n v="136.52000000000001"/>
    <n v="1"/>
    <n v="1"/>
    <x v="0"/>
    <n v="7.6567582725743142"/>
  </r>
  <r>
    <s v="ID-1479"/>
    <n v="0"/>
    <x v="0"/>
    <n v="31"/>
    <n v="0"/>
    <n v="0"/>
    <n v="0"/>
    <n v="0"/>
    <n v="0"/>
    <n v="3"/>
    <n v="1"/>
    <n v="2"/>
    <n v="30"/>
    <n v="0"/>
    <n v="1"/>
    <n v="1"/>
    <x v="0"/>
    <n v="0"/>
  </r>
  <r>
    <s v="ID-1480"/>
    <n v="0"/>
    <x v="0"/>
    <n v="31"/>
    <n v="0"/>
    <n v="0"/>
    <n v="0"/>
    <n v="0"/>
    <n v="0"/>
    <n v="3"/>
    <n v="1"/>
    <n v="1"/>
    <n v="30"/>
    <n v="0"/>
    <n v="0"/>
    <n v="1"/>
    <x v="0"/>
    <n v="0"/>
  </r>
  <r>
    <s v="ID-1481"/>
    <n v="0"/>
    <x v="0"/>
    <n v="28"/>
    <n v="0"/>
    <n v="6300"/>
    <n v="83"/>
    <n v="0"/>
    <n v="15"/>
    <n v="4"/>
    <n v="1"/>
    <n v="1"/>
    <n v="45"/>
    <n v="159.57499999999999"/>
    <n v="0"/>
    <n v="1"/>
    <x v="0"/>
    <n v="2.5329365079365078"/>
  </r>
  <r>
    <s v="ID-1482"/>
    <n v="0"/>
    <x v="0"/>
    <n v="31"/>
    <n v="0"/>
    <n v="0"/>
    <n v="0"/>
    <n v="0"/>
    <n v="0"/>
    <n v="4"/>
    <n v="1"/>
    <n v="2"/>
    <n v="45"/>
    <n v="0"/>
    <n v="1"/>
    <n v="1"/>
    <x v="0"/>
    <n v="0"/>
  </r>
  <r>
    <s v="ID-1483"/>
    <n v="0"/>
    <x v="0"/>
    <n v="31"/>
    <n v="0"/>
    <n v="0"/>
    <n v="0"/>
    <n v="0"/>
    <n v="0"/>
    <n v="5"/>
    <n v="1"/>
    <n v="1"/>
    <n v="55"/>
    <n v="0"/>
    <n v="0"/>
    <n v="1"/>
    <x v="0"/>
    <n v="0"/>
  </r>
  <r>
    <s v="ID-1484"/>
    <n v="18"/>
    <x v="0"/>
    <n v="26"/>
    <n v="2"/>
    <n v="15590"/>
    <n v="224"/>
    <n v="0"/>
    <n v="73"/>
    <n v="2"/>
    <n v="1"/>
    <n v="1"/>
    <n v="25"/>
    <n v="711.63"/>
    <n v="0"/>
    <n v="5"/>
    <x v="1"/>
    <n v="4.5646568313021172"/>
  </r>
  <r>
    <s v="ID-1485"/>
    <n v="0"/>
    <x v="0"/>
    <n v="29"/>
    <n v="2"/>
    <n v="6480"/>
    <n v="102"/>
    <n v="253"/>
    <n v="26"/>
    <n v="2"/>
    <n v="2"/>
    <n v="1"/>
    <n v="25"/>
    <n v="1434.69"/>
    <n v="0"/>
    <n v="0"/>
    <x v="0"/>
    <n v="22.140277777777779"/>
  </r>
  <r>
    <s v="ID-1486"/>
    <n v="0"/>
    <x v="0"/>
    <n v="31"/>
    <n v="0"/>
    <n v="3233"/>
    <n v="68"/>
    <n v="0"/>
    <n v="21"/>
    <n v="2"/>
    <n v="1"/>
    <n v="1"/>
    <n v="25"/>
    <n v="148.54499999999999"/>
    <n v="0"/>
    <n v="1"/>
    <x v="0"/>
    <n v="4.5946489328796778"/>
  </r>
  <r>
    <s v="ID-1487"/>
    <n v="0"/>
    <x v="0"/>
    <n v="30"/>
    <n v="0"/>
    <n v="1180"/>
    <n v="30"/>
    <n v="20"/>
    <n v="13"/>
    <n v="3"/>
    <n v="1"/>
    <n v="2"/>
    <n v="30"/>
    <n v="128.4"/>
    <n v="0"/>
    <n v="1"/>
    <x v="0"/>
    <n v="10.881355932203391"/>
  </r>
  <r>
    <s v="ID-1488"/>
    <n v="0"/>
    <x v="0"/>
    <n v="31"/>
    <n v="0"/>
    <n v="2295"/>
    <n v="39"/>
    <n v="157"/>
    <n v="16"/>
    <n v="2"/>
    <n v="1"/>
    <n v="1"/>
    <n v="25"/>
    <n v="811.53"/>
    <n v="0"/>
    <n v="1"/>
    <x v="0"/>
    <n v="35.360784313725489"/>
  </r>
  <r>
    <s v="ID-1489"/>
    <n v="0"/>
    <x v="0"/>
    <n v="22"/>
    <n v="0"/>
    <n v="830"/>
    <n v="22"/>
    <n v="175"/>
    <n v="4"/>
    <n v="2"/>
    <n v="2"/>
    <n v="1"/>
    <n v="25"/>
    <n v="825.84"/>
    <n v="0"/>
    <n v="1"/>
    <x v="0"/>
    <n v="99.498795180722894"/>
  </r>
  <r>
    <s v="ID-1490"/>
    <n v="0"/>
    <x v="0"/>
    <n v="21"/>
    <n v="0"/>
    <n v="1083"/>
    <n v="25"/>
    <n v="12"/>
    <n v="61"/>
    <n v="4"/>
    <n v="1"/>
    <n v="1"/>
    <n v="45"/>
    <n v="57.7"/>
    <n v="0"/>
    <n v="2"/>
    <x v="0"/>
    <n v="5.3277931671283474"/>
  </r>
  <r>
    <s v="ID-1491"/>
    <n v="4"/>
    <x v="0"/>
    <n v="22"/>
    <n v="0"/>
    <n v="215"/>
    <n v="11"/>
    <n v="0"/>
    <n v="3"/>
    <n v="2"/>
    <n v="1"/>
    <n v="2"/>
    <n v="25"/>
    <n v="10.17"/>
    <n v="0"/>
    <n v="1"/>
    <x v="0"/>
    <n v="4.7302325581395346"/>
  </r>
  <r>
    <s v="ID-1492"/>
    <n v="0"/>
    <x v="0"/>
    <n v="21"/>
    <n v="0"/>
    <n v="0"/>
    <n v="0"/>
    <n v="3"/>
    <n v="0"/>
    <n v="4"/>
    <n v="1"/>
    <n v="2"/>
    <n v="45"/>
    <n v="7.5"/>
    <n v="0"/>
    <n v="1"/>
    <x v="0"/>
    <n v="0"/>
  </r>
  <r>
    <s v="ID-1493"/>
    <n v="3"/>
    <x v="0"/>
    <n v="20"/>
    <n v="0"/>
    <n v="740"/>
    <n v="18"/>
    <n v="1"/>
    <n v="6"/>
    <n v="2"/>
    <n v="1"/>
    <n v="1"/>
    <n v="25"/>
    <n v="38.61"/>
    <n v="0"/>
    <n v="1"/>
    <x v="0"/>
    <n v="5.217567567567567"/>
  </r>
  <r>
    <s v="ID-1494"/>
    <n v="0"/>
    <x v="0"/>
    <n v="20"/>
    <n v="0"/>
    <n v="2740"/>
    <n v="47"/>
    <n v="0"/>
    <n v="16"/>
    <n v="3"/>
    <n v="1"/>
    <n v="1"/>
    <n v="30"/>
    <n v="111.48"/>
    <n v="0"/>
    <n v="1"/>
    <x v="0"/>
    <n v="4.0686131386861311"/>
  </r>
  <r>
    <s v="ID-1495"/>
    <n v="0"/>
    <x v="0"/>
    <n v="13"/>
    <n v="0"/>
    <n v="1210"/>
    <n v="12"/>
    <n v="10"/>
    <n v="7"/>
    <n v="2"/>
    <n v="1"/>
    <n v="1"/>
    <n v="25"/>
    <n v="99.99"/>
    <n v="0"/>
    <n v="1"/>
    <x v="0"/>
    <n v="8.2636363636363637"/>
  </r>
  <r>
    <s v="ID-1496"/>
    <n v="9"/>
    <x v="0"/>
    <n v="12"/>
    <n v="0"/>
    <n v="5908"/>
    <n v="127"/>
    <n v="67"/>
    <n v="35"/>
    <n v="1"/>
    <n v="2"/>
    <n v="1"/>
    <n v="15"/>
    <n v="700.42499999999995"/>
    <n v="0"/>
    <n v="1"/>
    <x v="0"/>
    <n v="11.855534867975626"/>
  </r>
  <r>
    <s v="ID-1497"/>
    <n v="5"/>
    <x v="0"/>
    <n v="10"/>
    <n v="0"/>
    <n v="8448"/>
    <n v="157"/>
    <n v="55"/>
    <n v="33"/>
    <n v="4"/>
    <n v="1"/>
    <n v="1"/>
    <n v="45"/>
    <n v="352.625"/>
    <n v="0"/>
    <n v="3"/>
    <x v="1"/>
    <n v="4.1740648674242422"/>
  </r>
  <r>
    <s v="ID-1498"/>
    <n v="1"/>
    <x v="0"/>
    <n v="11"/>
    <n v="2"/>
    <n v="2368"/>
    <n v="31"/>
    <n v="13"/>
    <n v="12"/>
    <n v="3"/>
    <n v="1"/>
    <n v="1"/>
    <n v="30"/>
    <n v="147.96"/>
    <n v="0"/>
    <n v="0"/>
    <x v="0"/>
    <n v="6.2483108108108105"/>
  </r>
  <r>
    <s v="ID-1499"/>
    <n v="0"/>
    <x v="0"/>
    <n v="4"/>
    <n v="0"/>
    <n v="3905"/>
    <n v="26"/>
    <n v="197"/>
    <n v="3"/>
    <n v="3"/>
    <n v="1"/>
    <n v="1"/>
    <n v="30"/>
    <n v="945.24"/>
    <n v="0"/>
    <n v="1"/>
    <x v="0"/>
    <n v="24.205889884763124"/>
  </r>
  <r>
    <s v="ID-1500"/>
    <n v="0"/>
    <x v="0"/>
    <n v="4"/>
    <n v="0"/>
    <n v="1003"/>
    <n v="5"/>
    <n v="0"/>
    <n v="4"/>
    <n v="2"/>
    <n v="1"/>
    <n v="1"/>
    <n v="25"/>
    <n v="45.36"/>
    <n v="1"/>
    <n v="1"/>
    <x v="0"/>
    <n v="4.5224327018943171"/>
  </r>
  <r>
    <s v="ID-1501"/>
    <n v="7"/>
    <x v="0"/>
    <n v="36"/>
    <n v="1"/>
    <n v="4665"/>
    <n v="75"/>
    <n v="19"/>
    <n v="30"/>
    <n v="2"/>
    <n v="1"/>
    <n v="1"/>
    <n v="25"/>
    <n v="298.8"/>
    <n v="0"/>
    <n v="0"/>
    <x v="0"/>
    <n v="6.4051446945337629"/>
  </r>
  <r>
    <s v="ID-1502"/>
    <n v="0"/>
    <x v="0"/>
    <n v="37"/>
    <n v="0"/>
    <n v="613"/>
    <n v="9"/>
    <n v="21"/>
    <n v="17"/>
    <n v="2"/>
    <n v="1"/>
    <n v="2"/>
    <n v="25"/>
    <n v="122.49"/>
    <n v="0"/>
    <n v="1"/>
    <x v="0"/>
    <n v="19.982055464926589"/>
  </r>
  <r>
    <s v="ID-1503"/>
    <n v="9"/>
    <x v="0"/>
    <n v="35"/>
    <n v="1"/>
    <n v="2748"/>
    <n v="64"/>
    <n v="373"/>
    <n v="37"/>
    <n v="2"/>
    <n v="1"/>
    <n v="1"/>
    <n v="25"/>
    <n v="1805.04"/>
    <n v="0"/>
    <n v="0"/>
    <x v="0"/>
    <n v="65.685589519650662"/>
  </r>
  <r>
    <s v="ID-1504"/>
    <n v="9"/>
    <x v="0"/>
    <n v="36"/>
    <n v="1"/>
    <n v="4493"/>
    <n v="70"/>
    <n v="15"/>
    <n v="48"/>
    <n v="1"/>
    <n v="1"/>
    <n v="1"/>
    <n v="15"/>
    <n v="333.46499999999997"/>
    <n v="0"/>
    <n v="1"/>
    <x v="0"/>
    <n v="7.4218784776318714"/>
  </r>
  <r>
    <s v="ID-1505"/>
    <n v="2"/>
    <x v="0"/>
    <n v="36"/>
    <n v="1"/>
    <n v="2688"/>
    <n v="62"/>
    <n v="16"/>
    <n v="46"/>
    <n v="1"/>
    <n v="1"/>
    <n v="1"/>
    <n v="15"/>
    <n v="239.25"/>
    <n v="0"/>
    <n v="0"/>
    <x v="0"/>
    <n v="8.9006696428571423"/>
  </r>
  <r>
    <s v="ID-1506"/>
    <n v="10"/>
    <x v="0"/>
    <n v="36"/>
    <n v="2"/>
    <n v="4070"/>
    <n v="86"/>
    <n v="46"/>
    <n v="41"/>
    <n v="3"/>
    <n v="1"/>
    <n v="1"/>
    <n v="30"/>
    <n v="350.24"/>
    <n v="0"/>
    <n v="0"/>
    <x v="0"/>
    <n v="8.6054054054054063"/>
  </r>
  <r>
    <s v="ID-1507"/>
    <n v="3"/>
    <x v="0"/>
    <n v="36"/>
    <n v="1"/>
    <n v="2655"/>
    <n v="43"/>
    <n v="299"/>
    <n v="31"/>
    <n v="3"/>
    <n v="1"/>
    <n v="1"/>
    <n v="30"/>
    <n v="1303.92"/>
    <n v="0"/>
    <n v="0"/>
    <x v="0"/>
    <n v="49.111864406779667"/>
  </r>
  <r>
    <s v="ID-1508"/>
    <n v="12"/>
    <x v="0"/>
    <n v="35"/>
    <n v="3"/>
    <n v="9410"/>
    <n v="125"/>
    <n v="158"/>
    <n v="56"/>
    <n v="3"/>
    <n v="1"/>
    <n v="1"/>
    <n v="30"/>
    <n v="1013.4"/>
    <n v="0"/>
    <n v="3"/>
    <x v="1"/>
    <n v="10.769394261424017"/>
  </r>
  <r>
    <s v="ID-1509"/>
    <n v="6"/>
    <x v="0"/>
    <n v="36"/>
    <n v="1"/>
    <n v="14068"/>
    <n v="173"/>
    <n v="14"/>
    <n v="57"/>
    <n v="3"/>
    <n v="1"/>
    <n v="1"/>
    <n v="30"/>
    <n v="625.64"/>
    <n v="0"/>
    <n v="3"/>
    <x v="1"/>
    <n v="4.447256184247939"/>
  </r>
  <r>
    <s v="ID-1510"/>
    <n v="6"/>
    <x v="0"/>
    <n v="36"/>
    <n v="2"/>
    <n v="4810"/>
    <n v="87"/>
    <n v="16"/>
    <n v="38"/>
    <n v="3"/>
    <n v="1"/>
    <n v="1"/>
    <n v="30"/>
    <n v="259.88"/>
    <n v="0"/>
    <n v="0"/>
    <x v="0"/>
    <n v="5.4029106029106027"/>
  </r>
  <r>
    <s v="ID-1511"/>
    <n v="5"/>
    <x v="0"/>
    <n v="36"/>
    <n v="1"/>
    <n v="6213"/>
    <n v="99"/>
    <n v="21"/>
    <n v="25"/>
    <n v="2"/>
    <n v="1"/>
    <n v="1"/>
    <n v="25"/>
    <n v="378.54"/>
    <n v="0"/>
    <n v="0"/>
    <x v="0"/>
    <n v="6.0927088363109609"/>
  </r>
  <r>
    <s v="ID-1512"/>
    <n v="8"/>
    <x v="0"/>
    <n v="36"/>
    <n v="0"/>
    <n v="2533"/>
    <n v="58"/>
    <n v="22"/>
    <n v="30"/>
    <n v="3"/>
    <n v="1"/>
    <n v="2"/>
    <n v="30"/>
    <n v="191.64"/>
    <n v="0"/>
    <n v="1"/>
    <x v="0"/>
    <n v="7.565732333201737"/>
  </r>
  <r>
    <s v="ID-1513"/>
    <n v="24"/>
    <x v="0"/>
    <n v="36"/>
    <n v="4"/>
    <n v="15435"/>
    <n v="229"/>
    <n v="68"/>
    <n v="45"/>
    <n v="3"/>
    <n v="2"/>
    <n v="1"/>
    <n v="30"/>
    <n v="898.56"/>
    <n v="0"/>
    <n v="4"/>
    <x v="1"/>
    <n v="5.8215743440233236"/>
  </r>
  <r>
    <s v="ID-1514"/>
    <n v="3"/>
    <x v="0"/>
    <n v="36"/>
    <n v="2"/>
    <n v="3390"/>
    <n v="31"/>
    <n v="497"/>
    <n v="21"/>
    <n v="3"/>
    <n v="1"/>
    <n v="1"/>
    <n v="30"/>
    <n v="2124.84"/>
    <n v="0"/>
    <n v="0"/>
    <x v="0"/>
    <n v="62.67964601769912"/>
  </r>
  <r>
    <s v="ID-1515"/>
    <n v="8"/>
    <x v="0"/>
    <n v="35"/>
    <n v="1"/>
    <n v="15780"/>
    <n v="186"/>
    <n v="164"/>
    <n v="43"/>
    <n v="2"/>
    <n v="1"/>
    <n v="1"/>
    <n v="25"/>
    <n v="1456.47"/>
    <n v="0"/>
    <n v="2"/>
    <x v="0"/>
    <n v="9.2298479087452474"/>
  </r>
  <r>
    <s v="ID-1516"/>
    <n v="2"/>
    <x v="0"/>
    <n v="35"/>
    <n v="2"/>
    <n v="6795"/>
    <n v="90"/>
    <n v="200"/>
    <n v="39"/>
    <n v="3"/>
    <n v="1"/>
    <n v="1"/>
    <n v="30"/>
    <n v="1075.4000000000001"/>
    <n v="0"/>
    <n v="0"/>
    <x v="0"/>
    <n v="15.826342899190582"/>
  </r>
  <r>
    <s v="ID-1517"/>
    <n v="0"/>
    <x v="0"/>
    <n v="35"/>
    <n v="0"/>
    <n v="1170"/>
    <n v="18"/>
    <n v="14"/>
    <n v="24"/>
    <n v="2"/>
    <n v="1"/>
    <n v="2"/>
    <n v="25"/>
    <n v="116.46"/>
    <n v="0"/>
    <n v="1"/>
    <x v="0"/>
    <n v="9.953846153846154"/>
  </r>
  <r>
    <s v="ID-1518"/>
    <n v="1"/>
    <x v="0"/>
    <n v="36"/>
    <n v="0"/>
    <n v="1005"/>
    <n v="18"/>
    <n v="27"/>
    <n v="21"/>
    <n v="2"/>
    <n v="1"/>
    <n v="2"/>
    <n v="25"/>
    <n v="167.535"/>
    <n v="0"/>
    <n v="1"/>
    <x v="0"/>
    <n v="16.670149253731342"/>
  </r>
  <r>
    <s v="ID-1519"/>
    <n v="0"/>
    <x v="1"/>
    <n v="35"/>
    <n v="0"/>
    <n v="295"/>
    <n v="4"/>
    <n v="14"/>
    <n v="13"/>
    <n v="2"/>
    <n v="1"/>
    <n v="2"/>
    <n v="25"/>
    <n v="76.454999999999998"/>
    <n v="1"/>
    <n v="3"/>
    <x v="1"/>
    <n v="25.916949152542372"/>
  </r>
  <r>
    <s v="ID-1520"/>
    <n v="2"/>
    <x v="0"/>
    <n v="35"/>
    <n v="1"/>
    <n v="7803"/>
    <n v="131"/>
    <n v="398"/>
    <n v="56"/>
    <n v="2"/>
    <n v="1"/>
    <n v="1"/>
    <n v="25"/>
    <n v="2148.0300000000002"/>
    <n v="0"/>
    <n v="1"/>
    <x v="0"/>
    <n v="27.528258362168401"/>
  </r>
  <r>
    <s v="ID-1521"/>
    <n v="6"/>
    <x v="0"/>
    <n v="35"/>
    <n v="2"/>
    <n v="11760"/>
    <n v="158"/>
    <n v="25"/>
    <n v="60"/>
    <n v="3"/>
    <n v="1"/>
    <n v="1"/>
    <n v="30"/>
    <n v="576.72"/>
    <n v="0"/>
    <n v="3"/>
    <x v="1"/>
    <n v="4.9040816326530612"/>
  </r>
  <r>
    <s v="ID-1522"/>
    <n v="7"/>
    <x v="0"/>
    <n v="35"/>
    <n v="2"/>
    <n v="7013"/>
    <n v="79"/>
    <n v="122"/>
    <n v="50"/>
    <n v="2"/>
    <n v="1"/>
    <n v="1"/>
    <n v="25"/>
    <n v="868.14"/>
    <n v="0"/>
    <n v="1"/>
    <x v="0"/>
    <n v="12.379010409239982"/>
  </r>
  <r>
    <s v="ID-1523"/>
    <n v="22"/>
    <x v="0"/>
    <n v="31"/>
    <n v="0"/>
    <n v="1250"/>
    <n v="51"/>
    <n v="30"/>
    <n v="30"/>
    <n v="2"/>
    <n v="1"/>
    <n v="2"/>
    <n v="25"/>
    <n v="193.54499999999999"/>
    <n v="1"/>
    <n v="3"/>
    <x v="1"/>
    <n v="15.483600000000001"/>
  </r>
  <r>
    <s v="ID-1524"/>
    <n v="20"/>
    <x v="0"/>
    <n v="34"/>
    <n v="9"/>
    <n v="10730"/>
    <n v="97"/>
    <n v="15"/>
    <n v="55"/>
    <n v="4"/>
    <n v="1"/>
    <n v="1"/>
    <n v="45"/>
    <n v="308.17500000000001"/>
    <n v="0"/>
    <n v="3"/>
    <x v="1"/>
    <n v="2.8720876048462256"/>
  </r>
  <r>
    <s v="ID-1525"/>
    <n v="12"/>
    <x v="0"/>
    <n v="34"/>
    <n v="2"/>
    <n v="6113"/>
    <n v="102"/>
    <n v="40"/>
    <n v="37"/>
    <n v="2"/>
    <n v="1"/>
    <n v="1"/>
    <n v="25"/>
    <n v="459.67500000000001"/>
    <n v="0"/>
    <n v="2"/>
    <x v="0"/>
    <n v="7.5196302960902992"/>
  </r>
  <r>
    <s v="ID-1526"/>
    <n v="0"/>
    <x v="0"/>
    <n v="32"/>
    <n v="1"/>
    <n v="3135"/>
    <n v="26"/>
    <n v="14"/>
    <n v="27"/>
    <n v="3"/>
    <n v="1"/>
    <n v="1"/>
    <n v="30"/>
    <n v="182.44"/>
    <n v="0"/>
    <n v="0"/>
    <x v="0"/>
    <n v="5.8194577352472088"/>
  </r>
  <r>
    <s v="ID-1527"/>
    <n v="8"/>
    <x v="0"/>
    <n v="33"/>
    <n v="0"/>
    <n v="3285"/>
    <n v="45"/>
    <n v="23"/>
    <n v="29"/>
    <n v="2"/>
    <n v="1"/>
    <n v="2"/>
    <n v="25"/>
    <n v="253.35"/>
    <n v="1"/>
    <n v="1"/>
    <x v="0"/>
    <n v="7.712328767123287"/>
  </r>
  <r>
    <s v="ID-1528"/>
    <n v="8"/>
    <x v="1"/>
    <n v="34"/>
    <n v="0"/>
    <n v="2563"/>
    <n v="48"/>
    <n v="48"/>
    <n v="44"/>
    <n v="3"/>
    <n v="1"/>
    <n v="2"/>
    <n v="30"/>
    <n v="296.44"/>
    <n v="1"/>
    <n v="3"/>
    <x v="1"/>
    <n v="11.566133437378072"/>
  </r>
  <r>
    <s v="ID-1529"/>
    <n v="0"/>
    <x v="0"/>
    <n v="34"/>
    <n v="0"/>
    <n v="428"/>
    <n v="6"/>
    <n v="14"/>
    <n v="15"/>
    <n v="3"/>
    <n v="1"/>
    <n v="2"/>
    <n v="30"/>
    <n v="73.36"/>
    <n v="1"/>
    <n v="1"/>
    <x v="0"/>
    <n v="17.140186915887849"/>
  </r>
  <r>
    <s v="ID-1530"/>
    <n v="0"/>
    <x v="0"/>
    <n v="34"/>
    <n v="1"/>
    <n v="1963"/>
    <n v="29"/>
    <n v="14"/>
    <n v="19"/>
    <n v="3"/>
    <n v="1"/>
    <n v="1"/>
    <n v="30"/>
    <n v="135.68"/>
    <n v="0"/>
    <n v="0"/>
    <x v="0"/>
    <n v="6.9118695873662759"/>
  </r>
  <r>
    <s v="ID-1531"/>
    <n v="2"/>
    <x v="0"/>
    <n v="31"/>
    <n v="2"/>
    <n v="7080"/>
    <n v="101"/>
    <n v="28"/>
    <n v="35"/>
    <n v="4"/>
    <n v="1"/>
    <n v="1"/>
    <n v="45"/>
    <n v="249.52500000000001"/>
    <n v="0"/>
    <n v="0"/>
    <x v="0"/>
    <n v="3.5243644067796613"/>
  </r>
  <r>
    <s v="ID-1532"/>
    <n v="0"/>
    <x v="0"/>
    <n v="34"/>
    <n v="0"/>
    <n v="923"/>
    <n v="11"/>
    <n v="23"/>
    <n v="17"/>
    <n v="4"/>
    <n v="1"/>
    <n v="2"/>
    <n v="45"/>
    <n v="80.849999999999994"/>
    <n v="1"/>
    <n v="1"/>
    <x v="0"/>
    <n v="8.7594799566630552"/>
  </r>
  <r>
    <s v="ID-1533"/>
    <n v="0"/>
    <x v="0"/>
    <n v="34"/>
    <n v="2"/>
    <n v="633"/>
    <n v="8"/>
    <n v="18"/>
    <n v="15"/>
    <n v="5"/>
    <n v="1"/>
    <n v="1"/>
    <n v="55"/>
    <n v="36.615000000000002"/>
    <n v="0"/>
    <n v="0"/>
    <x v="0"/>
    <n v="5.7843601895734595"/>
  </r>
  <r>
    <s v="ID-1534"/>
    <n v="24"/>
    <x v="0"/>
    <n v="29"/>
    <n v="4"/>
    <n v="16370"/>
    <n v="242"/>
    <n v="14"/>
    <n v="93"/>
    <n v="2"/>
    <n v="1"/>
    <n v="1"/>
    <n v="25"/>
    <n v="810.54"/>
    <n v="0"/>
    <n v="5"/>
    <x v="1"/>
    <n v="4.9513744654856442"/>
  </r>
  <r>
    <s v="ID-1535"/>
    <n v="5"/>
    <x v="0"/>
    <n v="32"/>
    <n v="4"/>
    <n v="7260"/>
    <n v="120"/>
    <n v="285"/>
    <n v="46"/>
    <n v="2"/>
    <n v="2"/>
    <n v="1"/>
    <n v="25"/>
    <n v="1614.6"/>
    <n v="0"/>
    <n v="0"/>
    <x v="0"/>
    <n v="22.239669421487601"/>
  </r>
  <r>
    <s v="ID-1536"/>
    <n v="1"/>
    <x v="0"/>
    <n v="34"/>
    <n v="1"/>
    <n v="4013"/>
    <n v="86"/>
    <n v="16"/>
    <n v="41"/>
    <n v="2"/>
    <n v="1"/>
    <n v="1"/>
    <n v="25"/>
    <n v="256.45499999999998"/>
    <n v="0"/>
    <n v="0"/>
    <x v="0"/>
    <n v="6.3906055320209321"/>
  </r>
  <r>
    <s v="ID-1537"/>
    <n v="2"/>
    <x v="1"/>
    <n v="33"/>
    <n v="0"/>
    <n v="1960"/>
    <n v="48"/>
    <n v="52"/>
    <n v="33"/>
    <n v="3"/>
    <n v="1"/>
    <n v="2"/>
    <n v="30"/>
    <n v="288.32"/>
    <n v="1"/>
    <n v="3"/>
    <x v="1"/>
    <n v="14.710204081632652"/>
  </r>
  <r>
    <s v="ID-1538"/>
    <n v="5"/>
    <x v="0"/>
    <n v="34"/>
    <n v="1"/>
    <n v="3075"/>
    <n v="57"/>
    <n v="189"/>
    <n v="36"/>
    <n v="2"/>
    <n v="1"/>
    <n v="1"/>
    <n v="25"/>
    <n v="991.44"/>
    <n v="0"/>
    <n v="0"/>
    <x v="0"/>
    <n v="32.241951219512202"/>
  </r>
  <r>
    <s v="ID-1539"/>
    <n v="3"/>
    <x v="0"/>
    <n v="25"/>
    <n v="2"/>
    <n v="1610"/>
    <n v="40"/>
    <n v="207"/>
    <n v="24"/>
    <n v="2"/>
    <n v="2"/>
    <n v="1"/>
    <n v="25"/>
    <n v="1005.75"/>
    <n v="0"/>
    <n v="0"/>
    <x v="0"/>
    <n v="62.468944099378888"/>
  </r>
  <r>
    <s v="ID-1540"/>
    <n v="3"/>
    <x v="0"/>
    <n v="24"/>
    <n v="1"/>
    <n v="1863"/>
    <n v="43"/>
    <n v="44"/>
    <n v="81"/>
    <n v="4"/>
    <n v="1"/>
    <n v="1"/>
    <n v="45"/>
    <n v="157.65"/>
    <n v="0"/>
    <n v="1"/>
    <x v="0"/>
    <n v="8.4621578099838981"/>
  </r>
  <r>
    <s v="ID-1541"/>
    <n v="10"/>
    <x v="0"/>
    <n v="25"/>
    <n v="0"/>
    <n v="995"/>
    <n v="29"/>
    <n v="24"/>
    <n v="20"/>
    <n v="2"/>
    <n v="1"/>
    <n v="2"/>
    <n v="25"/>
    <n v="154.08000000000001"/>
    <n v="0"/>
    <n v="1"/>
    <x v="0"/>
    <n v="15.485427135678393"/>
  </r>
  <r>
    <s v="ID-1542"/>
    <n v="0"/>
    <x v="0"/>
    <n v="24"/>
    <n v="0"/>
    <n v="1120"/>
    <n v="14"/>
    <n v="35"/>
    <n v="16"/>
    <n v="4"/>
    <n v="1"/>
    <n v="2"/>
    <n v="45"/>
    <n v="115.85"/>
    <n v="0"/>
    <n v="1"/>
    <x v="0"/>
    <n v="10.34375"/>
  </r>
  <r>
    <s v="ID-1543"/>
    <n v="9"/>
    <x v="0"/>
    <n v="23"/>
    <n v="1"/>
    <n v="1520"/>
    <n v="36"/>
    <n v="33"/>
    <n v="26"/>
    <n v="2"/>
    <n v="1"/>
    <n v="1"/>
    <n v="25"/>
    <n v="218.52"/>
    <n v="0"/>
    <n v="0"/>
    <x v="0"/>
    <n v="14.376315789473685"/>
  </r>
  <r>
    <s v="ID-1544"/>
    <n v="1"/>
    <x v="0"/>
    <n v="23"/>
    <n v="1"/>
    <n v="3520"/>
    <n v="65"/>
    <n v="22"/>
    <n v="36"/>
    <n v="3"/>
    <n v="1"/>
    <n v="1"/>
    <n v="30"/>
    <n v="231.4"/>
    <n v="0"/>
    <n v="0"/>
    <x v="0"/>
    <n v="6.5738636363636358"/>
  </r>
  <r>
    <s v="ID-1545"/>
    <n v="1"/>
    <x v="0"/>
    <n v="16"/>
    <n v="1"/>
    <n v="1990"/>
    <n v="30"/>
    <n v="42"/>
    <n v="27"/>
    <n v="2"/>
    <n v="1"/>
    <n v="1"/>
    <n v="25"/>
    <n v="279.89999999999998"/>
    <n v="0"/>
    <n v="0"/>
    <x v="0"/>
    <n v="14.065326633165828"/>
  </r>
  <r>
    <s v="ID-1546"/>
    <n v="15"/>
    <x v="0"/>
    <n v="15"/>
    <n v="2"/>
    <n v="6688"/>
    <n v="145"/>
    <n v="99"/>
    <n v="55"/>
    <n v="1"/>
    <n v="2"/>
    <n v="1"/>
    <n v="15"/>
    <n v="920.31500000000005"/>
    <n v="0"/>
    <n v="5"/>
    <x v="1"/>
    <n v="13.760690789473685"/>
  </r>
  <r>
    <s v="ID-1547"/>
    <n v="11"/>
    <x v="0"/>
    <n v="13"/>
    <n v="1"/>
    <n v="9228"/>
    <n v="175"/>
    <n v="87"/>
    <n v="53"/>
    <n v="4"/>
    <n v="1"/>
    <n v="1"/>
    <n v="45"/>
    <n v="452.57499999999999"/>
    <n v="0"/>
    <n v="5"/>
    <x v="1"/>
    <n v="4.9043671434763763"/>
  </r>
  <r>
    <s v="ID-1548"/>
    <n v="7"/>
    <x v="0"/>
    <n v="14"/>
    <n v="4"/>
    <n v="3148"/>
    <n v="49"/>
    <n v="45"/>
    <n v="32"/>
    <n v="3"/>
    <n v="1"/>
    <n v="1"/>
    <n v="30"/>
    <n v="307.88"/>
    <n v="0"/>
    <n v="0"/>
    <x v="0"/>
    <n v="9.7801778907242696"/>
  </r>
  <r>
    <s v="ID-1549"/>
    <n v="1"/>
    <x v="0"/>
    <n v="7"/>
    <n v="2"/>
    <n v="4685"/>
    <n v="44"/>
    <n v="229"/>
    <n v="23"/>
    <n v="3"/>
    <n v="1"/>
    <n v="1"/>
    <n v="30"/>
    <n v="1105.1600000000001"/>
    <n v="0"/>
    <n v="0"/>
    <x v="0"/>
    <n v="23.589327641408751"/>
  </r>
  <r>
    <s v="ID-1550"/>
    <n v="2"/>
    <x v="1"/>
    <n v="7"/>
    <n v="2"/>
    <n v="1783"/>
    <n v="23"/>
    <n v="14"/>
    <n v="20"/>
    <n v="3"/>
    <n v="1"/>
    <n v="1"/>
    <n v="30"/>
    <n v="128.24"/>
    <n v="1"/>
    <n v="2"/>
    <x v="0"/>
    <n v="7.1923724060572072"/>
  </r>
  <r>
    <s v="ID-1551"/>
    <n v="0"/>
    <x v="0"/>
    <n v="36"/>
    <n v="0"/>
    <n v="3465"/>
    <n v="55"/>
    <n v="0"/>
    <n v="10"/>
    <n v="2"/>
    <n v="1"/>
    <n v="1"/>
    <n v="25"/>
    <n v="158.4"/>
    <n v="0"/>
    <n v="1"/>
    <x v="0"/>
    <n v="4.5714285714285712"/>
  </r>
  <r>
    <s v="ID-1552"/>
    <n v="0"/>
    <x v="0"/>
    <n v="37"/>
    <n v="0"/>
    <n v="0"/>
    <n v="0"/>
    <n v="0"/>
    <n v="0"/>
    <n v="2"/>
    <n v="1"/>
    <n v="2"/>
    <n v="25"/>
    <n v="0"/>
    <n v="0"/>
    <n v="1"/>
    <x v="0"/>
    <n v="0"/>
  </r>
  <r>
    <s v="ID-1553"/>
    <n v="1"/>
    <x v="0"/>
    <n v="35"/>
    <n v="0"/>
    <n v="1548"/>
    <n v="44"/>
    <n v="331"/>
    <n v="7"/>
    <n v="2"/>
    <n v="1"/>
    <n v="1"/>
    <n v="25"/>
    <n v="1561.14"/>
    <n v="0"/>
    <n v="1"/>
    <x v="0"/>
    <n v="100.84883720930233"/>
  </r>
  <r>
    <s v="ID-1554"/>
    <n v="1"/>
    <x v="0"/>
    <n v="36"/>
    <n v="0"/>
    <n v="3293"/>
    <n v="50"/>
    <n v="0"/>
    <n v="18"/>
    <n v="1"/>
    <n v="1"/>
    <n v="1"/>
    <n v="15"/>
    <n v="183.86500000000001"/>
    <n v="0"/>
    <n v="1"/>
    <x v="0"/>
    <n v="5.5835104767689039"/>
  </r>
  <r>
    <s v="ID-1555"/>
    <n v="0"/>
    <x v="0"/>
    <n v="36"/>
    <n v="0"/>
    <n v="1488"/>
    <n v="42"/>
    <n v="0"/>
    <n v="16"/>
    <n v="1"/>
    <n v="1"/>
    <n v="1"/>
    <n v="15"/>
    <n v="84.15"/>
    <n v="0"/>
    <n v="1"/>
    <x v="0"/>
    <n v="5.655241935483871"/>
  </r>
  <r>
    <s v="ID-1556"/>
    <n v="2"/>
    <x v="0"/>
    <n v="36"/>
    <n v="0"/>
    <n v="2870"/>
    <n v="66"/>
    <n v="4"/>
    <n v="11"/>
    <n v="2"/>
    <n v="1"/>
    <n v="1"/>
    <n v="25"/>
    <n v="150.12"/>
    <n v="0"/>
    <n v="1"/>
    <x v="0"/>
    <n v="5.2306620209059229"/>
  </r>
  <r>
    <s v="ID-1557"/>
    <n v="0"/>
    <x v="0"/>
    <n v="36"/>
    <n v="0"/>
    <n v="1455"/>
    <n v="23"/>
    <n v="257"/>
    <n v="1"/>
    <n v="3"/>
    <n v="1"/>
    <n v="1"/>
    <n v="30"/>
    <n v="1087.1199999999999"/>
    <n v="0"/>
    <n v="1"/>
    <x v="0"/>
    <n v="74.716151202749131"/>
  </r>
  <r>
    <s v="ID-1558"/>
    <n v="4"/>
    <x v="0"/>
    <n v="35"/>
    <n v="0"/>
    <n v="8210"/>
    <n v="105"/>
    <n v="116"/>
    <n v="26"/>
    <n v="3"/>
    <n v="1"/>
    <n v="1"/>
    <n v="30"/>
    <n v="796.6"/>
    <n v="0"/>
    <n v="1"/>
    <x v="0"/>
    <n v="9.7028014616321556"/>
  </r>
  <r>
    <s v="ID-1559"/>
    <n v="0"/>
    <x v="0"/>
    <n v="36"/>
    <n v="0"/>
    <n v="12868"/>
    <n v="153"/>
    <n v="0"/>
    <n v="27"/>
    <n v="3"/>
    <n v="1"/>
    <n v="1"/>
    <n v="30"/>
    <n v="520.84"/>
    <n v="0"/>
    <n v="3"/>
    <x v="1"/>
    <n v="4.0475598383587199"/>
  </r>
  <r>
    <s v="ID-1560"/>
    <n v="0"/>
    <x v="0"/>
    <n v="36"/>
    <n v="0"/>
    <n v="3610"/>
    <n v="67"/>
    <n v="0"/>
    <n v="8"/>
    <n v="3"/>
    <n v="1"/>
    <n v="1"/>
    <n v="30"/>
    <n v="147.08000000000001"/>
    <n v="0"/>
    <n v="1"/>
    <x v="0"/>
    <n v="4.0742382271468145"/>
  </r>
  <r>
    <s v="ID-1561"/>
    <n v="0"/>
    <x v="0"/>
    <n v="36"/>
    <n v="0"/>
    <n v="5013"/>
    <n v="79"/>
    <n v="0"/>
    <n v="13"/>
    <n v="2"/>
    <n v="1"/>
    <n v="1"/>
    <n v="25"/>
    <n v="229.14"/>
    <n v="0"/>
    <n v="1"/>
    <x v="0"/>
    <n v="4.5709156193895861"/>
  </r>
  <r>
    <s v="ID-1562"/>
    <n v="0"/>
    <x v="0"/>
    <n v="36"/>
    <n v="0"/>
    <n v="1333"/>
    <n v="38"/>
    <n v="0"/>
    <n v="4"/>
    <n v="3"/>
    <n v="1"/>
    <n v="2"/>
    <n v="30"/>
    <n v="54.84"/>
    <n v="0"/>
    <n v="1"/>
    <x v="0"/>
    <n v="4.1140285071267817"/>
  </r>
  <r>
    <s v="ID-1563"/>
    <n v="16"/>
    <x v="0"/>
    <n v="36"/>
    <n v="0"/>
    <n v="14235"/>
    <n v="209"/>
    <n v="26"/>
    <n v="15"/>
    <n v="3"/>
    <n v="1"/>
    <n v="1"/>
    <n v="30"/>
    <n v="681.76"/>
    <n v="0"/>
    <n v="5"/>
    <x v="1"/>
    <n v="4.7893220934316822"/>
  </r>
  <r>
    <s v="ID-1564"/>
    <n v="0"/>
    <x v="0"/>
    <n v="36"/>
    <n v="0"/>
    <n v="2190"/>
    <n v="11"/>
    <n v="455"/>
    <n v="5"/>
    <n v="3"/>
    <n v="1"/>
    <n v="1"/>
    <n v="30"/>
    <n v="1908.04"/>
    <n v="0"/>
    <n v="1"/>
    <x v="0"/>
    <n v="87.12511415525114"/>
  </r>
  <r>
    <s v="ID-1565"/>
    <n v="0"/>
    <x v="0"/>
    <n v="35"/>
    <n v="0"/>
    <n v="14580"/>
    <n v="166"/>
    <n v="122"/>
    <n v="13"/>
    <n v="2"/>
    <n v="1"/>
    <n v="1"/>
    <n v="25"/>
    <n v="1212.57"/>
    <n v="0"/>
    <n v="3"/>
    <x v="1"/>
    <n v="8.3166666666666664"/>
  </r>
  <r>
    <s v="ID-1566"/>
    <n v="0"/>
    <x v="0"/>
    <n v="35"/>
    <n v="0"/>
    <n v="5595"/>
    <n v="70"/>
    <n v="158"/>
    <n v="9"/>
    <n v="3"/>
    <n v="1"/>
    <n v="1"/>
    <n v="30"/>
    <n v="858.6"/>
    <n v="0"/>
    <n v="1"/>
    <x v="0"/>
    <n v="15.345844504021446"/>
  </r>
  <r>
    <s v="ID-1567"/>
    <n v="0"/>
    <x v="0"/>
    <n v="35"/>
    <n v="0"/>
    <n v="0"/>
    <n v="0"/>
    <n v="0"/>
    <n v="0"/>
    <n v="2"/>
    <n v="1"/>
    <n v="2"/>
    <n v="25"/>
    <n v="0"/>
    <n v="0"/>
    <n v="1"/>
    <x v="0"/>
    <n v="0"/>
  </r>
  <r>
    <s v="ID-1568"/>
    <n v="0"/>
    <x v="0"/>
    <n v="36"/>
    <n v="0"/>
    <n v="0"/>
    <n v="0"/>
    <n v="0"/>
    <n v="0"/>
    <n v="2"/>
    <n v="1"/>
    <n v="2"/>
    <n v="25"/>
    <n v="0"/>
    <n v="0"/>
    <n v="1"/>
    <x v="0"/>
    <n v="0"/>
  </r>
  <r>
    <s v="ID-1569"/>
    <n v="0"/>
    <x v="0"/>
    <n v="35"/>
    <n v="0"/>
    <n v="0"/>
    <n v="0"/>
    <n v="0"/>
    <n v="0"/>
    <n v="2"/>
    <n v="1"/>
    <n v="2"/>
    <n v="25"/>
    <n v="0"/>
    <n v="1"/>
    <n v="1"/>
    <x v="0"/>
    <n v="0"/>
  </r>
  <r>
    <s v="ID-1570"/>
    <n v="0"/>
    <x v="0"/>
    <n v="35"/>
    <n v="0"/>
    <n v="6603"/>
    <n v="111"/>
    <n v="356"/>
    <n v="26"/>
    <n v="2"/>
    <n v="1"/>
    <n v="1"/>
    <n v="25"/>
    <n v="1904.13"/>
    <n v="0"/>
    <n v="1"/>
    <x v="0"/>
    <n v="28.837346660608816"/>
  </r>
  <r>
    <s v="ID-1571"/>
    <n v="0"/>
    <x v="0"/>
    <n v="35"/>
    <n v="0"/>
    <n v="10560"/>
    <n v="138"/>
    <n v="0"/>
    <n v="30"/>
    <n v="3"/>
    <n v="1"/>
    <n v="1"/>
    <n v="30"/>
    <n v="427.92"/>
    <n v="0"/>
    <n v="1"/>
    <x v="0"/>
    <n v="4.0522727272727277"/>
  </r>
  <r>
    <s v="ID-1572"/>
    <n v="0"/>
    <x v="0"/>
    <n v="35"/>
    <n v="0"/>
    <n v="5813"/>
    <n v="59"/>
    <n v="80"/>
    <n v="20"/>
    <n v="2"/>
    <n v="1"/>
    <n v="1"/>
    <n v="25"/>
    <n v="624.24"/>
    <n v="0"/>
    <n v="1"/>
    <x v="0"/>
    <n v="10.738689145019784"/>
  </r>
  <r>
    <s v="ID-1573"/>
    <n v="7"/>
    <x v="0"/>
    <n v="31"/>
    <n v="0"/>
    <n v="50"/>
    <n v="2"/>
    <n v="0"/>
    <n v="1"/>
    <n v="2"/>
    <n v="1"/>
    <n v="2"/>
    <n v="25"/>
    <n v="2.34"/>
    <n v="1"/>
    <n v="1"/>
    <x v="0"/>
    <n v="4.68"/>
  </r>
  <r>
    <s v="ID-1574"/>
    <n v="12"/>
    <x v="0"/>
    <n v="34"/>
    <n v="5"/>
    <n v="9530"/>
    <n v="77"/>
    <n v="0"/>
    <n v="25"/>
    <n v="4"/>
    <n v="1"/>
    <n v="1"/>
    <n v="45"/>
    <n v="240.17500000000001"/>
    <n v="0"/>
    <n v="2"/>
    <x v="0"/>
    <n v="2.5201993704092343"/>
  </r>
  <r>
    <s v="ID-1575"/>
    <n v="4"/>
    <x v="0"/>
    <n v="34"/>
    <n v="0"/>
    <n v="4913"/>
    <n v="82"/>
    <n v="0"/>
    <n v="7"/>
    <n v="2"/>
    <n v="1"/>
    <n v="1"/>
    <n v="25"/>
    <n v="224.77500000000001"/>
    <n v="1"/>
    <n v="1"/>
    <x v="0"/>
    <n v="4.5751068593527382"/>
  </r>
  <r>
    <s v="ID-1576"/>
    <n v="0"/>
    <x v="0"/>
    <n v="32"/>
    <n v="0"/>
    <n v="1935"/>
    <n v="6"/>
    <n v="0"/>
    <n v="2"/>
    <n v="3"/>
    <n v="1"/>
    <n v="1"/>
    <n v="30"/>
    <n v="77.64"/>
    <n v="0"/>
    <n v="1"/>
    <x v="0"/>
    <n v="4.0124031007751935"/>
  </r>
  <r>
    <s v="ID-1577"/>
    <n v="0"/>
    <x v="0"/>
    <n v="33"/>
    <n v="0"/>
    <n v="2085"/>
    <n v="25"/>
    <n v="0"/>
    <n v="9"/>
    <n v="2"/>
    <n v="1"/>
    <n v="2"/>
    <n v="25"/>
    <n v="94.95"/>
    <n v="1"/>
    <n v="1"/>
    <x v="0"/>
    <n v="4.5539568345323742"/>
  </r>
  <r>
    <s v="ID-1578"/>
    <n v="0"/>
    <x v="1"/>
    <n v="34"/>
    <n v="0"/>
    <n v="1363"/>
    <n v="28"/>
    <n v="6"/>
    <n v="14"/>
    <n v="3"/>
    <n v="1"/>
    <n v="2"/>
    <n v="30"/>
    <n v="79.64"/>
    <n v="1"/>
    <n v="3"/>
    <x v="1"/>
    <n v="5.8429933969185619"/>
  </r>
  <r>
    <s v="ID-1579"/>
    <n v="0"/>
    <x v="0"/>
    <n v="34"/>
    <n v="0"/>
    <n v="0"/>
    <n v="0"/>
    <n v="0"/>
    <n v="0"/>
    <n v="2"/>
    <n v="1"/>
    <n v="2"/>
    <n v="25"/>
    <n v="0"/>
    <n v="1"/>
    <n v="1"/>
    <x v="0"/>
    <n v="0"/>
  </r>
  <r>
    <s v="ID-1580"/>
    <n v="0"/>
    <x v="0"/>
    <n v="34"/>
    <n v="0"/>
    <n v="0"/>
    <n v="0"/>
    <n v="0"/>
    <n v="0"/>
    <n v="3"/>
    <n v="1"/>
    <n v="1"/>
    <n v="30"/>
    <n v="0"/>
    <n v="0"/>
    <n v="1"/>
    <x v="0"/>
    <n v="0"/>
  </r>
  <r>
    <s v="ID-1581"/>
    <n v="0"/>
    <x v="0"/>
    <n v="31"/>
    <n v="0"/>
    <n v="5880"/>
    <n v="81"/>
    <n v="0"/>
    <n v="5"/>
    <n v="4"/>
    <n v="1"/>
    <n v="1"/>
    <n v="45"/>
    <n v="149.02500000000001"/>
    <n v="0"/>
    <n v="1"/>
    <x v="0"/>
    <n v="2.5344387755102042"/>
  </r>
  <r>
    <s v="ID-1582"/>
    <n v="0"/>
    <x v="1"/>
    <n v="34"/>
    <n v="0"/>
    <n v="0"/>
    <n v="0"/>
    <n v="0"/>
    <n v="0"/>
    <n v="4"/>
    <n v="1"/>
    <n v="2"/>
    <n v="45"/>
    <n v="0"/>
    <n v="1"/>
    <n v="3"/>
    <x v="1"/>
    <n v="0"/>
  </r>
  <r>
    <s v="ID-1583"/>
    <n v="0"/>
    <x v="0"/>
    <n v="34"/>
    <n v="0"/>
    <n v="0"/>
    <n v="0"/>
    <n v="0"/>
    <n v="0"/>
    <n v="4"/>
    <n v="1"/>
    <n v="1"/>
    <n v="45"/>
    <n v="0"/>
    <n v="0"/>
    <n v="1"/>
    <x v="0"/>
    <n v="0"/>
  </r>
  <r>
    <s v="ID-1584"/>
    <n v="16"/>
    <x v="0"/>
    <n v="29"/>
    <n v="0"/>
    <n v="15170"/>
    <n v="222"/>
    <n v="0"/>
    <n v="63"/>
    <n v="2"/>
    <n v="1"/>
    <n v="1"/>
    <n v="25"/>
    <n v="692.64"/>
    <n v="0"/>
    <n v="6"/>
    <x v="2"/>
    <n v="4.565853658536585"/>
  </r>
  <r>
    <s v="ID-1585"/>
    <n v="0"/>
    <x v="0"/>
    <n v="32"/>
    <n v="0"/>
    <n v="6060"/>
    <n v="100"/>
    <n v="243"/>
    <n v="16"/>
    <n v="2"/>
    <n v="2"/>
    <n v="1"/>
    <n v="25"/>
    <n v="1370.7"/>
    <n v="0"/>
    <n v="1"/>
    <x v="0"/>
    <n v="22.618811881188119"/>
  </r>
  <r>
    <s v="ID-1586"/>
    <n v="0"/>
    <x v="0"/>
    <n v="34"/>
    <n v="0"/>
    <n v="2813"/>
    <n v="66"/>
    <n v="0"/>
    <n v="11"/>
    <n v="2"/>
    <n v="1"/>
    <n v="1"/>
    <n v="25"/>
    <n v="129.55500000000001"/>
    <n v="0"/>
    <n v="1"/>
    <x v="0"/>
    <n v="4.6055812300035557"/>
  </r>
  <r>
    <s v="ID-1587"/>
    <n v="0"/>
    <x v="0"/>
    <n v="33"/>
    <n v="0"/>
    <n v="760"/>
    <n v="28"/>
    <n v="10"/>
    <n v="3"/>
    <n v="3"/>
    <n v="1"/>
    <n v="2"/>
    <n v="30"/>
    <n v="71.52"/>
    <n v="0"/>
    <n v="1"/>
    <x v="0"/>
    <n v="9.4105263157894736"/>
  </r>
  <r>
    <s v="ID-1588"/>
    <n v="0"/>
    <x v="0"/>
    <n v="34"/>
    <n v="0"/>
    <n v="1875"/>
    <n v="37"/>
    <n v="147"/>
    <n v="6"/>
    <n v="2"/>
    <n v="1"/>
    <n v="1"/>
    <n v="25"/>
    <n v="747.54"/>
    <n v="0"/>
    <n v="1"/>
    <x v="0"/>
    <n v="39.8688"/>
  </r>
  <r>
    <s v="ID-1589"/>
    <n v="0"/>
    <x v="0"/>
    <n v="25"/>
    <n v="0"/>
    <n v="1903"/>
    <n v="20"/>
    <n v="165"/>
    <n v="8"/>
    <n v="2"/>
    <n v="2"/>
    <n v="1"/>
    <n v="25"/>
    <n v="829.03499999999997"/>
    <n v="0"/>
    <n v="1"/>
    <x v="0"/>
    <n v="43.564634787178136"/>
  </r>
  <r>
    <s v="ID-1590"/>
    <n v="0"/>
    <x v="0"/>
    <n v="24"/>
    <n v="0"/>
    <n v="663"/>
    <n v="23"/>
    <n v="2"/>
    <n v="51"/>
    <n v="4"/>
    <n v="1"/>
    <n v="1"/>
    <n v="45"/>
    <n v="22.15"/>
    <n v="0"/>
    <n v="2"/>
    <x v="0"/>
    <n v="3.3408748114630469"/>
  </r>
  <r>
    <s v="ID-1591"/>
    <n v="0"/>
    <x v="0"/>
    <n v="25"/>
    <n v="0"/>
    <n v="0"/>
    <n v="0"/>
    <n v="0"/>
    <n v="0"/>
    <n v="2"/>
    <n v="1"/>
    <n v="2"/>
    <n v="25"/>
    <n v="0"/>
    <n v="0"/>
    <n v="1"/>
    <x v="0"/>
    <n v="0"/>
  </r>
  <r>
    <s v="ID-1592"/>
    <n v="0"/>
    <x v="0"/>
    <n v="24"/>
    <n v="0"/>
    <n v="0"/>
    <n v="0"/>
    <n v="0"/>
    <n v="0"/>
    <n v="4"/>
    <n v="1"/>
    <n v="2"/>
    <n v="45"/>
    <n v="0"/>
    <n v="0"/>
    <n v="1"/>
    <x v="0"/>
    <n v="0"/>
  </r>
  <r>
    <s v="ID-1593"/>
    <n v="0"/>
    <x v="0"/>
    <n v="23"/>
    <n v="0"/>
    <n v="0"/>
    <n v="0"/>
    <n v="0"/>
    <n v="0"/>
    <n v="2"/>
    <n v="1"/>
    <n v="1"/>
    <n v="25"/>
    <n v="0"/>
    <n v="0"/>
    <n v="1"/>
    <x v="0"/>
    <n v="0"/>
  </r>
  <r>
    <s v="ID-1594"/>
    <n v="0"/>
    <x v="0"/>
    <n v="23"/>
    <n v="0"/>
    <n v="2320"/>
    <n v="45"/>
    <n v="0"/>
    <n v="6"/>
    <n v="3"/>
    <n v="1"/>
    <n v="1"/>
    <n v="30"/>
    <n v="94.6"/>
    <n v="0"/>
    <n v="1"/>
    <x v="0"/>
    <n v="4.0775862068965516"/>
  </r>
  <r>
    <s v="ID-1595"/>
    <n v="0"/>
    <x v="0"/>
    <n v="16"/>
    <n v="0"/>
    <n v="0"/>
    <n v="0"/>
    <n v="0"/>
    <n v="0"/>
    <n v="2"/>
    <n v="1"/>
    <n v="1"/>
    <n v="25"/>
    <n v="0"/>
    <n v="0"/>
    <n v="1"/>
    <x v="0"/>
    <n v="0"/>
  </r>
  <r>
    <s v="ID-1596"/>
    <n v="7"/>
    <x v="0"/>
    <n v="15"/>
    <n v="0"/>
    <n v="5488"/>
    <n v="125"/>
    <n v="57"/>
    <n v="25"/>
    <n v="1"/>
    <n v="2"/>
    <n v="1"/>
    <n v="15"/>
    <n v="622.21500000000003"/>
    <n v="0"/>
    <n v="1"/>
    <x v="0"/>
    <n v="11.337736880466473"/>
  </r>
  <r>
    <s v="ID-1597"/>
    <n v="3"/>
    <x v="0"/>
    <n v="13"/>
    <n v="0"/>
    <n v="8028"/>
    <n v="155"/>
    <n v="45"/>
    <n v="23"/>
    <n v="4"/>
    <n v="1"/>
    <n v="1"/>
    <n v="45"/>
    <n v="317.07499999999999"/>
    <n v="0"/>
    <n v="3"/>
    <x v="1"/>
    <n v="3.9496138515196808"/>
  </r>
  <r>
    <s v="ID-1598"/>
    <n v="0"/>
    <x v="0"/>
    <n v="14"/>
    <n v="0"/>
    <n v="1948"/>
    <n v="29"/>
    <n v="3"/>
    <n v="2"/>
    <n v="3"/>
    <n v="1"/>
    <n v="1"/>
    <n v="30"/>
    <n v="91.08"/>
    <n v="0"/>
    <n v="1"/>
    <x v="0"/>
    <n v="4.675564681724846"/>
  </r>
  <r>
    <s v="ID-1599"/>
    <n v="0"/>
    <x v="0"/>
    <n v="7"/>
    <n v="0"/>
    <n v="3485"/>
    <n v="24"/>
    <n v="187"/>
    <n v="21"/>
    <n v="3"/>
    <n v="1"/>
    <n v="1"/>
    <n v="30"/>
    <n v="888.36"/>
    <n v="0"/>
    <n v="1"/>
    <x v="0"/>
    <n v="25.490961262553803"/>
  </r>
  <r>
    <s v="ID-1600"/>
    <n v="0"/>
    <x v="0"/>
    <n v="7"/>
    <n v="0"/>
    <n v="0"/>
    <n v="0"/>
    <n v="0"/>
    <n v="0"/>
    <n v="2"/>
    <n v="1"/>
    <n v="1"/>
    <n v="25"/>
    <n v="0"/>
    <n v="1"/>
    <n v="1"/>
    <x v="0"/>
    <n v="0"/>
  </r>
  <r>
    <s v="ID-1601"/>
    <n v="3"/>
    <x v="0"/>
    <n v="37"/>
    <n v="0"/>
    <n v="4180"/>
    <n v="71"/>
    <n v="30"/>
    <n v="19"/>
    <n v="3"/>
    <n v="1"/>
    <n v="1"/>
    <n v="30"/>
    <n v="290.04000000000002"/>
    <n v="0"/>
    <n v="1"/>
    <x v="0"/>
    <n v="6.9387559808612442"/>
  </r>
  <r>
    <s v="ID-1602"/>
    <n v="0"/>
    <x v="0"/>
    <n v="38"/>
    <n v="0"/>
    <n v="128"/>
    <n v="5"/>
    <n v="32"/>
    <n v="6"/>
    <n v="3"/>
    <n v="1"/>
    <n v="2"/>
    <n v="30"/>
    <n v="133.32"/>
    <n v="0"/>
    <n v="1"/>
    <x v="0"/>
    <n v="104.15625"/>
  </r>
  <r>
    <s v="ID-1603"/>
    <n v="5"/>
    <x v="0"/>
    <n v="36"/>
    <n v="0"/>
    <n v="2263"/>
    <n v="60"/>
    <n v="384"/>
    <n v="26"/>
    <n v="3"/>
    <n v="1"/>
    <n v="1"/>
    <n v="30"/>
    <n v="1628.92"/>
    <n v="0"/>
    <n v="1"/>
    <x v="0"/>
    <n v="71.980556783031375"/>
  </r>
  <r>
    <s v="ID-1604"/>
    <n v="5"/>
    <x v="0"/>
    <n v="37"/>
    <n v="0"/>
    <n v="4008"/>
    <n v="66"/>
    <n v="26"/>
    <n v="37"/>
    <n v="1"/>
    <n v="1"/>
    <n v="1"/>
    <n v="15"/>
    <n v="367.07"/>
    <n v="0"/>
    <n v="1"/>
    <x v="0"/>
    <n v="9.1584331337325349"/>
  </r>
  <r>
    <s v="ID-1605"/>
    <n v="0"/>
    <x v="0"/>
    <n v="37"/>
    <n v="0"/>
    <n v="2203"/>
    <n v="58"/>
    <n v="27"/>
    <n v="35"/>
    <n v="2"/>
    <n v="1"/>
    <n v="1"/>
    <n v="25"/>
    <n v="223.245"/>
    <n v="0"/>
    <n v="1"/>
    <x v="0"/>
    <n v="10.133681343622333"/>
  </r>
  <r>
    <s v="ID-1606"/>
    <n v="6"/>
    <x v="0"/>
    <n v="37"/>
    <n v="1"/>
    <n v="3585"/>
    <n v="82"/>
    <n v="57"/>
    <n v="30"/>
    <n v="3"/>
    <n v="1"/>
    <n v="1"/>
    <n v="30"/>
    <n v="374.68"/>
    <n v="0"/>
    <n v="0"/>
    <x v="0"/>
    <n v="10.451324965132496"/>
  </r>
  <r>
    <s v="ID-1607"/>
    <n v="0"/>
    <x v="0"/>
    <n v="37"/>
    <n v="0"/>
    <n v="2170"/>
    <n v="39"/>
    <n v="310"/>
    <n v="20"/>
    <n v="3"/>
    <n v="1"/>
    <n v="1"/>
    <n v="30"/>
    <n v="1328.36"/>
    <n v="0"/>
    <n v="1"/>
    <x v="0"/>
    <n v="61.214746543778794"/>
  </r>
  <r>
    <s v="ID-1608"/>
    <n v="8"/>
    <x v="0"/>
    <n v="36"/>
    <n v="2"/>
    <n v="8925"/>
    <n v="121"/>
    <n v="169"/>
    <n v="45"/>
    <n v="3"/>
    <n v="1"/>
    <n v="1"/>
    <n v="30"/>
    <n v="1037.8399999999999"/>
    <n v="0"/>
    <n v="0"/>
    <x v="0"/>
    <n v="11.628459383753501"/>
  </r>
  <r>
    <s v="ID-1609"/>
    <n v="2"/>
    <x v="0"/>
    <n v="37"/>
    <n v="0"/>
    <n v="13583"/>
    <n v="169"/>
    <n v="25"/>
    <n v="46"/>
    <n v="3"/>
    <n v="1"/>
    <n v="1"/>
    <n v="30"/>
    <n v="650.08000000000004"/>
    <n v="0"/>
    <n v="3"/>
    <x v="1"/>
    <n v="4.7859824780976226"/>
  </r>
  <r>
    <s v="ID-1610"/>
    <n v="2"/>
    <x v="0"/>
    <n v="37"/>
    <n v="1"/>
    <n v="4325"/>
    <n v="83"/>
    <n v="27"/>
    <n v="27"/>
    <n v="3"/>
    <n v="1"/>
    <n v="1"/>
    <n v="30"/>
    <n v="284.32"/>
    <n v="0"/>
    <n v="0"/>
    <x v="0"/>
    <n v="6.5738728323699425"/>
  </r>
  <r>
    <s v="ID-1611"/>
    <n v="1"/>
    <x v="0"/>
    <n v="37"/>
    <n v="0"/>
    <n v="5728"/>
    <n v="95"/>
    <n v="32"/>
    <n v="14"/>
    <n v="3"/>
    <n v="1"/>
    <n v="1"/>
    <n v="30"/>
    <n v="360.92"/>
    <n v="0"/>
    <n v="1"/>
    <x v="0"/>
    <n v="6.3009776536312856"/>
  </r>
  <r>
    <s v="ID-1612"/>
    <n v="4"/>
    <x v="0"/>
    <n v="37"/>
    <n v="0"/>
    <n v="2048"/>
    <n v="54"/>
    <n v="33"/>
    <n v="19"/>
    <n v="3"/>
    <n v="1"/>
    <n v="2"/>
    <n v="30"/>
    <n v="216.08"/>
    <n v="0"/>
    <n v="1"/>
    <x v="0"/>
    <n v="10.55078125"/>
  </r>
  <r>
    <s v="ID-1613"/>
    <n v="20"/>
    <x v="0"/>
    <n v="37"/>
    <n v="3"/>
    <n v="14950"/>
    <n v="225"/>
    <n v="79"/>
    <n v="34"/>
    <n v="3"/>
    <n v="1"/>
    <n v="1"/>
    <n v="30"/>
    <n v="923"/>
    <n v="0"/>
    <n v="4"/>
    <x v="1"/>
    <n v="6.1739130434782608"/>
  </r>
  <r>
    <s v="ID-1614"/>
    <n v="0"/>
    <x v="0"/>
    <n v="37"/>
    <n v="1"/>
    <n v="2905"/>
    <n v="27"/>
    <n v="508"/>
    <n v="10"/>
    <n v="3"/>
    <n v="1"/>
    <n v="1"/>
    <n v="30"/>
    <n v="2149.2800000000002"/>
    <n v="0"/>
    <n v="0"/>
    <x v="0"/>
    <n v="73.985542168674698"/>
  </r>
  <r>
    <s v="ID-1615"/>
    <n v="4"/>
    <x v="0"/>
    <n v="36"/>
    <n v="0"/>
    <n v="15295"/>
    <n v="182"/>
    <n v="175"/>
    <n v="32"/>
    <n v="2"/>
    <n v="1"/>
    <n v="1"/>
    <n v="25"/>
    <n v="1483.9649999999999"/>
    <n v="0"/>
    <n v="3"/>
    <x v="1"/>
    <n v="9.7022883295194493"/>
  </r>
  <r>
    <s v="ID-1616"/>
    <n v="0"/>
    <x v="0"/>
    <n v="36"/>
    <n v="1"/>
    <n v="6310"/>
    <n v="86"/>
    <n v="211"/>
    <n v="28"/>
    <n v="3"/>
    <n v="1"/>
    <n v="1"/>
    <n v="30"/>
    <n v="1099.8399999999999"/>
    <n v="0"/>
    <n v="0"/>
    <x v="0"/>
    <n v="17.43011093502377"/>
  </r>
  <r>
    <s v="ID-1617"/>
    <n v="0"/>
    <x v="0"/>
    <n v="36"/>
    <n v="0"/>
    <n v="685"/>
    <n v="14"/>
    <n v="25"/>
    <n v="13"/>
    <n v="2"/>
    <n v="1"/>
    <n v="2"/>
    <n v="25"/>
    <n v="143.95500000000001"/>
    <n v="0"/>
    <n v="1"/>
    <x v="0"/>
    <n v="21.015328467153285"/>
  </r>
  <r>
    <s v="ID-1618"/>
    <n v="0"/>
    <x v="0"/>
    <n v="37"/>
    <n v="0"/>
    <n v="520"/>
    <n v="14"/>
    <n v="38"/>
    <n v="10"/>
    <n v="3"/>
    <n v="1"/>
    <n v="2"/>
    <n v="30"/>
    <n v="173.36"/>
    <n v="0"/>
    <n v="1"/>
    <x v="0"/>
    <n v="33.338461538461537"/>
  </r>
  <r>
    <s v="ID-1619"/>
    <n v="0"/>
    <x v="0"/>
    <n v="36"/>
    <n v="0"/>
    <n v="0"/>
    <n v="0"/>
    <n v="25"/>
    <n v="0"/>
    <n v="2"/>
    <n v="1"/>
    <n v="2"/>
    <n v="25"/>
    <n v="112.5"/>
    <n v="1"/>
    <n v="1"/>
    <x v="0"/>
    <n v="0"/>
  </r>
  <r>
    <s v="ID-1620"/>
    <n v="0"/>
    <x v="0"/>
    <n v="36"/>
    <n v="0"/>
    <n v="7318"/>
    <n v="127"/>
    <n v="409"/>
    <n v="45"/>
    <n v="3"/>
    <n v="1"/>
    <n v="1"/>
    <n v="30"/>
    <n v="1933.8"/>
    <n v="0"/>
    <n v="1"/>
    <x v="0"/>
    <n v="26.425252801311832"/>
  </r>
  <r>
    <s v="ID-1621"/>
    <n v="2"/>
    <x v="0"/>
    <n v="36"/>
    <n v="1"/>
    <n v="11275"/>
    <n v="154"/>
    <n v="36"/>
    <n v="49"/>
    <n v="4"/>
    <n v="1"/>
    <n v="1"/>
    <n v="45"/>
    <n v="375.72500000000002"/>
    <n v="0"/>
    <n v="3"/>
    <x v="1"/>
    <n v="3.3323725055432374"/>
  </r>
  <r>
    <s v="ID-1622"/>
    <n v="3"/>
    <x v="0"/>
    <n v="36"/>
    <n v="1"/>
    <n v="6528"/>
    <n v="75"/>
    <n v="133"/>
    <n v="39"/>
    <n v="2"/>
    <n v="1"/>
    <n v="1"/>
    <n v="25"/>
    <n v="895.63499999999999"/>
    <n v="0"/>
    <n v="0"/>
    <x v="0"/>
    <n v="13.719898897058824"/>
  </r>
  <r>
    <s v="ID-1623"/>
    <n v="18"/>
    <x v="0"/>
    <n v="32"/>
    <n v="0"/>
    <n v="765"/>
    <n v="47"/>
    <n v="41"/>
    <n v="19"/>
    <n v="3"/>
    <n v="1"/>
    <n v="2"/>
    <n v="30"/>
    <n v="196.48"/>
    <n v="1"/>
    <n v="3"/>
    <x v="1"/>
    <n v="25.683660130718955"/>
  </r>
  <r>
    <s v="ID-1624"/>
    <n v="16"/>
    <x v="0"/>
    <n v="35"/>
    <n v="8"/>
    <n v="10245"/>
    <n v="93"/>
    <n v="26"/>
    <n v="44"/>
    <n v="5"/>
    <n v="2"/>
    <n v="1"/>
    <n v="55"/>
    <n v="194.07"/>
    <n v="0"/>
    <n v="2"/>
    <x v="0"/>
    <n v="1.8942898975109808"/>
  </r>
  <r>
    <s v="ID-1625"/>
    <n v="8"/>
    <x v="1"/>
    <n v="35"/>
    <n v="1"/>
    <n v="5628"/>
    <n v="98"/>
    <n v="51"/>
    <n v="26"/>
    <n v="2"/>
    <n v="1"/>
    <n v="1"/>
    <n v="25"/>
    <n v="487.17"/>
    <n v="1"/>
    <n v="2"/>
    <x v="0"/>
    <n v="8.6561833688699359"/>
  </r>
  <r>
    <s v="ID-1626"/>
    <n v="0"/>
    <x v="0"/>
    <n v="33"/>
    <n v="0"/>
    <n v="2650"/>
    <n v="22"/>
    <n v="25"/>
    <n v="16"/>
    <n v="3"/>
    <n v="1"/>
    <n v="1"/>
    <n v="30"/>
    <n v="206.88"/>
    <n v="0"/>
    <n v="1"/>
    <x v="0"/>
    <n v="7.8067924528301882"/>
  </r>
  <r>
    <s v="ID-1627"/>
    <n v="4"/>
    <x v="1"/>
    <n v="34"/>
    <n v="0"/>
    <n v="2800"/>
    <n v="41"/>
    <n v="34"/>
    <n v="18"/>
    <n v="3"/>
    <n v="1"/>
    <n v="2"/>
    <n v="30"/>
    <n v="249.64"/>
    <n v="1"/>
    <n v="3"/>
    <x v="1"/>
    <n v="8.9157142857142855"/>
  </r>
  <r>
    <s v="ID-1628"/>
    <n v="4"/>
    <x v="0"/>
    <n v="35"/>
    <n v="0"/>
    <n v="2078"/>
    <n v="44"/>
    <n v="59"/>
    <n v="33"/>
    <n v="3"/>
    <n v="1"/>
    <n v="2"/>
    <n v="30"/>
    <n v="320.88"/>
    <n v="1"/>
    <n v="1"/>
    <x v="0"/>
    <n v="15.441770933589991"/>
  </r>
  <r>
    <s v="ID-1629"/>
    <n v="0"/>
    <x v="0"/>
    <n v="35"/>
    <n v="0"/>
    <n v="0"/>
    <n v="0"/>
    <n v="25"/>
    <n v="0"/>
    <n v="3"/>
    <n v="1"/>
    <n v="2"/>
    <n v="30"/>
    <n v="100"/>
    <n v="1"/>
    <n v="1"/>
    <x v="0"/>
    <n v="0"/>
  </r>
  <r>
    <s v="ID-1630"/>
    <n v="0"/>
    <x v="0"/>
    <n v="35"/>
    <n v="0"/>
    <n v="1478"/>
    <n v="25"/>
    <n v="25"/>
    <n v="8"/>
    <n v="4"/>
    <n v="1"/>
    <n v="1"/>
    <n v="45"/>
    <n v="100.075"/>
    <n v="0"/>
    <n v="1"/>
    <x v="0"/>
    <n v="6.7709742895805141"/>
  </r>
  <r>
    <s v="ID-1631"/>
    <n v="0"/>
    <x v="0"/>
    <n v="32"/>
    <n v="1"/>
    <n v="6595"/>
    <n v="97"/>
    <n v="39"/>
    <n v="24"/>
    <n v="5"/>
    <n v="1"/>
    <n v="1"/>
    <n v="55"/>
    <n v="158.88"/>
    <n v="0"/>
    <n v="0"/>
    <x v="0"/>
    <n v="2.4090978013646702"/>
  </r>
  <r>
    <s v="ID-1632"/>
    <n v="0"/>
    <x v="0"/>
    <n v="35"/>
    <n v="0"/>
    <n v="438"/>
    <n v="7"/>
    <n v="34"/>
    <n v="6"/>
    <n v="4"/>
    <n v="1"/>
    <n v="2"/>
    <n v="45"/>
    <n v="96.125"/>
    <n v="1"/>
    <n v="1"/>
    <x v="0"/>
    <n v="21.946347031963469"/>
  </r>
  <r>
    <s v="ID-1633"/>
    <n v="0"/>
    <x v="0"/>
    <n v="35"/>
    <n v="1"/>
    <n v="148"/>
    <n v="4"/>
    <n v="29"/>
    <n v="4"/>
    <n v="5"/>
    <n v="1"/>
    <n v="1"/>
    <n v="55"/>
    <n v="45.78"/>
    <n v="0"/>
    <n v="0"/>
    <x v="0"/>
    <n v="30.932432432432432"/>
  </r>
  <r>
    <s v="ID-1634"/>
    <n v="20"/>
    <x v="0"/>
    <n v="30"/>
    <n v="3"/>
    <n v="15885"/>
    <n v="238"/>
    <n v="25"/>
    <n v="82"/>
    <n v="2"/>
    <n v="1"/>
    <n v="1"/>
    <n v="25"/>
    <n v="838.03499999999997"/>
    <n v="0"/>
    <n v="5"/>
    <x v="1"/>
    <n v="5.2756373937677052"/>
  </r>
  <r>
    <s v="ID-1635"/>
    <n v="1"/>
    <x v="0"/>
    <n v="33"/>
    <n v="3"/>
    <n v="6775"/>
    <n v="116"/>
    <n v="296"/>
    <n v="35"/>
    <n v="2"/>
    <n v="2"/>
    <n v="1"/>
    <n v="25"/>
    <n v="1642.095"/>
    <n v="0"/>
    <n v="0"/>
    <x v="0"/>
    <n v="24.237564575645756"/>
  </r>
  <r>
    <s v="ID-1636"/>
    <n v="0"/>
    <x v="0"/>
    <n v="35"/>
    <n v="0"/>
    <n v="3528"/>
    <n v="82"/>
    <n v="27"/>
    <n v="30"/>
    <n v="3"/>
    <n v="1"/>
    <n v="1"/>
    <n v="30"/>
    <n v="252.4"/>
    <n v="0"/>
    <n v="1"/>
    <x v="0"/>
    <n v="7.1541950113378689"/>
  </r>
  <r>
    <s v="ID-1637"/>
    <n v="0"/>
    <x v="0"/>
    <n v="34"/>
    <n v="0"/>
    <n v="1475"/>
    <n v="44"/>
    <n v="63"/>
    <n v="22"/>
    <n v="3"/>
    <n v="1"/>
    <n v="2"/>
    <n v="30"/>
    <n v="312.76"/>
    <n v="0"/>
    <n v="1"/>
    <x v="0"/>
    <n v="21.204067796610168"/>
  </r>
  <r>
    <s v="ID-1638"/>
    <n v="1"/>
    <x v="0"/>
    <n v="35"/>
    <n v="0"/>
    <n v="2590"/>
    <n v="53"/>
    <n v="200"/>
    <n v="25"/>
    <n v="2"/>
    <n v="1"/>
    <n v="1"/>
    <n v="25"/>
    <n v="1018.9349999999999"/>
    <n v="0"/>
    <n v="1"/>
    <x v="0"/>
    <n v="39.341119691119694"/>
  </r>
  <r>
    <s v="ID-1639"/>
    <n v="0"/>
    <x v="0"/>
    <n v="26"/>
    <n v="1"/>
    <n v="1125"/>
    <n v="36"/>
    <n v="218"/>
    <n v="13"/>
    <n v="2"/>
    <n v="2"/>
    <n v="1"/>
    <n v="25"/>
    <n v="1033.2449999999999"/>
    <n v="0"/>
    <n v="0"/>
    <x v="0"/>
    <n v="91.843999999999994"/>
  </r>
  <r>
    <s v="ID-1640"/>
    <n v="0"/>
    <x v="0"/>
    <n v="25"/>
    <n v="0"/>
    <n v="1378"/>
    <n v="39"/>
    <n v="55"/>
    <n v="70"/>
    <n v="4"/>
    <n v="1"/>
    <n v="1"/>
    <n v="45"/>
    <n v="172.92500000000001"/>
    <n v="0"/>
    <n v="2"/>
    <x v="0"/>
    <n v="12.548984034833092"/>
  </r>
  <r>
    <s v="ID-1641"/>
    <n v="6"/>
    <x v="0"/>
    <n v="26"/>
    <n v="0"/>
    <n v="510"/>
    <n v="25"/>
    <n v="35"/>
    <n v="9"/>
    <n v="3"/>
    <n v="1"/>
    <n v="2"/>
    <n v="30"/>
    <n v="161.4"/>
    <n v="0"/>
    <n v="1"/>
    <x v="0"/>
    <n v="31.647058823529413"/>
  </r>
  <r>
    <s v="ID-1642"/>
    <n v="0"/>
    <x v="0"/>
    <n v="25"/>
    <n v="0"/>
    <n v="635"/>
    <n v="10"/>
    <n v="46"/>
    <n v="5"/>
    <n v="4"/>
    <n v="1"/>
    <n v="2"/>
    <n v="45"/>
    <n v="131.125"/>
    <n v="0"/>
    <n v="1"/>
    <x v="0"/>
    <n v="20.649606299212596"/>
  </r>
  <r>
    <s v="ID-1643"/>
    <n v="5"/>
    <x v="0"/>
    <n v="24"/>
    <n v="0"/>
    <n v="1035"/>
    <n v="32"/>
    <n v="44"/>
    <n v="15"/>
    <n v="2"/>
    <n v="1"/>
    <n v="1"/>
    <n v="25"/>
    <n v="246.01499999999999"/>
    <n v="0"/>
    <n v="1"/>
    <x v="0"/>
    <n v="23.769565217391303"/>
  </r>
  <r>
    <s v="ID-1644"/>
    <n v="0"/>
    <x v="0"/>
    <n v="24"/>
    <n v="0"/>
    <n v="3035"/>
    <n v="61"/>
    <n v="33"/>
    <n v="25"/>
    <n v="3"/>
    <n v="1"/>
    <n v="1"/>
    <n v="30"/>
    <n v="255.84"/>
    <n v="0"/>
    <n v="1"/>
    <x v="0"/>
    <n v="8.4296540362438215"/>
  </r>
  <r>
    <s v="ID-1645"/>
    <n v="0"/>
    <x v="0"/>
    <n v="17"/>
    <n v="0"/>
    <n v="1505"/>
    <n v="26"/>
    <n v="53"/>
    <n v="16"/>
    <n v="2"/>
    <n v="1"/>
    <n v="1"/>
    <n v="25"/>
    <n v="307.39499999999998"/>
    <n v="0"/>
    <n v="1"/>
    <x v="0"/>
    <n v="20.424916943521591"/>
  </r>
  <r>
    <s v="ID-1646"/>
    <n v="11"/>
    <x v="0"/>
    <n v="16"/>
    <n v="1"/>
    <n v="6203"/>
    <n v="141"/>
    <n v="110"/>
    <n v="44"/>
    <n v="2"/>
    <n v="2"/>
    <n v="1"/>
    <n v="25"/>
    <n v="780.48"/>
    <n v="0"/>
    <n v="4"/>
    <x v="1"/>
    <n v="12.582298887635016"/>
  </r>
  <r>
    <s v="ID-1647"/>
    <n v="7"/>
    <x v="0"/>
    <n v="14"/>
    <n v="0"/>
    <n v="8743"/>
    <n v="171"/>
    <n v="98"/>
    <n v="42"/>
    <n v="5"/>
    <n v="1"/>
    <n v="1"/>
    <n v="55"/>
    <n v="280.70999999999998"/>
    <n v="0"/>
    <n v="3"/>
    <x v="1"/>
    <n v="3.2106828319798693"/>
  </r>
  <r>
    <s v="ID-1648"/>
    <n v="3"/>
    <x v="0"/>
    <n v="15"/>
    <n v="3"/>
    <n v="2663"/>
    <n v="45"/>
    <n v="56"/>
    <n v="21"/>
    <n v="3"/>
    <n v="1"/>
    <n v="1"/>
    <n v="30"/>
    <n v="332.32"/>
    <n v="0"/>
    <n v="0"/>
    <x v="0"/>
    <n v="12.479158843409689"/>
  </r>
  <r>
    <s v="ID-1649"/>
    <n v="0"/>
    <x v="0"/>
    <n v="8"/>
    <n v="1"/>
    <n v="4200"/>
    <n v="40"/>
    <n v="240"/>
    <n v="12"/>
    <n v="3"/>
    <n v="1"/>
    <n v="1"/>
    <n v="30"/>
    <n v="1129.5999999999999"/>
    <n v="0"/>
    <n v="0"/>
    <x v="0"/>
    <n v="26.895238095238096"/>
  </r>
  <r>
    <s v="ID-1650"/>
    <n v="0"/>
    <x v="1"/>
    <n v="8"/>
    <n v="1"/>
    <n v="1298"/>
    <n v="19"/>
    <n v="25"/>
    <n v="9"/>
    <n v="3"/>
    <n v="1"/>
    <n v="1"/>
    <n v="30"/>
    <n v="152.68"/>
    <n v="1"/>
    <n v="2"/>
    <x v="0"/>
    <n v="11.76271186440678"/>
  </r>
  <r>
    <s v="ID-1651"/>
    <n v="3"/>
    <x v="0"/>
    <n v="35"/>
    <n v="0"/>
    <n v="3950"/>
    <n v="59"/>
    <n v="0"/>
    <n v="11"/>
    <n v="2"/>
    <n v="1"/>
    <n v="1"/>
    <n v="25"/>
    <n v="180.405"/>
    <n v="0"/>
    <n v="1"/>
    <x v="0"/>
    <n v="4.5672151898734175"/>
  </r>
  <r>
    <s v="ID-1652"/>
    <n v="0"/>
    <x v="0"/>
    <n v="36"/>
    <n v="0"/>
    <n v="0"/>
    <n v="0"/>
    <n v="0"/>
    <n v="0"/>
    <n v="2"/>
    <n v="1"/>
    <n v="2"/>
    <n v="25"/>
    <n v="0"/>
    <n v="0"/>
    <n v="1"/>
    <x v="0"/>
    <n v="0"/>
  </r>
  <r>
    <s v="ID-1653"/>
    <n v="5"/>
    <x v="0"/>
    <n v="34"/>
    <n v="0"/>
    <n v="2033"/>
    <n v="48"/>
    <n v="320"/>
    <n v="18"/>
    <n v="2"/>
    <n v="1"/>
    <n v="1"/>
    <n v="25"/>
    <n v="1533.645"/>
    <n v="0"/>
    <n v="1"/>
    <x v="0"/>
    <n v="75.437530742744713"/>
  </r>
  <r>
    <s v="ID-1654"/>
    <n v="5"/>
    <x v="0"/>
    <n v="35"/>
    <n v="0"/>
    <n v="3778"/>
    <n v="54"/>
    <n v="0"/>
    <n v="29"/>
    <n v="1"/>
    <n v="1"/>
    <n v="1"/>
    <n v="15"/>
    <n v="210.76"/>
    <n v="0"/>
    <n v="1"/>
    <x v="0"/>
    <n v="5.5786130227633661"/>
  </r>
  <r>
    <s v="ID-1655"/>
    <n v="0"/>
    <x v="0"/>
    <n v="35"/>
    <n v="0"/>
    <n v="1973"/>
    <n v="46"/>
    <n v="0"/>
    <n v="27"/>
    <n v="1"/>
    <n v="1"/>
    <n v="1"/>
    <n v="15"/>
    <n v="111.045"/>
    <n v="0"/>
    <n v="1"/>
    <x v="0"/>
    <n v="5.628231120121642"/>
  </r>
  <r>
    <s v="ID-1656"/>
    <n v="6"/>
    <x v="0"/>
    <n v="35"/>
    <n v="0"/>
    <n v="3355"/>
    <n v="70"/>
    <n v="0"/>
    <n v="22"/>
    <n v="2"/>
    <n v="1"/>
    <n v="1"/>
    <n v="25"/>
    <n v="154.125"/>
    <n v="0"/>
    <n v="1"/>
    <x v="0"/>
    <n v="4.5938897168405362"/>
  </r>
  <r>
    <s v="ID-1657"/>
    <n v="0"/>
    <x v="0"/>
    <n v="35"/>
    <n v="0"/>
    <n v="1940"/>
    <n v="27"/>
    <n v="246"/>
    <n v="12"/>
    <n v="3"/>
    <n v="1"/>
    <n v="1"/>
    <n v="30"/>
    <n v="1062.68"/>
    <n v="0"/>
    <n v="1"/>
    <x v="0"/>
    <n v="54.777319587628867"/>
  </r>
  <r>
    <s v="ID-1658"/>
    <n v="8"/>
    <x v="0"/>
    <n v="34"/>
    <n v="0"/>
    <n v="8695"/>
    <n v="109"/>
    <n v="105"/>
    <n v="37"/>
    <n v="3"/>
    <n v="1"/>
    <n v="1"/>
    <n v="30"/>
    <n v="772.16"/>
    <n v="0"/>
    <n v="1"/>
    <x v="0"/>
    <n v="8.8805060379528449"/>
  </r>
  <r>
    <s v="ID-1659"/>
    <n v="2"/>
    <x v="0"/>
    <n v="35"/>
    <n v="0"/>
    <n v="13353"/>
    <n v="157"/>
    <n v="0"/>
    <n v="38"/>
    <n v="3"/>
    <n v="1"/>
    <n v="1"/>
    <n v="30"/>
    <n v="540.4"/>
    <n v="0"/>
    <n v="3"/>
    <x v="1"/>
    <n v="4.0470306298210144"/>
  </r>
  <r>
    <s v="ID-1660"/>
    <n v="2"/>
    <x v="0"/>
    <n v="35"/>
    <n v="0"/>
    <n v="4095"/>
    <n v="71"/>
    <n v="0"/>
    <n v="19"/>
    <n v="3"/>
    <n v="1"/>
    <n v="1"/>
    <n v="30"/>
    <n v="166.64"/>
    <n v="0"/>
    <n v="1"/>
    <x v="0"/>
    <n v="4.0693528693528691"/>
  </r>
  <r>
    <s v="ID-1661"/>
    <n v="1"/>
    <x v="0"/>
    <n v="35"/>
    <n v="0"/>
    <n v="5498"/>
    <n v="83"/>
    <n v="0"/>
    <n v="6"/>
    <n v="2"/>
    <n v="1"/>
    <n v="1"/>
    <n v="25"/>
    <n v="251.14500000000001"/>
    <n v="0"/>
    <n v="1"/>
    <x v="0"/>
    <n v="4.5679337941069482"/>
  </r>
  <r>
    <s v="ID-1662"/>
    <n v="4"/>
    <x v="0"/>
    <n v="35"/>
    <n v="0"/>
    <n v="1818"/>
    <n v="42"/>
    <n v="0"/>
    <n v="11"/>
    <n v="3"/>
    <n v="1"/>
    <n v="2"/>
    <n v="30"/>
    <n v="74.400000000000006"/>
    <n v="0"/>
    <n v="1"/>
    <x v="0"/>
    <n v="4.0924092409240931"/>
  </r>
  <r>
    <s v="ID-1663"/>
    <n v="20"/>
    <x v="0"/>
    <n v="35"/>
    <n v="1"/>
    <n v="14720"/>
    <n v="213"/>
    <n v="15"/>
    <n v="26"/>
    <n v="2"/>
    <n v="1"/>
    <n v="1"/>
    <n v="25"/>
    <n v="739.48500000000001"/>
    <n v="0"/>
    <n v="4"/>
    <x v="1"/>
    <n v="5.0236752717391306"/>
  </r>
  <r>
    <s v="ID-1664"/>
    <n v="0"/>
    <x v="0"/>
    <n v="35"/>
    <n v="0"/>
    <n v="2675"/>
    <n v="15"/>
    <n v="444"/>
    <n v="2"/>
    <n v="3"/>
    <n v="1"/>
    <n v="1"/>
    <n v="30"/>
    <n v="1883.6"/>
    <n v="0"/>
    <n v="1"/>
    <x v="0"/>
    <n v="70.41495327102804"/>
  </r>
  <r>
    <s v="ID-1665"/>
    <n v="4"/>
    <x v="0"/>
    <n v="34"/>
    <n v="0"/>
    <n v="15065"/>
    <n v="170"/>
    <n v="111"/>
    <n v="24"/>
    <n v="2"/>
    <n v="1"/>
    <n v="1"/>
    <n v="25"/>
    <n v="1185.075"/>
    <n v="0"/>
    <n v="3"/>
    <x v="1"/>
    <n v="7.8664122137404577"/>
  </r>
  <r>
    <s v="ID-1666"/>
    <n v="0"/>
    <x v="0"/>
    <n v="34"/>
    <n v="0"/>
    <n v="6080"/>
    <n v="74"/>
    <n v="147"/>
    <n v="20"/>
    <n v="3"/>
    <n v="1"/>
    <n v="1"/>
    <n v="30"/>
    <n v="834.16"/>
    <n v="0"/>
    <n v="1"/>
    <x v="0"/>
    <n v="13.719736842105263"/>
  </r>
  <r>
    <s v="ID-1667"/>
    <n v="0"/>
    <x v="0"/>
    <n v="34"/>
    <n v="0"/>
    <n v="455"/>
    <n v="2"/>
    <n v="0"/>
    <n v="5"/>
    <n v="2"/>
    <n v="1"/>
    <n v="2"/>
    <n v="25"/>
    <n v="20.565000000000001"/>
    <n v="0"/>
    <n v="1"/>
    <x v="0"/>
    <n v="4.5197802197802197"/>
  </r>
  <r>
    <s v="ID-1668"/>
    <n v="0"/>
    <x v="0"/>
    <n v="35"/>
    <n v="0"/>
    <n v="290"/>
    <n v="2"/>
    <n v="0"/>
    <n v="2"/>
    <n v="2"/>
    <n v="1"/>
    <n v="2"/>
    <n v="25"/>
    <n v="13.14"/>
    <n v="0"/>
    <n v="1"/>
    <x v="0"/>
    <n v="4.5310344827586206"/>
  </r>
  <r>
    <s v="ID-1669"/>
    <n v="0"/>
    <x v="0"/>
    <n v="34"/>
    <n v="0"/>
    <n v="0"/>
    <n v="0"/>
    <n v="0"/>
    <n v="0"/>
    <n v="2"/>
    <n v="1"/>
    <n v="2"/>
    <n v="25"/>
    <n v="0"/>
    <n v="1"/>
    <n v="1"/>
    <x v="0"/>
    <n v="0"/>
  </r>
  <r>
    <s v="ID-1670"/>
    <n v="0"/>
    <x v="0"/>
    <n v="34"/>
    <n v="0"/>
    <n v="7088"/>
    <n v="115"/>
    <n v="345"/>
    <n v="37"/>
    <n v="2"/>
    <n v="1"/>
    <n v="1"/>
    <n v="25"/>
    <n v="1876.635"/>
    <n v="0"/>
    <n v="1"/>
    <x v="0"/>
    <n v="26.476227426636566"/>
  </r>
  <r>
    <s v="ID-1671"/>
    <n v="2"/>
    <x v="0"/>
    <n v="34"/>
    <n v="0"/>
    <n v="11045"/>
    <n v="142"/>
    <n v="0"/>
    <n v="41"/>
    <n v="3"/>
    <n v="1"/>
    <n v="1"/>
    <n v="30"/>
    <n v="447.48"/>
    <n v="0"/>
    <n v="3"/>
    <x v="1"/>
    <n v="4.0514259846084197"/>
  </r>
  <r>
    <s v="ID-1672"/>
    <n v="3"/>
    <x v="0"/>
    <n v="34"/>
    <n v="0"/>
    <n v="6298"/>
    <n v="63"/>
    <n v="69"/>
    <n v="31"/>
    <n v="2"/>
    <n v="1"/>
    <n v="1"/>
    <n v="25"/>
    <n v="596.745"/>
    <n v="0"/>
    <n v="1"/>
    <x v="0"/>
    <n v="9.4751508415369958"/>
  </r>
  <r>
    <s v="ID-1673"/>
    <n v="18"/>
    <x v="0"/>
    <n v="30"/>
    <n v="0"/>
    <n v="535"/>
    <n v="35"/>
    <n v="0"/>
    <n v="11"/>
    <n v="2"/>
    <n v="1"/>
    <n v="2"/>
    <n v="25"/>
    <n v="25.65"/>
    <n v="1"/>
    <n v="3"/>
    <x v="1"/>
    <n v="4.7943925233644862"/>
  </r>
  <r>
    <s v="ID-1674"/>
    <n v="16"/>
    <x v="0"/>
    <n v="33"/>
    <n v="6"/>
    <n v="10015"/>
    <n v="81"/>
    <n v="0"/>
    <n v="36"/>
    <n v="4"/>
    <n v="1"/>
    <n v="1"/>
    <n v="45"/>
    <n v="252.4"/>
    <n v="0"/>
    <n v="2"/>
    <x v="0"/>
    <n v="2.5202196704942588"/>
  </r>
  <r>
    <s v="ID-1675"/>
    <n v="8"/>
    <x v="0"/>
    <n v="33"/>
    <n v="0"/>
    <n v="5398"/>
    <n v="86"/>
    <n v="0"/>
    <n v="18"/>
    <n v="2"/>
    <n v="1"/>
    <n v="1"/>
    <n v="25"/>
    <n v="246.78"/>
    <n v="1"/>
    <n v="1"/>
    <x v="0"/>
    <n v="4.5716932197110038"/>
  </r>
  <r>
    <s v="ID-1676"/>
    <n v="0"/>
    <x v="0"/>
    <n v="31"/>
    <n v="0"/>
    <n v="2420"/>
    <n v="10"/>
    <n v="0"/>
    <n v="8"/>
    <n v="3"/>
    <n v="1"/>
    <n v="1"/>
    <n v="30"/>
    <n v="97.2"/>
    <n v="0"/>
    <n v="1"/>
    <x v="0"/>
    <n v="4.0165289256198351"/>
  </r>
  <r>
    <s v="ID-1677"/>
    <n v="4"/>
    <x v="1"/>
    <n v="32"/>
    <n v="0"/>
    <n v="2570"/>
    <n v="29"/>
    <n v="0"/>
    <n v="10"/>
    <n v="2"/>
    <n v="1"/>
    <n v="2"/>
    <n v="25"/>
    <n v="116.955"/>
    <n v="1"/>
    <n v="3"/>
    <x v="1"/>
    <n v="4.5507782101167313"/>
  </r>
  <r>
    <s v="ID-1678"/>
    <n v="4"/>
    <x v="0"/>
    <n v="33"/>
    <n v="0"/>
    <n v="1848"/>
    <n v="32"/>
    <n v="0"/>
    <n v="25"/>
    <n v="3"/>
    <n v="1"/>
    <n v="2"/>
    <n v="30"/>
    <n v="75.2"/>
    <n v="1"/>
    <n v="1"/>
    <x v="0"/>
    <n v="4.0692640692640696"/>
  </r>
  <r>
    <s v="ID-1679"/>
    <n v="0"/>
    <x v="0"/>
    <n v="33"/>
    <n v="0"/>
    <n v="0"/>
    <n v="0"/>
    <n v="0"/>
    <n v="0"/>
    <n v="2"/>
    <n v="1"/>
    <n v="2"/>
    <n v="25"/>
    <n v="0"/>
    <n v="1"/>
    <n v="1"/>
    <x v="0"/>
    <n v="0"/>
  </r>
  <r>
    <s v="ID-1680"/>
    <n v="0"/>
    <x v="0"/>
    <n v="33"/>
    <n v="0"/>
    <n v="1248"/>
    <n v="13"/>
    <n v="0"/>
    <n v="3"/>
    <n v="3"/>
    <n v="1"/>
    <n v="1"/>
    <n v="30"/>
    <n v="50.44"/>
    <n v="0"/>
    <n v="1"/>
    <x v="0"/>
    <n v="4.0416666666666661"/>
  </r>
  <r>
    <s v="ID-1681"/>
    <n v="0"/>
    <x v="0"/>
    <n v="30"/>
    <n v="0"/>
    <n v="6365"/>
    <n v="85"/>
    <n v="0"/>
    <n v="16"/>
    <n v="4"/>
    <n v="1"/>
    <n v="1"/>
    <n v="45"/>
    <n v="161.25"/>
    <n v="0"/>
    <n v="1"/>
    <x v="0"/>
    <n v="2.5333857030636295"/>
  </r>
  <r>
    <s v="ID-1682"/>
    <n v="0"/>
    <x v="0"/>
    <n v="33"/>
    <n v="0"/>
    <n v="0"/>
    <n v="0"/>
    <n v="0"/>
    <n v="0"/>
    <n v="3"/>
    <n v="1"/>
    <n v="2"/>
    <n v="30"/>
    <n v="0"/>
    <n v="1"/>
    <n v="1"/>
    <x v="0"/>
    <n v="0"/>
  </r>
  <r>
    <s v="ID-1683"/>
    <n v="0"/>
    <x v="0"/>
    <n v="33"/>
    <n v="0"/>
    <n v="0"/>
    <n v="0"/>
    <n v="0"/>
    <n v="0"/>
    <n v="4"/>
    <n v="1"/>
    <n v="1"/>
    <n v="45"/>
    <n v="0"/>
    <n v="0"/>
    <n v="1"/>
    <x v="0"/>
    <n v="0"/>
  </r>
  <r>
    <s v="ID-1684"/>
    <n v="20"/>
    <x v="0"/>
    <n v="28"/>
    <n v="1"/>
    <n v="15655"/>
    <n v="226"/>
    <n v="0"/>
    <n v="74"/>
    <n v="2"/>
    <n v="1"/>
    <n v="1"/>
    <n v="25"/>
    <n v="714.64499999999998"/>
    <n v="0"/>
    <n v="5"/>
    <x v="1"/>
    <n v="4.5649632705206002"/>
  </r>
  <r>
    <s v="ID-1685"/>
    <n v="1"/>
    <x v="0"/>
    <n v="31"/>
    <n v="1"/>
    <n v="6545"/>
    <n v="104"/>
    <n v="232"/>
    <n v="27"/>
    <n v="2"/>
    <n v="2"/>
    <n v="1"/>
    <n v="25"/>
    <n v="1343.2049999999999"/>
    <n v="0"/>
    <n v="0"/>
    <x v="0"/>
    <n v="20.522612681436208"/>
  </r>
  <r>
    <s v="ID-1686"/>
    <n v="0"/>
    <x v="0"/>
    <n v="33"/>
    <n v="0"/>
    <n v="3298"/>
    <n v="70"/>
    <n v="0"/>
    <n v="22"/>
    <n v="2"/>
    <n v="1"/>
    <n v="1"/>
    <n v="25"/>
    <n v="151.56"/>
    <n v="0"/>
    <n v="1"/>
    <x v="0"/>
    <n v="4.595512431776835"/>
  </r>
  <r>
    <s v="ID-1687"/>
    <n v="0"/>
    <x v="0"/>
    <n v="32"/>
    <n v="0"/>
    <n v="1245"/>
    <n v="32"/>
    <n v="0"/>
    <n v="14"/>
    <n v="3"/>
    <n v="1"/>
    <n v="2"/>
    <n v="30"/>
    <n v="51.08"/>
    <n v="0"/>
    <n v="1"/>
    <x v="0"/>
    <n v="4.1028112449799199"/>
  </r>
  <r>
    <s v="ID-1688"/>
    <n v="1"/>
    <x v="0"/>
    <n v="33"/>
    <n v="0"/>
    <n v="2360"/>
    <n v="41"/>
    <n v="136"/>
    <n v="17"/>
    <n v="2"/>
    <n v="1"/>
    <n v="1"/>
    <n v="25"/>
    <n v="720.04499999999996"/>
    <n v="0"/>
    <n v="1"/>
    <x v="0"/>
    <n v="30.510381355932203"/>
  </r>
  <r>
    <s v="ID-1689"/>
    <n v="0"/>
    <x v="0"/>
    <n v="24"/>
    <n v="0"/>
    <n v="895"/>
    <n v="24"/>
    <n v="154"/>
    <n v="5"/>
    <n v="2"/>
    <n v="2"/>
    <n v="1"/>
    <n v="25"/>
    <n v="734.35500000000002"/>
    <n v="0"/>
    <n v="1"/>
    <x v="0"/>
    <n v="82.050837988826814"/>
  </r>
  <r>
    <s v="ID-1690"/>
    <n v="0"/>
    <x v="0"/>
    <n v="23"/>
    <n v="0"/>
    <n v="1148"/>
    <n v="27"/>
    <n v="0"/>
    <n v="62"/>
    <n v="4"/>
    <n v="1"/>
    <n v="1"/>
    <n v="45"/>
    <n v="29.375"/>
    <n v="0"/>
    <n v="2"/>
    <x v="0"/>
    <n v="2.5587979094076658"/>
  </r>
  <r>
    <s v="ID-1691"/>
    <n v="6"/>
    <x v="0"/>
    <n v="24"/>
    <n v="0"/>
    <n v="280"/>
    <n v="13"/>
    <n v="0"/>
    <n v="1"/>
    <n v="2"/>
    <n v="1"/>
    <n v="2"/>
    <n v="25"/>
    <n v="13.185"/>
    <n v="0"/>
    <n v="1"/>
    <x v="0"/>
    <n v="4.7089285714285714"/>
  </r>
  <r>
    <s v="ID-1692"/>
    <n v="0"/>
    <x v="0"/>
    <n v="23"/>
    <n v="0"/>
    <n v="0"/>
    <n v="0"/>
    <n v="0"/>
    <n v="0"/>
    <n v="4"/>
    <n v="1"/>
    <n v="2"/>
    <n v="45"/>
    <n v="0"/>
    <n v="0"/>
    <n v="1"/>
    <x v="0"/>
    <n v="0"/>
  </r>
  <r>
    <s v="ID-1693"/>
    <n v="5"/>
    <x v="0"/>
    <n v="22"/>
    <n v="0"/>
    <n v="805"/>
    <n v="20"/>
    <n v="0"/>
    <n v="7"/>
    <n v="1"/>
    <n v="1"/>
    <n v="1"/>
    <n v="15"/>
    <n v="45.375"/>
    <n v="0"/>
    <n v="1"/>
    <x v="0"/>
    <n v="5.6366459627329188"/>
  </r>
  <r>
    <s v="ID-1694"/>
    <n v="0"/>
    <x v="0"/>
    <n v="22"/>
    <n v="0"/>
    <n v="2805"/>
    <n v="49"/>
    <n v="0"/>
    <n v="17"/>
    <n v="3"/>
    <n v="1"/>
    <n v="1"/>
    <n v="30"/>
    <n v="114.16"/>
    <n v="0"/>
    <n v="1"/>
    <x v="0"/>
    <n v="4.0698752228163997"/>
  </r>
  <r>
    <s v="ID-1695"/>
    <n v="0"/>
    <x v="0"/>
    <n v="15"/>
    <n v="0"/>
    <n v="1275"/>
    <n v="14"/>
    <n v="0"/>
    <n v="8"/>
    <n v="2"/>
    <n v="1"/>
    <n v="1"/>
    <n v="25"/>
    <n v="58.005000000000003"/>
    <n v="0"/>
    <n v="1"/>
    <x v="0"/>
    <n v="4.5494117647058827"/>
  </r>
  <r>
    <s v="ID-1696"/>
    <n v="11"/>
    <x v="0"/>
    <n v="14"/>
    <n v="0"/>
    <n v="5973"/>
    <n v="129"/>
    <n v="46"/>
    <n v="36"/>
    <n v="1"/>
    <n v="2"/>
    <n v="1"/>
    <n v="15"/>
    <n v="588.61"/>
    <n v="0"/>
    <n v="3"/>
    <x v="1"/>
    <n v="9.8545119705340696"/>
  </r>
  <r>
    <s v="ID-1697"/>
    <n v="7"/>
    <x v="0"/>
    <n v="12"/>
    <n v="0"/>
    <n v="8513"/>
    <n v="159"/>
    <n v="34"/>
    <n v="34"/>
    <n v="4"/>
    <n v="1"/>
    <n v="1"/>
    <n v="45"/>
    <n v="301.8"/>
    <n v="0"/>
    <n v="3"/>
    <x v="1"/>
    <n v="3.5451662163749558"/>
  </r>
  <r>
    <s v="ID-1698"/>
    <n v="3"/>
    <x v="0"/>
    <n v="13"/>
    <n v="1"/>
    <n v="2433"/>
    <n v="33"/>
    <n v="0"/>
    <n v="13"/>
    <n v="3"/>
    <n v="1"/>
    <n v="1"/>
    <n v="30"/>
    <n v="98.64"/>
    <n v="0"/>
    <n v="0"/>
    <x v="0"/>
    <n v="4.0542540073982742"/>
  </r>
  <r>
    <s v="ID-1699"/>
    <n v="0"/>
    <x v="0"/>
    <n v="6"/>
    <n v="0"/>
    <n v="3970"/>
    <n v="28"/>
    <n v="176"/>
    <n v="4"/>
    <n v="2"/>
    <n v="1"/>
    <n v="1"/>
    <n v="25"/>
    <n v="971.91"/>
    <n v="0"/>
    <n v="1"/>
    <x v="0"/>
    <n v="24.481360201511336"/>
  </r>
  <r>
    <s v="ID-1700"/>
    <n v="0"/>
    <x v="1"/>
    <n v="6"/>
    <n v="0"/>
    <n v="1068"/>
    <n v="7"/>
    <n v="0"/>
    <n v="1"/>
    <n v="2"/>
    <n v="1"/>
    <n v="1"/>
    <n v="25"/>
    <n v="48.375"/>
    <n v="1"/>
    <n v="3"/>
    <x v="1"/>
    <n v="4.529494382022472"/>
  </r>
  <r>
    <s v="ID-1701"/>
    <n v="5"/>
    <x v="0"/>
    <n v="36"/>
    <n v="0"/>
    <n v="4255"/>
    <n v="66"/>
    <n v="7"/>
    <n v="18"/>
    <n v="2"/>
    <n v="1"/>
    <n v="1"/>
    <n v="25"/>
    <n v="225.94499999999999"/>
    <n v="0"/>
    <n v="1"/>
    <x v="0"/>
    <n v="5.3101057579318445"/>
  </r>
  <r>
    <s v="ID-1702"/>
    <n v="0"/>
    <x v="0"/>
    <n v="37"/>
    <n v="0"/>
    <n v="0"/>
    <n v="0"/>
    <n v="9"/>
    <n v="0"/>
    <n v="2"/>
    <n v="1"/>
    <n v="2"/>
    <n v="25"/>
    <n v="40.5"/>
    <n v="0"/>
    <n v="1"/>
    <x v="0"/>
    <n v="0"/>
  </r>
  <r>
    <s v="ID-1703"/>
    <n v="7"/>
    <x v="0"/>
    <n v="35"/>
    <n v="0"/>
    <n v="2338"/>
    <n v="55"/>
    <n v="361"/>
    <n v="25"/>
    <n v="2"/>
    <n v="1"/>
    <n v="1"/>
    <n v="25"/>
    <n v="1732.1849999999999"/>
    <n v="0"/>
    <n v="1"/>
    <x v="0"/>
    <n v="74.088323353293404"/>
  </r>
  <r>
    <s v="ID-1704"/>
    <n v="7"/>
    <x v="0"/>
    <n v="36"/>
    <n v="0"/>
    <n v="4083"/>
    <n v="61"/>
    <n v="3"/>
    <n v="36"/>
    <n v="1"/>
    <n v="1"/>
    <n v="1"/>
    <n v="15"/>
    <n v="244.42"/>
    <n v="0"/>
    <n v="1"/>
    <x v="0"/>
    <n v="5.9862845946607877"/>
  </r>
  <r>
    <s v="ID-1705"/>
    <n v="0"/>
    <x v="0"/>
    <n v="36"/>
    <n v="0"/>
    <n v="2278"/>
    <n v="53"/>
    <n v="4"/>
    <n v="34"/>
    <n v="1"/>
    <n v="1"/>
    <n v="1"/>
    <n v="15"/>
    <n v="150.20500000000001"/>
    <n v="0"/>
    <n v="1"/>
    <x v="0"/>
    <n v="6.5937225636523262"/>
  </r>
  <r>
    <s v="ID-1706"/>
    <n v="8"/>
    <x v="0"/>
    <n v="36"/>
    <n v="0"/>
    <n v="3660"/>
    <n v="77"/>
    <n v="34"/>
    <n v="29"/>
    <n v="2"/>
    <n v="1"/>
    <n v="1"/>
    <n v="25"/>
    <n v="321.16500000000002"/>
    <n v="0"/>
    <n v="1"/>
    <x v="0"/>
    <n v="8.7750000000000004"/>
  </r>
  <r>
    <s v="ID-1707"/>
    <n v="1"/>
    <x v="0"/>
    <n v="36"/>
    <n v="0"/>
    <n v="2245"/>
    <n v="34"/>
    <n v="287"/>
    <n v="19"/>
    <n v="3"/>
    <n v="1"/>
    <n v="1"/>
    <n v="30"/>
    <n v="1239.1600000000001"/>
    <n v="0"/>
    <n v="1"/>
    <x v="0"/>
    <n v="55.196436525612484"/>
  </r>
  <r>
    <s v="ID-1708"/>
    <n v="10"/>
    <x v="0"/>
    <n v="35"/>
    <n v="1"/>
    <n v="9000"/>
    <n v="116"/>
    <n v="146"/>
    <n v="44"/>
    <n v="3"/>
    <n v="1"/>
    <n v="1"/>
    <n v="30"/>
    <n v="948.64"/>
    <n v="0"/>
    <n v="0"/>
    <x v="0"/>
    <n v="10.540444444444445"/>
  </r>
  <r>
    <s v="ID-1709"/>
    <n v="4"/>
    <x v="0"/>
    <n v="36"/>
    <n v="0"/>
    <n v="13658"/>
    <n v="164"/>
    <n v="2"/>
    <n v="45"/>
    <n v="3"/>
    <n v="1"/>
    <n v="1"/>
    <n v="30"/>
    <n v="560.88"/>
    <n v="0"/>
    <n v="3"/>
    <x v="1"/>
    <n v="4.1066041880216719"/>
  </r>
  <r>
    <s v="ID-1710"/>
    <n v="4"/>
    <x v="0"/>
    <n v="36"/>
    <n v="0"/>
    <n v="4400"/>
    <n v="78"/>
    <n v="4"/>
    <n v="26"/>
    <n v="3"/>
    <n v="1"/>
    <n v="1"/>
    <n v="30"/>
    <n v="195.12"/>
    <n v="0"/>
    <n v="1"/>
    <x v="0"/>
    <n v="4.4345454545454546"/>
  </r>
  <r>
    <s v="ID-1711"/>
    <n v="3"/>
    <x v="0"/>
    <n v="36"/>
    <n v="0"/>
    <n v="5803"/>
    <n v="90"/>
    <n v="9"/>
    <n v="13"/>
    <n v="2"/>
    <n v="1"/>
    <n v="1"/>
    <n v="25"/>
    <n v="305.685"/>
    <n v="0"/>
    <n v="1"/>
    <x v="0"/>
    <n v="5.2677063587799413"/>
  </r>
  <r>
    <s v="ID-1712"/>
    <n v="6"/>
    <x v="1"/>
    <n v="36"/>
    <n v="0"/>
    <n v="2123"/>
    <n v="49"/>
    <n v="10"/>
    <n v="18"/>
    <n v="3"/>
    <n v="1"/>
    <n v="2"/>
    <n v="30"/>
    <n v="126.88"/>
    <n v="0"/>
    <n v="3"/>
    <x v="1"/>
    <n v="5.9764484220442764"/>
  </r>
  <r>
    <s v="ID-1713"/>
    <n v="22"/>
    <x v="0"/>
    <n v="36"/>
    <n v="2"/>
    <n v="15025"/>
    <n v="220"/>
    <n v="56"/>
    <n v="33"/>
    <n v="3"/>
    <n v="1"/>
    <n v="1"/>
    <n v="30"/>
    <n v="833.8"/>
    <n v="0"/>
    <n v="4"/>
    <x v="1"/>
    <n v="5.5494176372712145"/>
  </r>
  <r>
    <s v="ID-1714"/>
    <n v="1"/>
    <x v="0"/>
    <n v="36"/>
    <n v="0"/>
    <n v="2980"/>
    <n v="22"/>
    <n v="485"/>
    <n v="9"/>
    <n v="3"/>
    <n v="1"/>
    <n v="1"/>
    <n v="30"/>
    <n v="2060.08"/>
    <n v="0"/>
    <n v="1"/>
    <x v="0"/>
    <n v="69.130201342281879"/>
  </r>
  <r>
    <s v="ID-1715"/>
    <n v="6"/>
    <x v="0"/>
    <n v="35"/>
    <n v="0"/>
    <n v="15370"/>
    <n v="177"/>
    <n v="152"/>
    <n v="31"/>
    <n v="2"/>
    <n v="1"/>
    <n v="1"/>
    <n v="25"/>
    <n v="1383.615"/>
    <n v="0"/>
    <n v="3"/>
    <x v="1"/>
    <n v="9.0020494469746257"/>
  </r>
  <r>
    <s v="ID-1716"/>
    <n v="0"/>
    <x v="0"/>
    <n v="35"/>
    <n v="0"/>
    <n v="6385"/>
    <n v="81"/>
    <n v="188"/>
    <n v="27"/>
    <n v="3"/>
    <n v="1"/>
    <n v="1"/>
    <n v="30"/>
    <n v="1010.64"/>
    <n v="0"/>
    <n v="1"/>
    <x v="0"/>
    <n v="15.828347689898198"/>
  </r>
  <r>
    <s v="ID-1717"/>
    <n v="0"/>
    <x v="0"/>
    <n v="35"/>
    <n v="0"/>
    <n v="760"/>
    <n v="9"/>
    <n v="2"/>
    <n v="12"/>
    <n v="2"/>
    <n v="1"/>
    <n v="2"/>
    <n v="25"/>
    <n v="43.604999999999997"/>
    <n v="0"/>
    <n v="1"/>
    <x v="0"/>
    <n v="5.7374999999999998"/>
  </r>
  <r>
    <s v="ID-1718"/>
    <n v="0"/>
    <x v="0"/>
    <n v="36"/>
    <n v="0"/>
    <n v="595"/>
    <n v="9"/>
    <n v="15"/>
    <n v="9"/>
    <n v="2"/>
    <n v="1"/>
    <n v="2"/>
    <n v="25"/>
    <n v="94.68"/>
    <n v="0"/>
    <n v="1"/>
    <x v="0"/>
    <n v="15.912605042016809"/>
  </r>
  <r>
    <s v="ID-1719"/>
    <n v="0"/>
    <x v="0"/>
    <n v="35"/>
    <n v="0"/>
    <n v="0"/>
    <n v="0"/>
    <n v="2"/>
    <n v="0"/>
    <n v="2"/>
    <n v="1"/>
    <n v="2"/>
    <n v="25"/>
    <n v="9"/>
    <n v="1"/>
    <n v="1"/>
    <x v="0"/>
    <n v="0"/>
  </r>
  <r>
    <s v="ID-1720"/>
    <n v="0"/>
    <x v="0"/>
    <n v="35"/>
    <n v="0"/>
    <n v="7393"/>
    <n v="122"/>
    <n v="386"/>
    <n v="44"/>
    <n v="2"/>
    <n v="1"/>
    <n v="1"/>
    <n v="25"/>
    <n v="2075.1750000000002"/>
    <n v="0"/>
    <n v="1"/>
    <x v="0"/>
    <n v="28.069457595022325"/>
  </r>
  <r>
    <s v="ID-1721"/>
    <n v="4"/>
    <x v="0"/>
    <n v="35"/>
    <n v="0"/>
    <n v="11350"/>
    <n v="149"/>
    <n v="13"/>
    <n v="48"/>
    <n v="3"/>
    <n v="1"/>
    <n v="1"/>
    <n v="30"/>
    <n v="511.96"/>
    <n v="0"/>
    <n v="4"/>
    <x v="1"/>
    <n v="4.5106607929515414"/>
  </r>
  <r>
    <s v="ID-1722"/>
    <n v="5"/>
    <x v="0"/>
    <n v="35"/>
    <n v="0"/>
    <n v="6603"/>
    <n v="70"/>
    <n v="110"/>
    <n v="38"/>
    <n v="2"/>
    <n v="1"/>
    <n v="1"/>
    <n v="25"/>
    <n v="795.28499999999997"/>
    <n v="0"/>
    <n v="1"/>
    <x v="0"/>
    <n v="12.04429804634257"/>
  </r>
  <r>
    <s v="ID-1723"/>
    <n v="20"/>
    <x v="0"/>
    <n v="31"/>
    <n v="0"/>
    <n v="840"/>
    <n v="42"/>
    <n v="18"/>
    <n v="18"/>
    <n v="2"/>
    <n v="1"/>
    <n v="2"/>
    <n v="25"/>
    <n v="120.69"/>
    <n v="1"/>
    <n v="3"/>
    <x v="1"/>
    <n v="14.367857142857144"/>
  </r>
  <r>
    <s v="ID-1724"/>
    <n v="18"/>
    <x v="0"/>
    <n v="34"/>
    <n v="7"/>
    <n v="10320"/>
    <n v="88"/>
    <n v="3"/>
    <n v="43"/>
    <n v="4"/>
    <n v="1"/>
    <n v="1"/>
    <n v="45"/>
    <n v="267.7"/>
    <n v="0"/>
    <n v="2"/>
    <x v="0"/>
    <n v="2.5939922480620154"/>
  </r>
  <r>
    <s v="ID-1725"/>
    <n v="10"/>
    <x v="0"/>
    <n v="34"/>
    <n v="0"/>
    <n v="5703"/>
    <n v="93"/>
    <n v="28"/>
    <n v="25"/>
    <n v="2"/>
    <n v="1"/>
    <n v="1"/>
    <n v="25"/>
    <n v="386.82"/>
    <n v="1"/>
    <n v="1"/>
    <x v="0"/>
    <n v="6.7827459231983163"/>
  </r>
  <r>
    <s v="ID-1726"/>
    <n v="0"/>
    <x v="0"/>
    <n v="32"/>
    <n v="0"/>
    <n v="2725"/>
    <n v="17"/>
    <n v="2"/>
    <n v="15"/>
    <n v="3"/>
    <n v="1"/>
    <n v="1"/>
    <n v="30"/>
    <n v="117.68"/>
    <n v="0"/>
    <n v="1"/>
    <x v="0"/>
    <n v="4.3185321100917431"/>
  </r>
  <r>
    <s v="ID-1727"/>
    <n v="6"/>
    <x v="0"/>
    <n v="33"/>
    <n v="0"/>
    <n v="2875"/>
    <n v="36"/>
    <n v="11"/>
    <n v="17"/>
    <n v="2"/>
    <n v="1"/>
    <n v="2"/>
    <n v="25"/>
    <n v="180.495"/>
    <n v="1"/>
    <n v="1"/>
    <x v="0"/>
    <n v="6.2780869565217392"/>
  </r>
  <r>
    <s v="ID-1728"/>
    <n v="6"/>
    <x v="1"/>
    <n v="34"/>
    <n v="0"/>
    <n v="2153"/>
    <n v="39"/>
    <n v="36"/>
    <n v="32"/>
    <n v="3"/>
    <n v="1"/>
    <n v="2"/>
    <n v="30"/>
    <n v="231.68"/>
    <n v="1"/>
    <n v="3"/>
    <x v="1"/>
    <n v="10.760798885276358"/>
  </r>
  <r>
    <s v="ID-1729"/>
    <n v="0"/>
    <x v="0"/>
    <n v="34"/>
    <n v="0"/>
    <n v="0"/>
    <n v="0"/>
    <n v="2"/>
    <n v="0"/>
    <n v="3"/>
    <n v="1"/>
    <n v="2"/>
    <n v="30"/>
    <n v="8"/>
    <n v="1"/>
    <n v="1"/>
    <x v="0"/>
    <n v="0"/>
  </r>
  <r>
    <s v="ID-1730"/>
    <n v="0"/>
    <x v="0"/>
    <n v="34"/>
    <n v="0"/>
    <n v="1553"/>
    <n v="20"/>
    <n v="2"/>
    <n v="7"/>
    <n v="3"/>
    <n v="1"/>
    <n v="1"/>
    <n v="30"/>
    <n v="70.92"/>
    <n v="0"/>
    <n v="1"/>
    <x v="0"/>
    <n v="4.5666452028332261"/>
  </r>
  <r>
    <s v="ID-1731"/>
    <n v="0"/>
    <x v="0"/>
    <n v="31"/>
    <n v="0"/>
    <n v="6670"/>
    <n v="92"/>
    <n v="16"/>
    <n v="23"/>
    <n v="4"/>
    <n v="1"/>
    <n v="1"/>
    <n v="45"/>
    <n v="209.05"/>
    <n v="0"/>
    <n v="1"/>
    <x v="0"/>
    <n v="3.1341829085457276"/>
  </r>
  <r>
    <s v="ID-1732"/>
    <n v="0"/>
    <x v="0"/>
    <n v="34"/>
    <n v="0"/>
    <n v="513"/>
    <n v="2"/>
    <n v="11"/>
    <n v="5"/>
    <n v="4"/>
    <n v="1"/>
    <n v="2"/>
    <n v="45"/>
    <n v="40.375"/>
    <n v="1"/>
    <n v="1"/>
    <x v="0"/>
    <n v="7.8703703703703702"/>
  </r>
  <r>
    <s v="ID-1733"/>
    <n v="0"/>
    <x v="0"/>
    <n v="34"/>
    <n v="0"/>
    <n v="0"/>
    <n v="0"/>
    <n v="6"/>
    <n v="0"/>
    <n v="5"/>
    <n v="1"/>
    <n v="1"/>
    <n v="55"/>
    <n v="9"/>
    <n v="0"/>
    <n v="1"/>
    <x v="0"/>
    <n v="0"/>
  </r>
  <r>
    <s v="ID-1734"/>
    <n v="22"/>
    <x v="0"/>
    <n v="29"/>
    <n v="2"/>
    <n v="15960"/>
    <n v="233"/>
    <n v="2"/>
    <n v="81"/>
    <n v="2"/>
    <n v="1"/>
    <n v="1"/>
    <n v="25"/>
    <n v="737.68499999999995"/>
    <n v="0"/>
    <n v="5"/>
    <x v="1"/>
    <n v="4.6220864661654133"/>
  </r>
  <r>
    <s v="ID-1735"/>
    <n v="3"/>
    <x v="0"/>
    <n v="32"/>
    <n v="2"/>
    <n v="6850"/>
    <n v="111"/>
    <n v="273"/>
    <n v="34"/>
    <n v="2"/>
    <n v="2"/>
    <n v="1"/>
    <n v="25"/>
    <n v="1541.7449999999999"/>
    <n v="0"/>
    <n v="0"/>
    <x v="0"/>
    <n v="22.507226277372261"/>
  </r>
  <r>
    <s v="ID-1736"/>
    <n v="0"/>
    <x v="0"/>
    <n v="34"/>
    <n v="0"/>
    <n v="3603"/>
    <n v="77"/>
    <n v="4"/>
    <n v="29"/>
    <n v="2"/>
    <n v="1"/>
    <n v="1"/>
    <n v="25"/>
    <n v="183.6"/>
    <n v="0"/>
    <n v="1"/>
    <x v="0"/>
    <n v="5.0957535387177355"/>
  </r>
  <r>
    <s v="ID-1737"/>
    <n v="0"/>
    <x v="0"/>
    <n v="33"/>
    <n v="0"/>
    <n v="1550"/>
    <n v="39"/>
    <n v="40"/>
    <n v="21"/>
    <n v="3"/>
    <n v="1"/>
    <n v="2"/>
    <n v="30"/>
    <n v="223.56"/>
    <n v="0"/>
    <n v="1"/>
    <x v="0"/>
    <n v="14.423225806451612"/>
  </r>
  <r>
    <s v="ID-1738"/>
    <n v="3"/>
    <x v="0"/>
    <n v="34"/>
    <n v="0"/>
    <n v="2665"/>
    <n v="48"/>
    <n v="177"/>
    <n v="24"/>
    <n v="2"/>
    <n v="1"/>
    <n v="1"/>
    <n v="25"/>
    <n v="918.58500000000004"/>
    <n v="0"/>
    <n v="1"/>
    <x v="0"/>
    <n v="34.468480300187622"/>
  </r>
  <r>
    <s v="ID-1739"/>
    <n v="1"/>
    <x v="0"/>
    <n v="25"/>
    <n v="0"/>
    <n v="1200"/>
    <n v="31"/>
    <n v="195"/>
    <n v="12"/>
    <n v="2"/>
    <n v="2"/>
    <n v="1"/>
    <n v="25"/>
    <n v="932.89499999999998"/>
    <n v="0"/>
    <n v="1"/>
    <x v="0"/>
    <n v="77.741249999999994"/>
  </r>
  <r>
    <s v="ID-1740"/>
    <n v="1"/>
    <x v="0"/>
    <n v="24"/>
    <n v="0"/>
    <n v="1453"/>
    <n v="34"/>
    <n v="32"/>
    <n v="69"/>
    <n v="4"/>
    <n v="1"/>
    <n v="1"/>
    <n v="45"/>
    <n v="117.175"/>
    <n v="0"/>
    <n v="2"/>
    <x v="0"/>
    <n v="8.0643496214728145"/>
  </r>
  <r>
    <s v="ID-1741"/>
    <n v="8"/>
    <x v="0"/>
    <n v="25"/>
    <n v="0"/>
    <n v="585"/>
    <n v="20"/>
    <n v="12"/>
    <n v="8"/>
    <n v="2"/>
    <n v="1"/>
    <n v="2"/>
    <n v="25"/>
    <n v="81.224999999999994"/>
    <n v="0"/>
    <n v="1"/>
    <x v="0"/>
    <n v="13.884615384615383"/>
  </r>
  <r>
    <s v="ID-1742"/>
    <n v="0"/>
    <x v="0"/>
    <n v="24"/>
    <n v="0"/>
    <n v="710"/>
    <n v="5"/>
    <n v="23"/>
    <n v="4"/>
    <n v="4"/>
    <n v="1"/>
    <n v="2"/>
    <n v="45"/>
    <n v="75.375"/>
    <n v="0"/>
    <n v="1"/>
    <x v="0"/>
    <n v="10.616197183098592"/>
  </r>
  <r>
    <s v="ID-1743"/>
    <n v="7"/>
    <x v="0"/>
    <n v="23"/>
    <n v="0"/>
    <n v="1110"/>
    <n v="27"/>
    <n v="21"/>
    <n v="14"/>
    <n v="2"/>
    <n v="1"/>
    <n v="1"/>
    <n v="25"/>
    <n v="145.66499999999999"/>
    <n v="0"/>
    <n v="1"/>
    <x v="0"/>
    <n v="13.12297297297297"/>
  </r>
  <r>
    <s v="ID-1744"/>
    <n v="0"/>
    <x v="0"/>
    <n v="23"/>
    <n v="0"/>
    <n v="3110"/>
    <n v="56"/>
    <n v="10"/>
    <n v="24"/>
    <n v="3"/>
    <n v="1"/>
    <n v="1"/>
    <n v="30"/>
    <n v="166.64"/>
    <n v="0"/>
    <n v="1"/>
    <x v="0"/>
    <n v="5.3581993569131825"/>
  </r>
  <r>
    <s v="ID-1745"/>
    <n v="0"/>
    <x v="0"/>
    <n v="16"/>
    <n v="0"/>
    <n v="1580"/>
    <n v="21"/>
    <n v="30"/>
    <n v="15"/>
    <n v="2"/>
    <n v="1"/>
    <n v="1"/>
    <n v="25"/>
    <n v="207.04499999999999"/>
    <n v="0"/>
    <n v="1"/>
    <x v="0"/>
    <n v="13.104113924050631"/>
  </r>
  <r>
    <s v="ID-1746"/>
    <n v="13"/>
    <x v="0"/>
    <n v="15"/>
    <n v="0"/>
    <n v="6277"/>
    <n v="136"/>
    <n v="87"/>
    <n v="43"/>
    <n v="1"/>
    <n v="2"/>
    <n v="1"/>
    <n v="15"/>
    <n v="831.21500000000003"/>
    <n v="0"/>
    <n v="3"/>
    <x v="1"/>
    <n v="13.242233551059424"/>
  </r>
  <r>
    <s v="ID-1747"/>
    <n v="9"/>
    <x v="0"/>
    <n v="13"/>
    <n v="0"/>
    <n v="8817"/>
    <n v="166"/>
    <n v="75"/>
    <n v="41"/>
    <n v="4"/>
    <n v="1"/>
    <n v="1"/>
    <n v="45"/>
    <n v="412.07499999999999"/>
    <n v="0"/>
    <n v="3"/>
    <x v="1"/>
    <n v="4.6736418282862653"/>
  </r>
  <r>
    <s v="ID-1748"/>
    <n v="5"/>
    <x v="0"/>
    <n v="14"/>
    <n v="2"/>
    <n v="2737"/>
    <n v="40"/>
    <n v="33"/>
    <n v="20"/>
    <n v="3"/>
    <n v="1"/>
    <n v="1"/>
    <n v="30"/>
    <n v="243.08"/>
    <n v="0"/>
    <n v="0"/>
    <x v="0"/>
    <n v="8.8812568505663148"/>
  </r>
  <r>
    <s v="ID-1749"/>
    <n v="0"/>
    <x v="0"/>
    <n v="7"/>
    <n v="0"/>
    <n v="4275"/>
    <n v="35"/>
    <n v="217"/>
    <n v="11"/>
    <n v="3"/>
    <n v="1"/>
    <n v="1"/>
    <n v="30"/>
    <n v="1040.4000000000001"/>
    <n v="0"/>
    <n v="1"/>
    <x v="0"/>
    <n v="24.336842105263159"/>
  </r>
  <r>
    <s v="ID-1750"/>
    <n v="0"/>
    <x v="1"/>
    <n v="7"/>
    <n v="0"/>
    <n v="1372"/>
    <n v="14"/>
    <n v="2"/>
    <n v="8"/>
    <n v="2"/>
    <n v="1"/>
    <n v="1"/>
    <n v="25"/>
    <n v="71.37"/>
    <n v="1"/>
    <n v="3"/>
    <x v="1"/>
    <n v="5.2018950437317786"/>
  </r>
  <r>
    <s v="ID-1751"/>
    <n v="1"/>
    <x v="0"/>
    <n v="36"/>
    <n v="0"/>
    <n v="3875"/>
    <n v="64"/>
    <n v="0"/>
    <n v="12"/>
    <n v="2"/>
    <n v="1"/>
    <n v="1"/>
    <n v="25"/>
    <n v="177.255"/>
    <n v="0"/>
    <n v="1"/>
    <x v="0"/>
    <n v="4.5743225806451608"/>
  </r>
  <r>
    <s v="ID-1752"/>
    <n v="0"/>
    <x v="0"/>
    <n v="37"/>
    <n v="0"/>
    <n v="0"/>
    <n v="0"/>
    <n v="0"/>
    <n v="0"/>
    <n v="2"/>
    <n v="1"/>
    <n v="2"/>
    <n v="25"/>
    <n v="0"/>
    <n v="0"/>
    <n v="1"/>
    <x v="0"/>
    <n v="0"/>
  </r>
  <r>
    <s v="ID-1753"/>
    <n v="3"/>
    <x v="0"/>
    <n v="35"/>
    <n v="0"/>
    <n v="1958"/>
    <n v="53"/>
    <n v="343"/>
    <n v="19"/>
    <n v="2"/>
    <n v="1"/>
    <n v="1"/>
    <n v="25"/>
    <n v="1633.9949999999999"/>
    <n v="0"/>
    <n v="1"/>
    <x v="0"/>
    <n v="83.452247191011224"/>
  </r>
  <r>
    <s v="ID-1754"/>
    <n v="3"/>
    <x v="0"/>
    <n v="36"/>
    <n v="0"/>
    <n v="3703"/>
    <n v="59"/>
    <n v="0"/>
    <n v="30"/>
    <n v="2"/>
    <n v="1"/>
    <n v="1"/>
    <n v="25"/>
    <n v="169.29"/>
    <n v="0"/>
    <n v="1"/>
    <x v="0"/>
    <n v="4.5716986227383201"/>
  </r>
  <r>
    <s v="ID-1755"/>
    <n v="0"/>
    <x v="0"/>
    <n v="36"/>
    <n v="0"/>
    <n v="1898"/>
    <n v="51"/>
    <n v="0"/>
    <n v="28"/>
    <n v="1"/>
    <n v="1"/>
    <n v="1"/>
    <n v="15"/>
    <n v="107.19499999999999"/>
    <n v="0"/>
    <n v="1"/>
    <x v="0"/>
    <n v="5.6477871443624865"/>
  </r>
  <r>
    <s v="ID-1756"/>
    <n v="4"/>
    <x v="0"/>
    <n v="36"/>
    <n v="0"/>
    <n v="3280"/>
    <n v="75"/>
    <n v="16"/>
    <n v="23"/>
    <n v="2"/>
    <n v="1"/>
    <n v="1"/>
    <n v="25"/>
    <n v="222.97499999999999"/>
    <n v="0"/>
    <n v="1"/>
    <x v="0"/>
    <n v="6.7980182926829267"/>
  </r>
  <r>
    <s v="ID-1757"/>
    <n v="0"/>
    <x v="0"/>
    <n v="36"/>
    <n v="0"/>
    <n v="1865"/>
    <n v="32"/>
    <n v="269"/>
    <n v="13"/>
    <n v="3"/>
    <n v="1"/>
    <n v="1"/>
    <n v="30"/>
    <n v="1151.8800000000001"/>
    <n v="0"/>
    <n v="1"/>
    <x v="0"/>
    <n v="61.763002680965151"/>
  </r>
  <r>
    <s v="ID-1758"/>
    <n v="6"/>
    <x v="0"/>
    <n v="35"/>
    <n v="1"/>
    <n v="8620"/>
    <n v="114"/>
    <n v="128"/>
    <n v="38"/>
    <n v="3"/>
    <n v="1"/>
    <n v="1"/>
    <n v="30"/>
    <n v="861.36"/>
    <n v="0"/>
    <n v="0"/>
    <x v="0"/>
    <n v="9.9925754060324827"/>
  </r>
  <r>
    <s v="ID-1759"/>
    <n v="0"/>
    <x v="0"/>
    <n v="36"/>
    <n v="0"/>
    <n v="13278"/>
    <n v="162"/>
    <n v="0"/>
    <n v="39"/>
    <n v="3"/>
    <n v="1"/>
    <n v="1"/>
    <n v="30"/>
    <n v="537.6"/>
    <n v="0"/>
    <n v="3"/>
    <x v="1"/>
    <n v="4.0488025305015816"/>
  </r>
  <r>
    <s v="ID-1760"/>
    <n v="0"/>
    <x v="0"/>
    <n v="36"/>
    <n v="0"/>
    <n v="4020"/>
    <n v="76"/>
    <n v="0"/>
    <n v="20"/>
    <n v="3"/>
    <n v="1"/>
    <n v="1"/>
    <n v="30"/>
    <n v="163.84"/>
    <n v="0"/>
    <n v="1"/>
    <x v="0"/>
    <n v="4.0756218905472634"/>
  </r>
  <r>
    <s v="ID-1761"/>
    <n v="0"/>
    <x v="0"/>
    <n v="36"/>
    <n v="0"/>
    <n v="5423"/>
    <n v="88"/>
    <n v="0"/>
    <n v="7"/>
    <n v="2"/>
    <n v="1"/>
    <n v="1"/>
    <n v="25"/>
    <n v="247.995"/>
    <n v="0"/>
    <n v="1"/>
    <x v="0"/>
    <n v="4.573022312373225"/>
  </r>
  <r>
    <s v="ID-1762"/>
    <n v="2"/>
    <x v="0"/>
    <n v="36"/>
    <n v="0"/>
    <n v="1743"/>
    <n v="47"/>
    <n v="0"/>
    <n v="12"/>
    <n v="3"/>
    <n v="1"/>
    <n v="2"/>
    <n v="30"/>
    <n v="71.599999999999994"/>
    <n v="0"/>
    <n v="1"/>
    <x v="0"/>
    <n v="4.107860011474469"/>
  </r>
  <r>
    <s v="ID-1763"/>
    <n v="18"/>
    <x v="0"/>
    <n v="36"/>
    <n v="2"/>
    <n v="14645"/>
    <n v="218"/>
    <n v="38"/>
    <n v="27"/>
    <n v="3"/>
    <n v="1"/>
    <n v="1"/>
    <n v="30"/>
    <n v="746.52"/>
    <n v="0"/>
    <n v="4"/>
    <x v="1"/>
    <n v="5.097439399112325"/>
  </r>
  <r>
    <s v="ID-1764"/>
    <n v="0"/>
    <x v="0"/>
    <n v="36"/>
    <n v="0"/>
    <n v="2600"/>
    <n v="20"/>
    <n v="467"/>
    <n v="3"/>
    <n v="3"/>
    <n v="1"/>
    <n v="1"/>
    <n v="30"/>
    <n v="1972.8"/>
    <n v="0"/>
    <n v="1"/>
    <x v="0"/>
    <n v="75.876923076923077"/>
  </r>
  <r>
    <s v="ID-1765"/>
    <n v="2"/>
    <x v="0"/>
    <n v="35"/>
    <n v="0"/>
    <n v="14990"/>
    <n v="175"/>
    <n v="134"/>
    <n v="25"/>
    <n v="2"/>
    <n v="1"/>
    <n v="1"/>
    <n v="25"/>
    <n v="1285.425"/>
    <n v="0"/>
    <n v="3"/>
    <x v="1"/>
    <n v="8.575216811207472"/>
  </r>
  <r>
    <s v="ID-1766"/>
    <n v="0"/>
    <x v="0"/>
    <n v="35"/>
    <n v="0"/>
    <n v="6005"/>
    <n v="79"/>
    <n v="170"/>
    <n v="21"/>
    <n v="3"/>
    <n v="1"/>
    <n v="1"/>
    <n v="30"/>
    <n v="923.36"/>
    <n v="0"/>
    <n v="1"/>
    <x v="0"/>
    <n v="15.376519567027477"/>
  </r>
  <r>
    <s v="ID-1767"/>
    <n v="0"/>
    <x v="0"/>
    <n v="35"/>
    <n v="0"/>
    <n v="380"/>
    <n v="7"/>
    <n v="0"/>
    <n v="6"/>
    <n v="2"/>
    <n v="1"/>
    <n v="2"/>
    <n v="25"/>
    <n v="17.414999999999999"/>
    <n v="0"/>
    <n v="1"/>
    <x v="0"/>
    <n v="4.5828947368421051"/>
  </r>
  <r>
    <s v="ID-1768"/>
    <n v="0"/>
    <x v="0"/>
    <n v="36"/>
    <n v="0"/>
    <n v="215"/>
    <n v="7"/>
    <n v="0"/>
    <n v="3"/>
    <n v="2"/>
    <n v="1"/>
    <n v="2"/>
    <n v="25"/>
    <n v="9.99"/>
    <n v="0"/>
    <n v="1"/>
    <x v="0"/>
    <n v="4.6465116279069765"/>
  </r>
  <r>
    <s v="ID-1769"/>
    <n v="0"/>
    <x v="0"/>
    <n v="35"/>
    <n v="0"/>
    <n v="0"/>
    <n v="0"/>
    <n v="0"/>
    <n v="0"/>
    <n v="2"/>
    <n v="1"/>
    <n v="2"/>
    <n v="25"/>
    <n v="0"/>
    <n v="1"/>
    <n v="1"/>
    <x v="0"/>
    <n v="0"/>
  </r>
  <r>
    <s v="ID-1770"/>
    <n v="0"/>
    <x v="0"/>
    <n v="35"/>
    <n v="0"/>
    <n v="7013"/>
    <n v="120"/>
    <n v="368"/>
    <n v="38"/>
    <n v="2"/>
    <n v="1"/>
    <n v="1"/>
    <n v="25"/>
    <n v="1976.9849999999999"/>
    <n v="0"/>
    <n v="1"/>
    <x v="0"/>
    <n v="28.190289462426922"/>
  </r>
  <r>
    <s v="ID-1771"/>
    <n v="0"/>
    <x v="0"/>
    <n v="35"/>
    <n v="0"/>
    <n v="10970"/>
    <n v="147"/>
    <n v="0"/>
    <n v="42"/>
    <n v="3"/>
    <n v="1"/>
    <n v="1"/>
    <n v="30"/>
    <n v="444.68"/>
    <n v="0"/>
    <n v="3"/>
    <x v="1"/>
    <n v="4.053600729261623"/>
  </r>
  <r>
    <s v="ID-1772"/>
    <n v="1"/>
    <x v="0"/>
    <n v="35"/>
    <n v="0"/>
    <n v="6223"/>
    <n v="68"/>
    <n v="92"/>
    <n v="32"/>
    <n v="2"/>
    <n v="1"/>
    <n v="1"/>
    <n v="25"/>
    <n v="697.09500000000003"/>
    <n v="0"/>
    <n v="1"/>
    <x v="0"/>
    <n v="11.201912260967379"/>
  </r>
  <r>
    <s v="ID-1773"/>
    <n v="16"/>
    <x v="1"/>
    <n v="31"/>
    <n v="0"/>
    <n v="460"/>
    <n v="40"/>
    <n v="0"/>
    <n v="12"/>
    <n v="2"/>
    <n v="1"/>
    <n v="2"/>
    <n v="25"/>
    <n v="22.5"/>
    <n v="1"/>
    <n v="5"/>
    <x v="1"/>
    <n v="4.8913043478260869"/>
  </r>
  <r>
    <s v="ID-1774"/>
    <n v="14"/>
    <x v="0"/>
    <n v="34"/>
    <n v="7"/>
    <n v="9940"/>
    <n v="86"/>
    <n v="0"/>
    <n v="37"/>
    <n v="4"/>
    <n v="1"/>
    <n v="1"/>
    <n v="45"/>
    <n v="250.65"/>
    <n v="0"/>
    <n v="2"/>
    <x v="0"/>
    <n v="2.5216297786720321"/>
  </r>
  <r>
    <s v="ID-1775"/>
    <n v="6"/>
    <x v="0"/>
    <n v="34"/>
    <n v="0"/>
    <n v="5323"/>
    <n v="91"/>
    <n v="10"/>
    <n v="19"/>
    <n v="2"/>
    <n v="1"/>
    <n v="1"/>
    <n v="25"/>
    <n v="288.63"/>
    <n v="1"/>
    <n v="1"/>
    <x v="0"/>
    <n v="5.4223182415930866"/>
  </r>
  <r>
    <s v="ID-1776"/>
    <n v="0"/>
    <x v="0"/>
    <n v="32"/>
    <n v="0"/>
    <n v="2345"/>
    <n v="15"/>
    <n v="0"/>
    <n v="9"/>
    <n v="3"/>
    <n v="1"/>
    <n v="1"/>
    <n v="30"/>
    <n v="94.4"/>
    <n v="0"/>
    <n v="1"/>
    <x v="0"/>
    <n v="4.0255863539445631"/>
  </r>
  <r>
    <s v="ID-1777"/>
    <n v="2"/>
    <x v="1"/>
    <n v="33"/>
    <n v="0"/>
    <n v="2495"/>
    <n v="34"/>
    <n v="0"/>
    <n v="11"/>
    <n v="2"/>
    <n v="1"/>
    <n v="2"/>
    <n v="25"/>
    <n v="113.80500000000001"/>
    <n v="1"/>
    <n v="3"/>
    <x v="1"/>
    <n v="4.5613226452905815"/>
  </r>
  <r>
    <s v="ID-1778"/>
    <n v="2"/>
    <x v="0"/>
    <n v="34"/>
    <n v="0"/>
    <n v="1773"/>
    <n v="37"/>
    <n v="18"/>
    <n v="26"/>
    <n v="3"/>
    <n v="1"/>
    <n v="2"/>
    <n v="30"/>
    <n v="144.4"/>
    <n v="1"/>
    <n v="1"/>
    <x v="0"/>
    <n v="8.1443880428652005"/>
  </r>
  <r>
    <s v="ID-1779"/>
    <n v="0"/>
    <x v="0"/>
    <n v="34"/>
    <n v="0"/>
    <n v="0"/>
    <n v="0"/>
    <n v="0"/>
    <n v="0"/>
    <n v="3"/>
    <n v="1"/>
    <n v="2"/>
    <n v="30"/>
    <n v="0"/>
    <n v="1"/>
    <n v="1"/>
    <x v="0"/>
    <n v="0"/>
  </r>
  <r>
    <s v="ID-1780"/>
    <n v="0"/>
    <x v="0"/>
    <n v="34"/>
    <n v="0"/>
    <n v="1173"/>
    <n v="18"/>
    <n v="0"/>
    <n v="1"/>
    <n v="3"/>
    <n v="1"/>
    <n v="1"/>
    <n v="30"/>
    <n v="47.64"/>
    <n v="0"/>
    <n v="1"/>
    <x v="0"/>
    <n v="4.0613810741687981"/>
  </r>
  <r>
    <s v="ID-1781"/>
    <n v="0"/>
    <x v="0"/>
    <n v="31"/>
    <n v="0"/>
    <n v="6290"/>
    <n v="90"/>
    <n v="0"/>
    <n v="17"/>
    <n v="4"/>
    <n v="1"/>
    <n v="1"/>
    <n v="45"/>
    <n v="159.5"/>
    <n v="0"/>
    <n v="1"/>
    <x v="0"/>
    <n v="2.5357710651828298"/>
  </r>
  <r>
    <s v="ID-1782"/>
    <n v="0"/>
    <x v="0"/>
    <n v="34"/>
    <n v="0"/>
    <n v="0"/>
    <n v="0"/>
    <n v="0"/>
    <n v="0"/>
    <n v="4"/>
    <n v="1"/>
    <n v="2"/>
    <n v="45"/>
    <n v="0"/>
    <n v="1"/>
    <n v="1"/>
    <x v="0"/>
    <n v="0"/>
  </r>
  <r>
    <s v="ID-1783"/>
    <n v="0"/>
    <x v="0"/>
    <n v="34"/>
    <n v="0"/>
    <n v="0"/>
    <n v="0"/>
    <n v="0"/>
    <n v="0"/>
    <n v="5"/>
    <n v="1"/>
    <n v="1"/>
    <n v="55"/>
    <n v="0"/>
    <n v="0"/>
    <n v="1"/>
    <x v="0"/>
    <n v="0"/>
  </r>
  <r>
    <s v="ID-1784"/>
    <n v="18"/>
    <x v="0"/>
    <n v="29"/>
    <n v="2"/>
    <n v="15580"/>
    <n v="231"/>
    <n v="0"/>
    <n v="75"/>
    <n v="2"/>
    <n v="1"/>
    <n v="1"/>
    <n v="25"/>
    <n v="711.495"/>
    <n v="0"/>
    <n v="5"/>
    <x v="1"/>
    <n v="4.5667201540436455"/>
  </r>
  <r>
    <s v="ID-1785"/>
    <n v="0"/>
    <x v="0"/>
    <n v="32"/>
    <n v="2"/>
    <n v="6470"/>
    <n v="109"/>
    <n v="255"/>
    <n v="28"/>
    <n v="2"/>
    <n v="2"/>
    <n v="1"/>
    <n v="25"/>
    <n v="1443.5550000000001"/>
    <n v="0"/>
    <n v="0"/>
    <x v="0"/>
    <n v="22.311514683153014"/>
  </r>
  <r>
    <s v="ID-1786"/>
    <n v="0"/>
    <x v="0"/>
    <n v="34"/>
    <n v="0"/>
    <n v="3223"/>
    <n v="75"/>
    <n v="0"/>
    <n v="23"/>
    <n v="2"/>
    <n v="1"/>
    <n v="1"/>
    <n v="25"/>
    <n v="148.41"/>
    <n v="0"/>
    <n v="1"/>
    <x v="0"/>
    <n v="4.6047161030096184"/>
  </r>
  <r>
    <s v="ID-1787"/>
    <n v="0"/>
    <x v="0"/>
    <n v="33"/>
    <n v="0"/>
    <n v="1170"/>
    <n v="37"/>
    <n v="22"/>
    <n v="15"/>
    <n v="3"/>
    <n v="1"/>
    <n v="2"/>
    <n v="30"/>
    <n v="136.28"/>
    <n v="0"/>
    <n v="1"/>
    <x v="0"/>
    <n v="11.647863247863247"/>
  </r>
  <r>
    <s v="ID-1788"/>
    <n v="0"/>
    <x v="0"/>
    <n v="34"/>
    <n v="0"/>
    <n v="2285"/>
    <n v="46"/>
    <n v="159"/>
    <n v="18"/>
    <n v="2"/>
    <n v="1"/>
    <n v="1"/>
    <n v="25"/>
    <n v="820.39499999999998"/>
    <n v="0"/>
    <n v="1"/>
    <x v="0"/>
    <n v="35.903501094091908"/>
  </r>
  <r>
    <s v="ID-1789"/>
    <n v="0"/>
    <x v="0"/>
    <n v="25"/>
    <n v="0"/>
    <n v="820"/>
    <n v="29"/>
    <n v="177"/>
    <n v="6"/>
    <n v="2"/>
    <n v="2"/>
    <n v="1"/>
    <n v="25"/>
    <n v="834.70500000000004"/>
    <n v="0"/>
    <n v="1"/>
    <x v="0"/>
    <n v="101.79329268292683"/>
  </r>
  <r>
    <s v="ID-1790"/>
    <n v="0"/>
    <x v="0"/>
    <n v="24"/>
    <n v="0"/>
    <n v="1073"/>
    <n v="32"/>
    <n v="14"/>
    <n v="63"/>
    <n v="4"/>
    <n v="1"/>
    <n v="1"/>
    <n v="45"/>
    <n v="62.625"/>
    <n v="0"/>
    <n v="2"/>
    <x v="0"/>
    <n v="5.8364398881640263"/>
  </r>
  <r>
    <s v="ID-1791"/>
    <n v="4"/>
    <x v="0"/>
    <n v="25"/>
    <n v="0"/>
    <n v="205"/>
    <n v="18"/>
    <n v="0"/>
    <n v="2"/>
    <n v="2"/>
    <n v="1"/>
    <n v="2"/>
    <n v="25"/>
    <n v="10.035"/>
    <n v="0"/>
    <n v="1"/>
    <x v="0"/>
    <n v="4.8951219512195125"/>
  </r>
  <r>
    <s v="ID-1792"/>
    <n v="0"/>
    <x v="0"/>
    <n v="24"/>
    <n v="0"/>
    <n v="0"/>
    <n v="0"/>
    <n v="5"/>
    <n v="0"/>
    <n v="4"/>
    <n v="1"/>
    <n v="2"/>
    <n v="45"/>
    <n v="12.5"/>
    <n v="0"/>
    <n v="1"/>
    <x v="0"/>
    <n v="0"/>
  </r>
  <r>
    <s v="ID-1793"/>
    <n v="3"/>
    <x v="0"/>
    <n v="23"/>
    <n v="0"/>
    <n v="730"/>
    <n v="25"/>
    <n v="3"/>
    <n v="8"/>
    <n v="2"/>
    <n v="1"/>
    <n v="1"/>
    <n v="25"/>
    <n v="47.475000000000001"/>
    <n v="0"/>
    <n v="1"/>
    <x v="0"/>
    <n v="6.5034246575342474"/>
  </r>
  <r>
    <s v="ID-1794"/>
    <n v="0"/>
    <x v="0"/>
    <n v="23"/>
    <n v="0"/>
    <n v="2730"/>
    <n v="54"/>
    <n v="0"/>
    <n v="18"/>
    <n v="3"/>
    <n v="1"/>
    <n v="1"/>
    <n v="30"/>
    <n v="111.36"/>
    <n v="0"/>
    <n v="1"/>
    <x v="0"/>
    <n v="4.0791208791208788"/>
  </r>
  <r>
    <s v="ID-1795"/>
    <n v="0"/>
    <x v="0"/>
    <n v="16"/>
    <n v="0"/>
    <n v="1200"/>
    <n v="19"/>
    <n v="12"/>
    <n v="9"/>
    <n v="2"/>
    <n v="1"/>
    <n v="1"/>
    <n v="25"/>
    <n v="108.855"/>
    <n v="0"/>
    <n v="1"/>
    <x v="0"/>
    <n v="9.0712500000000009"/>
  </r>
  <r>
    <s v="ID-1796"/>
    <n v="9"/>
    <x v="0"/>
    <n v="15"/>
    <n v="0"/>
    <n v="5897"/>
    <n v="134"/>
    <n v="69"/>
    <n v="37"/>
    <n v="1"/>
    <n v="2"/>
    <n v="1"/>
    <n v="15"/>
    <n v="711.20500000000004"/>
    <n v="0"/>
    <n v="1"/>
    <x v="0"/>
    <n v="12.06045446837375"/>
  </r>
  <r>
    <s v="ID-1797"/>
    <n v="5"/>
    <x v="0"/>
    <n v="13"/>
    <n v="0"/>
    <n v="8437"/>
    <n v="164"/>
    <n v="57"/>
    <n v="35"/>
    <n v="4"/>
    <n v="1"/>
    <n v="1"/>
    <n v="45"/>
    <n v="357.52499999999998"/>
    <n v="0"/>
    <n v="3"/>
    <x v="1"/>
    <n v="4.2375844494488559"/>
  </r>
  <r>
    <s v="ID-1798"/>
    <n v="1"/>
    <x v="0"/>
    <n v="14"/>
    <n v="2"/>
    <n v="2357"/>
    <n v="38"/>
    <n v="15"/>
    <n v="14"/>
    <n v="3"/>
    <n v="1"/>
    <n v="1"/>
    <n v="30"/>
    <n v="155.80000000000001"/>
    <n v="0"/>
    <n v="0"/>
    <x v="0"/>
    <n v="6.6100975816716172"/>
  </r>
  <r>
    <s v="ID-1799"/>
    <n v="0"/>
    <x v="0"/>
    <n v="7"/>
    <n v="0"/>
    <n v="3895"/>
    <n v="33"/>
    <n v="199"/>
    <n v="5"/>
    <n v="3"/>
    <n v="1"/>
    <n v="1"/>
    <n v="30"/>
    <n v="953.12"/>
    <n v="0"/>
    <n v="1"/>
    <x v="0"/>
    <n v="24.470346598202823"/>
  </r>
  <r>
    <s v="ID-1800"/>
    <n v="0"/>
    <x v="0"/>
    <n v="7"/>
    <n v="0"/>
    <n v="992"/>
    <n v="12"/>
    <n v="0"/>
    <n v="2"/>
    <n v="2"/>
    <n v="1"/>
    <n v="1"/>
    <n v="25"/>
    <n v="45.18"/>
    <n v="1"/>
    <n v="1"/>
    <x v="0"/>
    <n v="4.554435483870968"/>
  </r>
  <r>
    <s v="ID-1801"/>
    <n v="1"/>
    <x v="0"/>
    <n v="31"/>
    <n v="0"/>
    <n v="4065"/>
    <n v="59"/>
    <n v="0"/>
    <n v="14"/>
    <n v="2"/>
    <n v="1"/>
    <n v="1"/>
    <n v="25"/>
    <n v="185.58"/>
    <n v="0"/>
    <n v="1"/>
    <x v="0"/>
    <n v="4.5653136531365313"/>
  </r>
  <r>
    <s v="ID-1802"/>
    <n v="0"/>
    <x v="0"/>
    <n v="32"/>
    <n v="0"/>
    <n v="0"/>
    <n v="0"/>
    <n v="0"/>
    <n v="0"/>
    <n v="2"/>
    <n v="1"/>
    <n v="2"/>
    <n v="25"/>
    <n v="0"/>
    <n v="0"/>
    <n v="1"/>
    <x v="0"/>
    <n v="0"/>
  </r>
  <r>
    <s v="ID-1803"/>
    <n v="3"/>
    <x v="0"/>
    <n v="30"/>
    <n v="0"/>
    <n v="2148"/>
    <n v="48"/>
    <n v="344"/>
    <n v="21"/>
    <n v="2"/>
    <n v="1"/>
    <n v="1"/>
    <n v="25"/>
    <n v="1646.82"/>
    <n v="0"/>
    <n v="1"/>
    <x v="0"/>
    <n v="76.667597765363126"/>
  </r>
  <r>
    <s v="ID-1804"/>
    <n v="3"/>
    <x v="0"/>
    <n v="31"/>
    <n v="0"/>
    <n v="3893"/>
    <n v="54"/>
    <n v="0"/>
    <n v="32"/>
    <n v="1"/>
    <n v="1"/>
    <n v="1"/>
    <n v="15"/>
    <n v="217.08500000000001"/>
    <n v="0"/>
    <n v="1"/>
    <x v="0"/>
    <n v="5.5762907783200619"/>
  </r>
  <r>
    <s v="ID-1805"/>
    <n v="0"/>
    <x v="0"/>
    <n v="31"/>
    <n v="0"/>
    <n v="2088"/>
    <n v="46"/>
    <n v="0"/>
    <n v="30"/>
    <n v="1"/>
    <n v="1"/>
    <n v="1"/>
    <n v="15"/>
    <n v="117.37"/>
    <n v="0"/>
    <n v="1"/>
    <x v="0"/>
    <n v="5.6211685823754793"/>
  </r>
  <r>
    <s v="ID-1806"/>
    <n v="4"/>
    <x v="0"/>
    <n v="31"/>
    <n v="0"/>
    <n v="3470"/>
    <n v="70"/>
    <n v="17"/>
    <n v="25"/>
    <n v="2"/>
    <n v="1"/>
    <n v="1"/>
    <n v="25"/>
    <n v="235.8"/>
    <n v="0"/>
    <n v="1"/>
    <x v="0"/>
    <n v="6.7953890489913542"/>
  </r>
  <r>
    <s v="ID-1807"/>
    <n v="0"/>
    <x v="0"/>
    <n v="31"/>
    <n v="0"/>
    <n v="2055"/>
    <n v="27"/>
    <n v="270"/>
    <n v="15"/>
    <n v="3"/>
    <n v="1"/>
    <n v="1"/>
    <n v="30"/>
    <n v="1163.28"/>
    <n v="0"/>
    <n v="1"/>
    <x v="0"/>
    <n v="56.607299270072986"/>
  </r>
  <r>
    <s v="ID-1808"/>
    <n v="6"/>
    <x v="0"/>
    <n v="30"/>
    <n v="0"/>
    <n v="8810"/>
    <n v="109"/>
    <n v="129"/>
    <n v="40"/>
    <n v="3"/>
    <n v="1"/>
    <n v="1"/>
    <n v="30"/>
    <n v="872.76"/>
    <n v="0"/>
    <n v="1"/>
    <x v="0"/>
    <n v="9.9064699205448363"/>
  </r>
  <r>
    <s v="ID-1809"/>
    <n v="0"/>
    <x v="0"/>
    <n v="31"/>
    <n v="0"/>
    <n v="13468"/>
    <n v="157"/>
    <n v="0"/>
    <n v="41"/>
    <n v="3"/>
    <n v="1"/>
    <n v="1"/>
    <n v="30"/>
    <n v="545"/>
    <n v="0"/>
    <n v="3"/>
    <x v="1"/>
    <n v="4.0466290466290467"/>
  </r>
  <r>
    <s v="ID-1810"/>
    <n v="0"/>
    <x v="0"/>
    <n v="31"/>
    <n v="0"/>
    <n v="4210"/>
    <n v="71"/>
    <n v="0"/>
    <n v="22"/>
    <n v="3"/>
    <n v="1"/>
    <n v="1"/>
    <n v="30"/>
    <n v="171.24"/>
    <n v="0"/>
    <n v="1"/>
    <x v="0"/>
    <n v="4.0674584323040381"/>
  </r>
  <r>
    <s v="ID-1811"/>
    <n v="0"/>
    <x v="0"/>
    <n v="31"/>
    <n v="0"/>
    <n v="5613"/>
    <n v="83"/>
    <n v="0"/>
    <n v="9"/>
    <n v="2"/>
    <n v="1"/>
    <n v="1"/>
    <n v="25"/>
    <n v="256.32"/>
    <n v="0"/>
    <n v="1"/>
    <x v="0"/>
    <n v="4.566541956173169"/>
  </r>
  <r>
    <s v="ID-1812"/>
    <n v="2"/>
    <x v="0"/>
    <n v="31"/>
    <n v="0"/>
    <n v="1933"/>
    <n v="42"/>
    <n v="0"/>
    <n v="14"/>
    <n v="3"/>
    <n v="1"/>
    <n v="2"/>
    <n v="30"/>
    <n v="79"/>
    <n v="0"/>
    <n v="1"/>
    <x v="0"/>
    <n v="4.0869115364718054"/>
  </r>
  <r>
    <s v="ID-1813"/>
    <n v="18"/>
    <x v="0"/>
    <n v="31"/>
    <n v="1"/>
    <n v="14835"/>
    <n v="213"/>
    <n v="39"/>
    <n v="29"/>
    <n v="2"/>
    <n v="1"/>
    <n v="1"/>
    <n v="25"/>
    <n v="852.66"/>
    <n v="0"/>
    <n v="4"/>
    <x v="1"/>
    <n v="5.7476238624873606"/>
  </r>
  <r>
    <s v="ID-1814"/>
    <n v="0"/>
    <x v="0"/>
    <n v="31"/>
    <n v="0"/>
    <n v="2790"/>
    <n v="15"/>
    <n v="468"/>
    <n v="5"/>
    <n v="3"/>
    <n v="1"/>
    <n v="1"/>
    <n v="30"/>
    <n v="1984.2"/>
    <n v="0"/>
    <n v="1"/>
    <x v="0"/>
    <n v="71.118279569892479"/>
  </r>
  <r>
    <s v="ID-1815"/>
    <n v="2"/>
    <x v="0"/>
    <n v="30"/>
    <n v="0"/>
    <n v="15180"/>
    <n v="170"/>
    <n v="135"/>
    <n v="27"/>
    <n v="2"/>
    <n v="1"/>
    <n v="1"/>
    <n v="25"/>
    <n v="1298.25"/>
    <n v="0"/>
    <n v="3"/>
    <x v="1"/>
    <n v="8.5523715415019765"/>
  </r>
  <r>
    <s v="ID-1816"/>
    <n v="0"/>
    <x v="0"/>
    <n v="30"/>
    <n v="0"/>
    <n v="6195"/>
    <n v="74"/>
    <n v="171"/>
    <n v="23"/>
    <n v="3"/>
    <n v="1"/>
    <n v="1"/>
    <n v="30"/>
    <n v="934.76"/>
    <n v="0"/>
    <n v="1"/>
    <x v="0"/>
    <n v="15.088942695722357"/>
  </r>
  <r>
    <s v="ID-1817"/>
    <n v="0"/>
    <x v="0"/>
    <n v="30"/>
    <n v="0"/>
    <n v="570"/>
    <n v="2"/>
    <n v="0"/>
    <n v="8"/>
    <n v="2"/>
    <n v="1"/>
    <n v="2"/>
    <n v="25"/>
    <n v="25.74"/>
    <n v="0"/>
    <n v="1"/>
    <x v="0"/>
    <n v="4.5157894736842108"/>
  </r>
  <r>
    <s v="ID-1818"/>
    <n v="0"/>
    <x v="0"/>
    <n v="31"/>
    <n v="0"/>
    <n v="405"/>
    <n v="2"/>
    <n v="0"/>
    <n v="5"/>
    <n v="2"/>
    <n v="1"/>
    <n v="2"/>
    <n v="25"/>
    <n v="18.315000000000001"/>
    <n v="0"/>
    <n v="1"/>
    <x v="0"/>
    <n v="4.522222222222223"/>
  </r>
  <r>
    <s v="ID-1819"/>
    <n v="0"/>
    <x v="0"/>
    <n v="30"/>
    <n v="0"/>
    <n v="0"/>
    <n v="0"/>
    <n v="0"/>
    <n v="0"/>
    <n v="2"/>
    <n v="1"/>
    <n v="2"/>
    <n v="25"/>
    <n v="0"/>
    <n v="1"/>
    <n v="1"/>
    <x v="0"/>
    <n v="0"/>
  </r>
  <r>
    <s v="ID-1820"/>
    <n v="0"/>
    <x v="0"/>
    <n v="30"/>
    <n v="0"/>
    <n v="7203"/>
    <n v="115"/>
    <n v="369"/>
    <n v="40"/>
    <n v="2"/>
    <n v="1"/>
    <n v="1"/>
    <n v="25"/>
    <n v="1989.81"/>
    <n v="0"/>
    <n v="1"/>
    <x v="0"/>
    <n v="27.624739691795085"/>
  </r>
  <r>
    <s v="ID-1821"/>
    <n v="0"/>
    <x v="0"/>
    <n v="30"/>
    <n v="0"/>
    <n v="11160"/>
    <n v="142"/>
    <n v="0"/>
    <n v="44"/>
    <n v="3"/>
    <n v="1"/>
    <n v="1"/>
    <n v="30"/>
    <n v="452.08"/>
    <n v="0"/>
    <n v="3"/>
    <x v="1"/>
    <n v="4.0508960573476704"/>
  </r>
  <r>
    <s v="ID-1822"/>
    <n v="1"/>
    <x v="0"/>
    <n v="30"/>
    <n v="0"/>
    <n v="6413"/>
    <n v="63"/>
    <n v="93"/>
    <n v="34"/>
    <n v="2"/>
    <n v="1"/>
    <n v="1"/>
    <n v="25"/>
    <n v="709.92"/>
    <n v="0"/>
    <n v="1"/>
    <x v="0"/>
    <n v="11.07001403399345"/>
  </r>
  <r>
    <s v="ID-1823"/>
    <n v="16"/>
    <x v="0"/>
    <n v="26"/>
    <n v="0"/>
    <n v="650"/>
    <n v="35"/>
    <n v="1"/>
    <n v="14"/>
    <n v="2"/>
    <n v="1"/>
    <n v="2"/>
    <n v="25"/>
    <n v="35.325000000000003"/>
    <n v="1"/>
    <n v="3"/>
    <x v="1"/>
    <n v="5.4346153846153848"/>
  </r>
  <r>
    <s v="ID-1824"/>
    <n v="14"/>
    <x v="0"/>
    <n v="29"/>
    <n v="6"/>
    <n v="10130"/>
    <n v="81"/>
    <n v="0"/>
    <n v="39"/>
    <n v="4"/>
    <n v="1"/>
    <n v="1"/>
    <n v="45"/>
    <n v="255.27500000000001"/>
    <n v="0"/>
    <n v="2"/>
    <x v="0"/>
    <n v="2.5199901283316879"/>
  </r>
  <r>
    <s v="ID-1825"/>
    <n v="6"/>
    <x v="0"/>
    <n v="29"/>
    <n v="0"/>
    <n v="5513"/>
    <n v="86"/>
    <n v="11"/>
    <n v="21"/>
    <n v="2"/>
    <n v="1"/>
    <n v="1"/>
    <n v="25"/>
    <n v="301.45499999999998"/>
    <n v="1"/>
    <n v="1"/>
    <x v="0"/>
    <n v="5.4680754580083439"/>
  </r>
  <r>
    <s v="ID-1826"/>
    <n v="0"/>
    <x v="0"/>
    <n v="27"/>
    <n v="0"/>
    <n v="2535"/>
    <n v="10"/>
    <n v="0"/>
    <n v="11"/>
    <n v="3"/>
    <n v="1"/>
    <n v="1"/>
    <n v="30"/>
    <n v="101.8"/>
    <n v="0"/>
    <n v="1"/>
    <x v="0"/>
    <n v="4.0157790927021697"/>
  </r>
  <r>
    <s v="ID-1827"/>
    <n v="2"/>
    <x v="0"/>
    <n v="28"/>
    <n v="0"/>
    <n v="2685"/>
    <n v="29"/>
    <n v="0"/>
    <n v="13"/>
    <n v="2"/>
    <n v="1"/>
    <n v="2"/>
    <n v="25"/>
    <n v="122.13"/>
    <n v="1"/>
    <n v="1"/>
    <x v="0"/>
    <n v="4.5486033519553066"/>
  </r>
  <r>
    <s v="ID-1828"/>
    <n v="2"/>
    <x v="0"/>
    <n v="29"/>
    <n v="0"/>
    <n v="1963"/>
    <n v="32"/>
    <n v="19"/>
    <n v="28"/>
    <n v="3"/>
    <n v="1"/>
    <n v="2"/>
    <n v="30"/>
    <n v="155.80000000000001"/>
    <n v="1"/>
    <n v="1"/>
    <x v="0"/>
    <n v="7.9368313805399913"/>
  </r>
  <r>
    <s v="ID-1829"/>
    <n v="0"/>
    <x v="0"/>
    <n v="29"/>
    <n v="0"/>
    <n v="0"/>
    <n v="0"/>
    <n v="0"/>
    <n v="0"/>
    <n v="2"/>
    <n v="1"/>
    <n v="2"/>
    <n v="25"/>
    <n v="0"/>
    <n v="1"/>
    <n v="1"/>
    <x v="0"/>
    <n v="0"/>
  </r>
  <r>
    <s v="ID-1830"/>
    <n v="0"/>
    <x v="0"/>
    <n v="29"/>
    <n v="0"/>
    <n v="1363"/>
    <n v="13"/>
    <n v="0"/>
    <n v="3"/>
    <n v="3"/>
    <n v="1"/>
    <n v="1"/>
    <n v="30"/>
    <n v="55.04"/>
    <n v="0"/>
    <n v="1"/>
    <x v="0"/>
    <n v="4.0381511371973584"/>
  </r>
  <r>
    <s v="ID-1831"/>
    <n v="0"/>
    <x v="0"/>
    <n v="26"/>
    <n v="0"/>
    <n v="6480"/>
    <n v="85"/>
    <n v="0"/>
    <n v="19"/>
    <n v="4"/>
    <n v="1"/>
    <n v="1"/>
    <n v="45"/>
    <n v="164.125"/>
    <n v="0"/>
    <n v="1"/>
    <x v="0"/>
    <n v="2.5327932098765431"/>
  </r>
  <r>
    <s v="ID-1832"/>
    <n v="0"/>
    <x v="0"/>
    <n v="29"/>
    <n v="0"/>
    <n v="0"/>
    <n v="0"/>
    <n v="0"/>
    <n v="0"/>
    <n v="3"/>
    <n v="1"/>
    <n v="2"/>
    <n v="30"/>
    <n v="0"/>
    <n v="1"/>
    <n v="1"/>
    <x v="0"/>
    <n v="0"/>
  </r>
  <r>
    <s v="ID-1833"/>
    <n v="0"/>
    <x v="0"/>
    <n v="29"/>
    <n v="0"/>
    <n v="0"/>
    <n v="0"/>
    <n v="0"/>
    <n v="0"/>
    <n v="4"/>
    <n v="1"/>
    <n v="1"/>
    <n v="45"/>
    <n v="0"/>
    <n v="0"/>
    <n v="1"/>
    <x v="0"/>
    <n v="0"/>
  </r>
  <r>
    <s v="ID-1834"/>
    <n v="18"/>
    <x v="0"/>
    <n v="24"/>
    <n v="1"/>
    <n v="15770"/>
    <n v="226"/>
    <n v="0"/>
    <n v="77"/>
    <n v="2"/>
    <n v="1"/>
    <n v="1"/>
    <n v="25"/>
    <n v="719.82"/>
    <n v="0"/>
    <n v="5"/>
    <x v="1"/>
    <n v="4.5644895370957519"/>
  </r>
  <r>
    <s v="ID-1835"/>
    <n v="0"/>
    <x v="0"/>
    <n v="27"/>
    <n v="1"/>
    <n v="6660"/>
    <n v="104"/>
    <n v="256"/>
    <n v="30"/>
    <n v="2"/>
    <n v="2"/>
    <n v="1"/>
    <n v="25"/>
    <n v="1456.38"/>
    <n v="0"/>
    <n v="0"/>
    <x v="0"/>
    <n v="21.867567567567569"/>
  </r>
  <r>
    <s v="ID-1836"/>
    <n v="0"/>
    <x v="0"/>
    <n v="29"/>
    <n v="0"/>
    <n v="3413"/>
    <n v="70"/>
    <n v="0"/>
    <n v="25"/>
    <n v="2"/>
    <n v="1"/>
    <n v="1"/>
    <n v="25"/>
    <n v="156.73500000000001"/>
    <n v="0"/>
    <n v="1"/>
    <x v="0"/>
    <n v="4.5922941693524759"/>
  </r>
  <r>
    <s v="ID-1837"/>
    <n v="0"/>
    <x v="0"/>
    <n v="28"/>
    <n v="0"/>
    <n v="1360"/>
    <n v="32"/>
    <n v="23"/>
    <n v="17"/>
    <n v="3"/>
    <n v="1"/>
    <n v="2"/>
    <n v="30"/>
    <n v="147.68"/>
    <n v="0"/>
    <n v="1"/>
    <x v="0"/>
    <n v="10.858823529411765"/>
  </r>
  <r>
    <s v="ID-1838"/>
    <n v="0"/>
    <x v="0"/>
    <n v="29"/>
    <n v="0"/>
    <n v="2475"/>
    <n v="41"/>
    <n v="160"/>
    <n v="20"/>
    <n v="2"/>
    <n v="1"/>
    <n v="1"/>
    <n v="25"/>
    <n v="833.22"/>
    <n v="0"/>
    <n v="1"/>
    <x v="0"/>
    <n v="33.665454545454551"/>
  </r>
  <r>
    <s v="ID-1839"/>
    <n v="0"/>
    <x v="0"/>
    <n v="20"/>
    <n v="0"/>
    <n v="1010"/>
    <n v="24"/>
    <n v="178"/>
    <n v="8"/>
    <n v="2"/>
    <n v="2"/>
    <n v="1"/>
    <n v="25"/>
    <n v="847.53"/>
    <n v="0"/>
    <n v="1"/>
    <x v="0"/>
    <n v="83.913861386138606"/>
  </r>
  <r>
    <s v="ID-1840"/>
    <n v="0"/>
    <x v="0"/>
    <n v="19"/>
    <n v="0"/>
    <n v="1263"/>
    <n v="27"/>
    <n v="15"/>
    <n v="65"/>
    <n v="4"/>
    <n v="1"/>
    <n v="1"/>
    <n v="45"/>
    <n v="69.75"/>
    <n v="0"/>
    <n v="2"/>
    <x v="0"/>
    <n v="5.5225653206650831"/>
  </r>
  <r>
    <s v="ID-1841"/>
    <n v="4"/>
    <x v="0"/>
    <n v="20"/>
    <n v="0"/>
    <n v="395"/>
    <n v="13"/>
    <n v="0"/>
    <n v="4"/>
    <n v="2"/>
    <n v="1"/>
    <n v="2"/>
    <n v="25"/>
    <n v="18.36"/>
    <n v="0"/>
    <n v="1"/>
    <x v="0"/>
    <n v="4.6481012658227847"/>
  </r>
  <r>
    <s v="ID-1842"/>
    <n v="0"/>
    <x v="0"/>
    <n v="19"/>
    <n v="0"/>
    <n v="520"/>
    <n v="4"/>
    <n v="6"/>
    <n v="2"/>
    <n v="4"/>
    <n v="1"/>
    <n v="2"/>
    <n v="45"/>
    <n v="28.1"/>
    <n v="0"/>
    <n v="1"/>
    <x v="0"/>
    <n v="5.4038461538461542"/>
  </r>
  <r>
    <s v="ID-1843"/>
    <n v="3"/>
    <x v="0"/>
    <n v="18"/>
    <n v="0"/>
    <n v="920"/>
    <n v="20"/>
    <n v="4"/>
    <n v="10"/>
    <n v="1"/>
    <n v="1"/>
    <n v="1"/>
    <n v="15"/>
    <n v="73.7"/>
    <n v="0"/>
    <n v="1"/>
    <x v="0"/>
    <n v="8.0108695652173925"/>
  </r>
  <r>
    <s v="ID-1844"/>
    <n v="0"/>
    <x v="0"/>
    <n v="18"/>
    <n v="0"/>
    <n v="2920"/>
    <n v="49"/>
    <n v="0"/>
    <n v="20"/>
    <n v="3"/>
    <n v="1"/>
    <n v="1"/>
    <n v="30"/>
    <n v="118.76"/>
    <n v="0"/>
    <n v="1"/>
    <x v="0"/>
    <n v="4.0671232876712331"/>
  </r>
  <r>
    <s v="ID-1845"/>
    <n v="0"/>
    <x v="0"/>
    <n v="11"/>
    <n v="0"/>
    <n v="1390"/>
    <n v="14"/>
    <n v="13"/>
    <n v="11"/>
    <n v="2"/>
    <n v="1"/>
    <n v="1"/>
    <n v="25"/>
    <n v="121.68"/>
    <n v="0"/>
    <n v="1"/>
    <x v="0"/>
    <n v="8.7539568345323744"/>
  </r>
  <r>
    <s v="ID-1846"/>
    <n v="9"/>
    <x v="0"/>
    <n v="10"/>
    <n v="0"/>
    <n v="6087"/>
    <n v="129"/>
    <n v="70"/>
    <n v="39"/>
    <n v="1"/>
    <n v="2"/>
    <n v="1"/>
    <n v="15"/>
    <n v="726.88"/>
    <n v="0"/>
    <n v="1"/>
    <x v="0"/>
    <n v="11.941514703466403"/>
  </r>
  <r>
    <s v="ID-1847"/>
    <n v="5"/>
    <x v="0"/>
    <n v="8"/>
    <n v="0"/>
    <n v="8627"/>
    <n v="159"/>
    <n v="58"/>
    <n v="37"/>
    <n v="4"/>
    <n v="1"/>
    <n v="1"/>
    <n v="45"/>
    <n v="364.65"/>
    <n v="0"/>
    <n v="3"/>
    <x v="1"/>
    <n v="4.2268459487655035"/>
  </r>
  <r>
    <s v="ID-1848"/>
    <n v="1"/>
    <x v="0"/>
    <n v="9"/>
    <n v="1"/>
    <n v="2547"/>
    <n v="33"/>
    <n v="16"/>
    <n v="16"/>
    <n v="3"/>
    <n v="1"/>
    <n v="1"/>
    <n v="30"/>
    <n v="167.2"/>
    <n v="0"/>
    <n v="0"/>
    <x v="0"/>
    <n v="6.5645857872006275"/>
  </r>
  <r>
    <s v="ID-1849"/>
    <n v="0"/>
    <x v="0"/>
    <n v="3"/>
    <n v="0"/>
    <n v="4085"/>
    <n v="28"/>
    <n v="200"/>
    <n v="7"/>
    <n v="2"/>
    <n v="1"/>
    <n v="1"/>
    <n v="25"/>
    <n v="1085.085"/>
    <n v="0"/>
    <n v="1"/>
    <x v="0"/>
    <n v="26.562668298653612"/>
  </r>
  <r>
    <s v="ID-1850"/>
    <n v="0"/>
    <x v="0"/>
    <n v="3"/>
    <n v="0"/>
    <n v="1182"/>
    <n v="7"/>
    <n v="0"/>
    <n v="4"/>
    <n v="2"/>
    <n v="1"/>
    <n v="1"/>
    <n v="25"/>
    <n v="53.505000000000003"/>
    <n v="1"/>
    <n v="1"/>
    <x v="0"/>
    <n v="4.5266497461928932"/>
  </r>
  <r>
    <s v="ID-1851"/>
    <n v="5"/>
    <x v="0"/>
    <n v="41"/>
    <n v="0"/>
    <n v="4065"/>
    <n v="71"/>
    <n v="6"/>
    <n v="16"/>
    <n v="3"/>
    <n v="1"/>
    <n v="1"/>
    <n v="30"/>
    <n v="189.44"/>
    <n v="0"/>
    <n v="1"/>
    <x v="0"/>
    <n v="4.660270602706027"/>
  </r>
  <r>
    <s v="ID-1852"/>
    <n v="0"/>
    <x v="0"/>
    <n v="42"/>
    <n v="0"/>
    <n v="13"/>
    <n v="5"/>
    <n v="8"/>
    <n v="3"/>
    <n v="3"/>
    <n v="1"/>
    <n v="2"/>
    <n v="30"/>
    <n v="32.72"/>
    <n v="0"/>
    <n v="1"/>
    <x v="0"/>
    <n v="251.69230769230771"/>
  </r>
  <r>
    <s v="ID-1853"/>
    <n v="7"/>
    <x v="0"/>
    <n v="40"/>
    <n v="0"/>
    <n v="2148"/>
    <n v="60"/>
    <n v="360"/>
    <n v="23"/>
    <n v="3"/>
    <n v="1"/>
    <n v="1"/>
    <n v="30"/>
    <n v="1528.32"/>
    <n v="0"/>
    <n v="1"/>
    <x v="0"/>
    <n v="71.150837988826808"/>
  </r>
  <r>
    <s v="ID-1854"/>
    <n v="7"/>
    <x v="0"/>
    <n v="41"/>
    <n v="0"/>
    <n v="3893"/>
    <n v="66"/>
    <n v="2"/>
    <n v="34"/>
    <n v="1"/>
    <n v="1"/>
    <n v="1"/>
    <n v="15"/>
    <n v="228.745"/>
    <n v="0"/>
    <n v="1"/>
    <x v="0"/>
    <n v="5.8758027228358589"/>
  </r>
  <r>
    <s v="ID-1855"/>
    <n v="0"/>
    <x v="0"/>
    <n v="41"/>
    <n v="0"/>
    <n v="2088"/>
    <n v="58"/>
    <n v="3"/>
    <n v="32"/>
    <n v="2"/>
    <n v="1"/>
    <n v="1"/>
    <n v="25"/>
    <n v="110.07"/>
    <n v="0"/>
    <n v="1"/>
    <x v="0"/>
    <n v="5.2715517241379306"/>
  </r>
  <r>
    <s v="ID-1856"/>
    <n v="8"/>
    <x v="0"/>
    <n v="41"/>
    <n v="1"/>
    <n v="3470"/>
    <n v="82"/>
    <n v="33"/>
    <n v="27"/>
    <n v="3"/>
    <n v="1"/>
    <n v="1"/>
    <n v="30"/>
    <n v="274.08"/>
    <n v="0"/>
    <n v="0"/>
    <x v="0"/>
    <n v="7.8985590778097983"/>
  </r>
  <r>
    <s v="ID-1857"/>
    <n v="1"/>
    <x v="0"/>
    <n v="41"/>
    <n v="0"/>
    <n v="2055"/>
    <n v="39"/>
    <n v="286"/>
    <n v="17"/>
    <n v="3"/>
    <n v="1"/>
    <n v="1"/>
    <n v="30"/>
    <n v="1227.76"/>
    <n v="0"/>
    <n v="1"/>
    <x v="0"/>
    <n v="59.74501216545012"/>
  </r>
  <r>
    <s v="ID-1858"/>
    <n v="10"/>
    <x v="0"/>
    <n v="40"/>
    <n v="2"/>
    <n v="8810"/>
    <n v="121"/>
    <n v="145"/>
    <n v="42"/>
    <n v="3"/>
    <n v="1"/>
    <n v="1"/>
    <n v="30"/>
    <n v="937.24"/>
    <n v="0"/>
    <n v="0"/>
    <x v="0"/>
    <n v="10.638365493757094"/>
  </r>
  <r>
    <s v="ID-1859"/>
    <n v="4"/>
    <x v="0"/>
    <n v="41"/>
    <n v="0"/>
    <n v="13468"/>
    <n v="169"/>
    <n v="1"/>
    <n v="43"/>
    <n v="3"/>
    <n v="1"/>
    <n v="1"/>
    <n v="30"/>
    <n v="549.48"/>
    <n v="0"/>
    <n v="3"/>
    <x v="1"/>
    <n v="4.0798930798930799"/>
  </r>
  <r>
    <s v="ID-1860"/>
    <n v="4"/>
    <x v="0"/>
    <n v="41"/>
    <n v="1"/>
    <n v="4210"/>
    <n v="83"/>
    <n v="3"/>
    <n v="24"/>
    <n v="3"/>
    <n v="1"/>
    <n v="1"/>
    <n v="30"/>
    <n v="183.72"/>
    <n v="0"/>
    <n v="0"/>
    <x v="0"/>
    <n v="4.363895486935867"/>
  </r>
  <r>
    <s v="ID-1861"/>
    <n v="3"/>
    <x v="0"/>
    <n v="41"/>
    <n v="0"/>
    <n v="5613"/>
    <n v="95"/>
    <n v="8"/>
    <n v="11"/>
    <n v="3"/>
    <n v="1"/>
    <n v="1"/>
    <n v="30"/>
    <n v="260.32"/>
    <n v="0"/>
    <n v="1"/>
    <x v="0"/>
    <n v="4.6378050953144481"/>
  </r>
  <r>
    <s v="ID-1862"/>
    <n v="6"/>
    <x v="0"/>
    <n v="41"/>
    <n v="0"/>
    <n v="1933"/>
    <n v="54"/>
    <n v="9"/>
    <n v="16"/>
    <n v="3"/>
    <n v="1"/>
    <n v="2"/>
    <n v="30"/>
    <n v="115.48"/>
    <n v="0"/>
    <n v="1"/>
    <x v="0"/>
    <n v="5.9741334712881535"/>
  </r>
  <r>
    <s v="ID-1863"/>
    <n v="22"/>
    <x v="0"/>
    <n v="41"/>
    <n v="3"/>
    <n v="14835"/>
    <n v="225"/>
    <n v="55"/>
    <n v="31"/>
    <n v="3"/>
    <n v="1"/>
    <n v="1"/>
    <n v="30"/>
    <n v="822.4"/>
    <n v="0"/>
    <n v="4"/>
    <x v="1"/>
    <n v="5.5436467812605326"/>
  </r>
  <r>
    <s v="ID-1864"/>
    <n v="1"/>
    <x v="0"/>
    <n v="41"/>
    <n v="1"/>
    <n v="2790"/>
    <n v="27"/>
    <n v="484"/>
    <n v="7"/>
    <n v="3"/>
    <n v="1"/>
    <n v="1"/>
    <n v="30"/>
    <n v="2048.6799999999998"/>
    <n v="0"/>
    <n v="0"/>
    <x v="0"/>
    <n v="73.429390681003582"/>
  </r>
  <r>
    <s v="ID-1865"/>
    <n v="6"/>
    <x v="0"/>
    <n v="40"/>
    <n v="0"/>
    <n v="15180"/>
    <n v="182"/>
    <n v="151"/>
    <n v="29"/>
    <n v="2"/>
    <n v="1"/>
    <n v="1"/>
    <n v="25"/>
    <n v="1370.79"/>
    <n v="0"/>
    <n v="3"/>
    <x v="1"/>
    <n v="9.030237154150198"/>
  </r>
  <r>
    <s v="ID-1866"/>
    <n v="0"/>
    <x v="0"/>
    <n v="40"/>
    <n v="1"/>
    <n v="6195"/>
    <n v="86"/>
    <n v="187"/>
    <n v="25"/>
    <n v="3"/>
    <n v="1"/>
    <n v="1"/>
    <n v="30"/>
    <n v="999.24"/>
    <n v="0"/>
    <n v="0"/>
    <x v="0"/>
    <n v="16.129782082324457"/>
  </r>
  <r>
    <s v="ID-1867"/>
    <n v="0"/>
    <x v="0"/>
    <n v="40"/>
    <n v="0"/>
    <n v="570"/>
    <n v="14"/>
    <n v="1"/>
    <n v="10"/>
    <n v="2"/>
    <n v="1"/>
    <n v="2"/>
    <n v="25"/>
    <n v="30.78"/>
    <n v="0"/>
    <n v="1"/>
    <x v="0"/>
    <n v="5.4"/>
  </r>
  <r>
    <s v="ID-1868"/>
    <n v="0"/>
    <x v="0"/>
    <n v="41"/>
    <n v="0"/>
    <n v="405"/>
    <n v="14"/>
    <n v="14"/>
    <n v="7"/>
    <n v="3"/>
    <n v="1"/>
    <n v="2"/>
    <n v="30"/>
    <n v="72.760000000000005"/>
    <n v="0"/>
    <n v="1"/>
    <x v="0"/>
    <n v="17.965432098765433"/>
  </r>
  <r>
    <s v="ID-1869"/>
    <n v="0"/>
    <x v="0"/>
    <n v="40"/>
    <n v="0"/>
    <n v="0"/>
    <n v="0"/>
    <n v="1"/>
    <n v="0"/>
    <n v="2"/>
    <n v="1"/>
    <n v="2"/>
    <n v="25"/>
    <n v="4.5"/>
    <n v="1"/>
    <n v="1"/>
    <x v="0"/>
    <n v="0"/>
  </r>
  <r>
    <s v="ID-1870"/>
    <n v="0"/>
    <x v="0"/>
    <n v="40"/>
    <n v="0"/>
    <n v="7203"/>
    <n v="127"/>
    <n v="385"/>
    <n v="42"/>
    <n v="3"/>
    <n v="1"/>
    <n v="1"/>
    <n v="30"/>
    <n v="1833.2"/>
    <n v="0"/>
    <n v="1"/>
    <x v="0"/>
    <n v="25.450506733305566"/>
  </r>
  <r>
    <s v="ID-1871"/>
    <n v="4"/>
    <x v="0"/>
    <n v="40"/>
    <n v="1"/>
    <n v="11160"/>
    <n v="154"/>
    <n v="12"/>
    <n v="46"/>
    <n v="4"/>
    <n v="1"/>
    <n v="1"/>
    <n v="45"/>
    <n v="312.85000000000002"/>
    <n v="0"/>
    <n v="2"/>
    <x v="0"/>
    <n v="2.8033154121863801"/>
  </r>
  <r>
    <s v="ID-1872"/>
    <n v="5"/>
    <x v="0"/>
    <n v="40"/>
    <n v="1"/>
    <n v="6413"/>
    <n v="75"/>
    <n v="109"/>
    <n v="36"/>
    <n v="2"/>
    <n v="1"/>
    <n v="1"/>
    <n v="25"/>
    <n v="782.46"/>
    <n v="0"/>
    <n v="0"/>
    <x v="0"/>
    <n v="12.201153906128177"/>
  </r>
  <r>
    <s v="ID-1873"/>
    <n v="20"/>
    <x v="0"/>
    <n v="36"/>
    <n v="0"/>
    <n v="650"/>
    <n v="47"/>
    <n v="17"/>
    <n v="16"/>
    <n v="3"/>
    <n v="1"/>
    <n v="2"/>
    <n v="30"/>
    <n v="95.88"/>
    <n v="1"/>
    <n v="3"/>
    <x v="1"/>
    <n v="14.750769230769231"/>
  </r>
  <r>
    <s v="ID-1874"/>
    <n v="18"/>
    <x v="0"/>
    <n v="39"/>
    <n v="8"/>
    <n v="10130"/>
    <n v="93"/>
    <n v="2"/>
    <n v="41"/>
    <n v="5"/>
    <n v="1"/>
    <n v="1"/>
    <n v="55"/>
    <n v="156.345"/>
    <n v="0"/>
    <n v="2"/>
    <x v="0"/>
    <n v="1.543385982230997"/>
  </r>
  <r>
    <s v="ID-1875"/>
    <n v="10"/>
    <x v="0"/>
    <n v="39"/>
    <n v="1"/>
    <n v="5513"/>
    <n v="98"/>
    <n v="27"/>
    <n v="23"/>
    <n v="2"/>
    <n v="1"/>
    <n v="1"/>
    <n v="25"/>
    <n v="373.995"/>
    <n v="1"/>
    <n v="0"/>
    <x v="0"/>
    <n v="6.7838744785053517"/>
  </r>
  <r>
    <s v="ID-1876"/>
    <n v="0"/>
    <x v="0"/>
    <n v="37"/>
    <n v="0"/>
    <n v="2535"/>
    <n v="22"/>
    <n v="1"/>
    <n v="13"/>
    <n v="3"/>
    <n v="1"/>
    <n v="1"/>
    <n v="30"/>
    <n v="106.28"/>
    <n v="0"/>
    <n v="1"/>
    <x v="0"/>
    <n v="4.1925049309664697"/>
  </r>
  <r>
    <s v="ID-1877"/>
    <n v="6"/>
    <x v="1"/>
    <n v="38"/>
    <n v="0"/>
    <n v="2685"/>
    <n v="41"/>
    <n v="10"/>
    <n v="15"/>
    <n v="3"/>
    <n v="1"/>
    <n v="2"/>
    <n v="30"/>
    <n v="149.04"/>
    <n v="1"/>
    <n v="3"/>
    <x v="1"/>
    <n v="5.5508379888268147"/>
  </r>
  <r>
    <s v="ID-1878"/>
    <n v="6"/>
    <x v="0"/>
    <n v="39"/>
    <n v="0"/>
    <n v="1963"/>
    <n v="44"/>
    <n v="35"/>
    <n v="30"/>
    <n v="3"/>
    <n v="1"/>
    <n v="2"/>
    <n v="30"/>
    <n v="220.28"/>
    <n v="1"/>
    <n v="1"/>
    <x v="0"/>
    <n v="11.221599592460519"/>
  </r>
  <r>
    <s v="ID-1879"/>
    <n v="0"/>
    <x v="0"/>
    <n v="39"/>
    <n v="0"/>
    <n v="0"/>
    <n v="0"/>
    <n v="1"/>
    <n v="0"/>
    <n v="3"/>
    <n v="1"/>
    <n v="2"/>
    <n v="30"/>
    <n v="4"/>
    <n v="1"/>
    <n v="1"/>
    <x v="0"/>
    <n v="0"/>
  </r>
  <r>
    <s v="ID-1880"/>
    <n v="0"/>
    <x v="0"/>
    <n v="39"/>
    <n v="0"/>
    <n v="1363"/>
    <n v="25"/>
    <n v="1"/>
    <n v="5"/>
    <n v="4"/>
    <n v="1"/>
    <n v="1"/>
    <n v="45"/>
    <n v="37.200000000000003"/>
    <n v="0"/>
    <n v="1"/>
    <x v="0"/>
    <n v="2.7292736610418196"/>
  </r>
  <r>
    <s v="ID-1881"/>
    <n v="0"/>
    <x v="0"/>
    <n v="36"/>
    <n v="1"/>
    <n v="6480"/>
    <n v="97"/>
    <n v="15"/>
    <n v="21"/>
    <n v="5"/>
    <n v="1"/>
    <n v="1"/>
    <n v="55"/>
    <n v="121.155"/>
    <n v="0"/>
    <n v="0"/>
    <x v="0"/>
    <n v="1.8696759259259261"/>
  </r>
  <r>
    <s v="ID-1882"/>
    <n v="0"/>
    <x v="0"/>
    <n v="39"/>
    <n v="0"/>
    <n v="323"/>
    <n v="7"/>
    <n v="10"/>
    <n v="3"/>
    <n v="4"/>
    <n v="1"/>
    <n v="2"/>
    <n v="45"/>
    <n v="33.25"/>
    <n v="1"/>
    <n v="1"/>
    <x v="0"/>
    <n v="10.294117647058822"/>
  </r>
  <r>
    <s v="ID-1883"/>
    <n v="0"/>
    <x v="0"/>
    <n v="39"/>
    <n v="1"/>
    <n v="33"/>
    <n v="4"/>
    <n v="5"/>
    <n v="1"/>
    <n v="5"/>
    <n v="1"/>
    <n v="1"/>
    <n v="55"/>
    <n v="8.0549999999999997"/>
    <n v="0"/>
    <n v="0"/>
    <x v="0"/>
    <n v="24.409090909090907"/>
  </r>
  <r>
    <s v="ID-1884"/>
    <n v="22"/>
    <x v="0"/>
    <n v="34"/>
    <n v="3"/>
    <n v="15770"/>
    <n v="238"/>
    <n v="1"/>
    <n v="79"/>
    <n v="2"/>
    <n v="1"/>
    <n v="1"/>
    <n v="25"/>
    <n v="724.86"/>
    <n v="0"/>
    <n v="5"/>
    <x v="1"/>
    <n v="4.5964489537095758"/>
  </r>
  <r>
    <s v="ID-1885"/>
    <n v="3"/>
    <x v="0"/>
    <n v="37"/>
    <n v="3"/>
    <n v="6660"/>
    <n v="116"/>
    <n v="272"/>
    <n v="32"/>
    <n v="2"/>
    <n v="2"/>
    <n v="1"/>
    <n v="25"/>
    <n v="1528.92"/>
    <n v="0"/>
    <n v="0"/>
    <x v="0"/>
    <n v="22.956756756756757"/>
  </r>
  <r>
    <s v="ID-1886"/>
    <n v="0"/>
    <x v="0"/>
    <n v="39"/>
    <n v="0"/>
    <n v="3413"/>
    <n v="82"/>
    <n v="3"/>
    <n v="27"/>
    <n v="3"/>
    <n v="1"/>
    <n v="1"/>
    <n v="30"/>
    <n v="151.80000000000001"/>
    <n v="0"/>
    <n v="1"/>
    <x v="0"/>
    <n v="4.4476999707002642"/>
  </r>
  <r>
    <s v="ID-1887"/>
    <n v="0"/>
    <x v="0"/>
    <n v="38"/>
    <n v="0"/>
    <n v="1360"/>
    <n v="44"/>
    <n v="39"/>
    <n v="19"/>
    <n v="3"/>
    <n v="1"/>
    <n v="2"/>
    <n v="30"/>
    <n v="212.16"/>
    <n v="0"/>
    <n v="1"/>
    <x v="0"/>
    <n v="15.6"/>
  </r>
  <r>
    <s v="ID-1888"/>
    <n v="3"/>
    <x v="0"/>
    <n v="39"/>
    <n v="0"/>
    <n v="2475"/>
    <n v="53"/>
    <n v="176"/>
    <n v="22"/>
    <n v="2"/>
    <n v="1"/>
    <n v="1"/>
    <n v="25"/>
    <n v="905.76"/>
    <n v="0"/>
    <n v="1"/>
    <x v="0"/>
    <n v="36.596363636363641"/>
  </r>
  <r>
    <s v="ID-1889"/>
    <n v="1"/>
    <x v="0"/>
    <n v="30"/>
    <n v="1"/>
    <n v="1010"/>
    <n v="36"/>
    <n v="194"/>
    <n v="10"/>
    <n v="2"/>
    <n v="2"/>
    <n v="1"/>
    <n v="25"/>
    <n v="920.07"/>
    <n v="0"/>
    <n v="0"/>
    <x v="0"/>
    <n v="91.096039603960406"/>
  </r>
  <r>
    <s v="ID-1890"/>
    <n v="1"/>
    <x v="0"/>
    <n v="29"/>
    <n v="0"/>
    <n v="1263"/>
    <n v="39"/>
    <n v="31"/>
    <n v="67"/>
    <n v="4"/>
    <n v="1"/>
    <n v="1"/>
    <n v="45"/>
    <n v="110.05"/>
    <n v="0"/>
    <n v="2"/>
    <x v="0"/>
    <n v="8.7133808392715757"/>
  </r>
  <r>
    <s v="ID-1891"/>
    <n v="8"/>
    <x v="0"/>
    <n v="30"/>
    <n v="0"/>
    <n v="395"/>
    <n v="25"/>
    <n v="11"/>
    <n v="6"/>
    <n v="3"/>
    <n v="1"/>
    <n v="2"/>
    <n v="30"/>
    <n v="60.8"/>
    <n v="0"/>
    <n v="1"/>
    <x v="0"/>
    <n v="15.39240506329114"/>
  </r>
  <r>
    <s v="ID-1892"/>
    <n v="0"/>
    <x v="0"/>
    <n v="29"/>
    <n v="0"/>
    <n v="520"/>
    <n v="10"/>
    <n v="22"/>
    <n v="2"/>
    <n v="4"/>
    <n v="1"/>
    <n v="2"/>
    <n v="45"/>
    <n v="68.25"/>
    <n v="0"/>
    <n v="1"/>
    <x v="0"/>
    <n v="13.125"/>
  </r>
  <r>
    <s v="ID-1893"/>
    <n v="7"/>
    <x v="0"/>
    <n v="28"/>
    <n v="0"/>
    <n v="920"/>
    <n v="32"/>
    <n v="20"/>
    <n v="12"/>
    <n v="2"/>
    <n v="1"/>
    <n v="1"/>
    <n v="25"/>
    <n v="132.84"/>
    <n v="0"/>
    <n v="1"/>
    <x v="0"/>
    <n v="14.43913043478261"/>
  </r>
  <r>
    <s v="ID-1894"/>
    <n v="0"/>
    <x v="0"/>
    <n v="28"/>
    <n v="0"/>
    <n v="2920"/>
    <n v="61"/>
    <n v="9"/>
    <n v="22"/>
    <n v="3"/>
    <n v="1"/>
    <n v="1"/>
    <n v="30"/>
    <n v="155.24"/>
    <n v="0"/>
    <n v="1"/>
    <x v="0"/>
    <n v="5.316438356164384"/>
  </r>
  <r>
    <s v="ID-1895"/>
    <n v="0"/>
    <x v="0"/>
    <n v="21"/>
    <n v="0"/>
    <n v="1390"/>
    <n v="26"/>
    <n v="29"/>
    <n v="13"/>
    <n v="2"/>
    <n v="1"/>
    <n v="1"/>
    <n v="25"/>
    <n v="194.22"/>
    <n v="0"/>
    <n v="1"/>
    <x v="0"/>
    <n v="13.972661870503597"/>
  </r>
  <r>
    <s v="ID-1896"/>
    <n v="13"/>
    <x v="0"/>
    <n v="20"/>
    <n v="1"/>
    <n v="6087"/>
    <n v="141"/>
    <n v="86"/>
    <n v="41"/>
    <n v="2"/>
    <n v="2"/>
    <n v="1"/>
    <n v="25"/>
    <n v="667.26"/>
    <n v="0"/>
    <n v="4"/>
    <x v="1"/>
    <n v="10.962050271069494"/>
  </r>
  <r>
    <s v="ID-1897"/>
    <n v="9"/>
    <x v="0"/>
    <n v="18"/>
    <n v="0"/>
    <n v="8627"/>
    <n v="171"/>
    <n v="74"/>
    <n v="39"/>
    <n v="5"/>
    <n v="1"/>
    <n v="1"/>
    <n v="55"/>
    <n v="242.97"/>
    <n v="0"/>
    <n v="3"/>
    <x v="1"/>
    <n v="2.8163904022255708"/>
  </r>
  <r>
    <s v="ID-1898"/>
    <n v="5"/>
    <x v="0"/>
    <n v="19"/>
    <n v="3"/>
    <n v="2547"/>
    <n v="45"/>
    <n v="32"/>
    <n v="18"/>
    <n v="3"/>
    <n v="1"/>
    <n v="1"/>
    <n v="30"/>
    <n v="231.68"/>
    <n v="0"/>
    <n v="0"/>
    <x v="0"/>
    <n v="9.0961915979583825"/>
  </r>
  <r>
    <s v="ID-1899"/>
    <n v="0"/>
    <x v="0"/>
    <n v="12"/>
    <n v="1"/>
    <n v="4085"/>
    <n v="40"/>
    <n v="216"/>
    <n v="9"/>
    <n v="3"/>
    <n v="1"/>
    <n v="1"/>
    <n v="30"/>
    <n v="1029"/>
    <n v="0"/>
    <n v="0"/>
    <x v="0"/>
    <n v="25.189718482252143"/>
  </r>
  <r>
    <s v="ID-1900"/>
    <n v="0"/>
    <x v="0"/>
    <n v="12"/>
    <n v="1"/>
    <n v="1182"/>
    <n v="19"/>
    <n v="1"/>
    <n v="6"/>
    <n v="3"/>
    <n v="1"/>
    <n v="1"/>
    <n v="30"/>
    <n v="52.04"/>
    <n v="1"/>
    <n v="0"/>
    <x v="0"/>
    <n v="4.4027072758037225"/>
  </r>
  <r>
    <s v="ID-1901"/>
    <n v="9"/>
    <x v="0"/>
    <n v="37"/>
    <n v="0"/>
    <n v="4775"/>
    <n v="76"/>
    <n v="23"/>
    <n v="15"/>
    <n v="2"/>
    <n v="1"/>
    <n v="1"/>
    <n v="25"/>
    <n v="321.79500000000002"/>
    <n v="0"/>
    <n v="1"/>
    <x v="0"/>
    <n v="6.739162303664922"/>
  </r>
  <r>
    <s v="ID-1902"/>
    <n v="1"/>
    <x v="0"/>
    <n v="38"/>
    <n v="0"/>
    <n v="723"/>
    <n v="10"/>
    <n v="8"/>
    <n v="2"/>
    <n v="2"/>
    <n v="1"/>
    <n v="2"/>
    <n v="25"/>
    <n v="68.984999999999999"/>
    <n v="0"/>
    <n v="1"/>
    <x v="0"/>
    <n v="9.5414937759336098"/>
  </r>
  <r>
    <s v="ID-1903"/>
    <n v="11"/>
    <x v="0"/>
    <n v="36"/>
    <n v="0"/>
    <n v="2858"/>
    <n v="65"/>
    <n v="360"/>
    <n v="22"/>
    <n v="2"/>
    <n v="1"/>
    <n v="1"/>
    <n v="25"/>
    <n v="1751.5350000000001"/>
    <n v="0"/>
    <n v="3"/>
    <x v="1"/>
    <n v="61.285339398180547"/>
  </r>
  <r>
    <s v="ID-1904"/>
    <n v="11"/>
    <x v="0"/>
    <n v="37"/>
    <n v="0"/>
    <n v="4603"/>
    <n v="71"/>
    <n v="2"/>
    <n v="33"/>
    <n v="1"/>
    <n v="1"/>
    <n v="1"/>
    <n v="15"/>
    <n v="268.07"/>
    <n v="0"/>
    <n v="3"/>
    <x v="1"/>
    <n v="5.8238105583315232"/>
  </r>
  <r>
    <s v="ID-1905"/>
    <n v="4"/>
    <x v="0"/>
    <n v="37"/>
    <n v="0"/>
    <n v="2798"/>
    <n v="63"/>
    <n v="3"/>
    <n v="31"/>
    <n v="1"/>
    <n v="1"/>
    <n v="1"/>
    <n v="15"/>
    <n v="173.85499999999999"/>
    <n v="0"/>
    <n v="1"/>
    <x v="0"/>
    <n v="6.2135453895639738"/>
  </r>
  <r>
    <s v="ID-1906"/>
    <n v="12"/>
    <x v="0"/>
    <n v="37"/>
    <n v="1"/>
    <n v="4180"/>
    <n v="87"/>
    <n v="33"/>
    <n v="26"/>
    <n v="3"/>
    <n v="1"/>
    <n v="1"/>
    <n v="30"/>
    <n v="302.68"/>
    <n v="0"/>
    <n v="2"/>
    <x v="0"/>
    <n v="7.2411483253588527"/>
  </r>
  <r>
    <s v="ID-1907"/>
    <n v="5"/>
    <x v="0"/>
    <n v="37"/>
    <n v="0"/>
    <n v="2765"/>
    <n v="44"/>
    <n v="286"/>
    <n v="16"/>
    <n v="3"/>
    <n v="1"/>
    <n v="1"/>
    <n v="30"/>
    <n v="1256.3599999999999"/>
    <n v="0"/>
    <n v="1"/>
    <x v="0"/>
    <n v="45.437974683544304"/>
  </r>
  <r>
    <s v="ID-1908"/>
    <n v="14"/>
    <x v="0"/>
    <n v="36"/>
    <n v="2"/>
    <n v="9520"/>
    <n v="126"/>
    <n v="145"/>
    <n v="41"/>
    <n v="3"/>
    <n v="1"/>
    <n v="1"/>
    <n v="30"/>
    <n v="965.84"/>
    <n v="0"/>
    <n v="2"/>
    <x v="0"/>
    <n v="10.145378151260505"/>
  </r>
  <r>
    <s v="ID-1909"/>
    <n v="8"/>
    <x v="0"/>
    <n v="37"/>
    <n v="0"/>
    <n v="14178"/>
    <n v="174"/>
    <n v="1"/>
    <n v="42"/>
    <n v="3"/>
    <n v="1"/>
    <n v="1"/>
    <n v="30"/>
    <n v="578.08000000000004"/>
    <n v="0"/>
    <n v="3"/>
    <x v="1"/>
    <n v="4.0773028635914805"/>
  </r>
  <r>
    <s v="ID-1910"/>
    <n v="8"/>
    <x v="0"/>
    <n v="37"/>
    <n v="1"/>
    <n v="4920"/>
    <n v="88"/>
    <n v="3"/>
    <n v="23"/>
    <n v="3"/>
    <n v="1"/>
    <n v="1"/>
    <n v="30"/>
    <n v="212.32"/>
    <n v="0"/>
    <n v="0"/>
    <x v="0"/>
    <n v="4.3154471544715447"/>
  </r>
  <r>
    <s v="ID-1911"/>
    <n v="7"/>
    <x v="0"/>
    <n v="37"/>
    <n v="0"/>
    <n v="6323"/>
    <n v="100"/>
    <n v="8"/>
    <n v="10"/>
    <n v="2"/>
    <n v="1"/>
    <n v="1"/>
    <n v="25"/>
    <n v="325.03500000000003"/>
    <n v="0"/>
    <n v="1"/>
    <x v="0"/>
    <n v="5.1405187411039073"/>
  </r>
  <r>
    <s v="ID-1912"/>
    <n v="10"/>
    <x v="0"/>
    <n v="37"/>
    <n v="0"/>
    <n v="2643"/>
    <n v="59"/>
    <n v="9"/>
    <n v="15"/>
    <n v="3"/>
    <n v="1"/>
    <n v="2"/>
    <n v="30"/>
    <n v="144.08000000000001"/>
    <n v="0"/>
    <n v="1"/>
    <x v="0"/>
    <n v="5.4513810064320847"/>
  </r>
  <r>
    <s v="ID-1913"/>
    <n v="26"/>
    <x v="1"/>
    <n v="37"/>
    <n v="3"/>
    <n v="15545"/>
    <n v="230"/>
    <n v="55"/>
    <n v="30"/>
    <n v="3"/>
    <n v="1"/>
    <n v="1"/>
    <n v="30"/>
    <n v="851"/>
    <n v="0"/>
    <n v="6"/>
    <x v="2"/>
    <n v="5.4744290768735926"/>
  </r>
  <r>
    <s v="ID-1914"/>
    <n v="5"/>
    <x v="0"/>
    <n v="37"/>
    <n v="1"/>
    <n v="3500"/>
    <n v="32"/>
    <n v="484"/>
    <n v="6"/>
    <n v="3"/>
    <n v="1"/>
    <n v="1"/>
    <n v="30"/>
    <n v="2077.2800000000002"/>
    <n v="0"/>
    <n v="0"/>
    <x v="0"/>
    <n v="59.350857142857151"/>
  </r>
  <r>
    <s v="ID-1915"/>
    <n v="10"/>
    <x v="0"/>
    <n v="36"/>
    <n v="0"/>
    <n v="15890"/>
    <n v="187"/>
    <n v="151"/>
    <n v="28"/>
    <n v="2"/>
    <n v="1"/>
    <n v="1"/>
    <n v="25"/>
    <n v="1402.9649999999999"/>
    <n v="0"/>
    <n v="3"/>
    <x v="1"/>
    <n v="8.8292322215229699"/>
  </r>
  <r>
    <s v="ID-1916"/>
    <n v="4"/>
    <x v="0"/>
    <n v="36"/>
    <n v="1"/>
    <n v="6905"/>
    <n v="91"/>
    <n v="187"/>
    <n v="24"/>
    <n v="3"/>
    <n v="1"/>
    <n v="1"/>
    <n v="30"/>
    <n v="1027.8399999999999"/>
    <n v="0"/>
    <n v="0"/>
    <x v="0"/>
    <n v="14.885445329471397"/>
  </r>
  <r>
    <s v="ID-1917"/>
    <n v="1"/>
    <x v="0"/>
    <n v="36"/>
    <n v="0"/>
    <n v="1280"/>
    <n v="19"/>
    <n v="1"/>
    <n v="9"/>
    <n v="2"/>
    <n v="1"/>
    <n v="2"/>
    <n v="25"/>
    <n v="62.954999999999998"/>
    <n v="0"/>
    <n v="1"/>
    <x v="0"/>
    <n v="4.9183593749999996"/>
  </r>
  <r>
    <s v="ID-1918"/>
    <n v="3"/>
    <x v="0"/>
    <n v="37"/>
    <n v="0"/>
    <n v="1115"/>
    <n v="19"/>
    <n v="14"/>
    <n v="6"/>
    <n v="2"/>
    <n v="1"/>
    <n v="2"/>
    <n v="25"/>
    <n v="114.03"/>
    <n v="0"/>
    <n v="1"/>
    <x v="0"/>
    <n v="10.226905829596413"/>
  </r>
  <r>
    <s v="ID-1919"/>
    <n v="0"/>
    <x v="0"/>
    <n v="36"/>
    <n v="0"/>
    <n v="0"/>
    <n v="0"/>
    <n v="1"/>
    <n v="0"/>
    <n v="2"/>
    <n v="1"/>
    <n v="2"/>
    <n v="25"/>
    <n v="4.5"/>
    <n v="1"/>
    <n v="1"/>
    <x v="0"/>
    <n v="0"/>
  </r>
  <r>
    <s v="ID-1920"/>
    <n v="4"/>
    <x v="0"/>
    <n v="36"/>
    <n v="0"/>
    <n v="7913"/>
    <n v="132"/>
    <n v="385"/>
    <n v="41"/>
    <n v="2"/>
    <n v="1"/>
    <n v="1"/>
    <n v="25"/>
    <n v="2094.5250000000001"/>
    <n v="0"/>
    <n v="1"/>
    <x v="0"/>
    <n v="26.469417414381397"/>
  </r>
  <r>
    <s v="ID-1921"/>
    <n v="8"/>
    <x v="0"/>
    <n v="36"/>
    <n v="1"/>
    <n v="11870"/>
    <n v="159"/>
    <n v="12"/>
    <n v="45"/>
    <n v="3"/>
    <n v="1"/>
    <n v="1"/>
    <n v="30"/>
    <n v="529.16"/>
    <n v="0"/>
    <n v="2"/>
    <x v="0"/>
    <n v="4.4579612468407745"/>
  </r>
  <r>
    <s v="ID-1922"/>
    <n v="9"/>
    <x v="0"/>
    <n v="36"/>
    <n v="1"/>
    <n v="7123"/>
    <n v="80"/>
    <n v="109"/>
    <n v="35"/>
    <n v="2"/>
    <n v="1"/>
    <n v="1"/>
    <n v="25"/>
    <n v="814.63499999999999"/>
    <n v="0"/>
    <n v="0"/>
    <x v="0"/>
    <n v="11.436683981468482"/>
  </r>
  <r>
    <s v="ID-1923"/>
    <n v="24"/>
    <x v="0"/>
    <n v="32"/>
    <n v="0"/>
    <n v="1360"/>
    <n v="52"/>
    <n v="17"/>
    <n v="15"/>
    <n v="2"/>
    <n v="1"/>
    <n v="2"/>
    <n v="25"/>
    <n v="140.04"/>
    <n v="1"/>
    <n v="3"/>
    <x v="1"/>
    <n v="10.29705882352941"/>
  </r>
  <r>
    <s v="ID-1924"/>
    <n v="22"/>
    <x v="0"/>
    <n v="35"/>
    <n v="8"/>
    <n v="10840"/>
    <n v="98"/>
    <n v="2"/>
    <n v="40"/>
    <n v="4"/>
    <n v="1"/>
    <n v="1"/>
    <n v="45"/>
    <n v="278.45"/>
    <n v="0"/>
    <n v="2"/>
    <x v="0"/>
    <n v="2.5687269372693726"/>
  </r>
  <r>
    <s v="ID-1925"/>
    <n v="14"/>
    <x v="0"/>
    <n v="35"/>
    <n v="1"/>
    <n v="6223"/>
    <n v="103"/>
    <n v="27"/>
    <n v="22"/>
    <n v="2"/>
    <n v="1"/>
    <n v="1"/>
    <n v="25"/>
    <n v="406.17"/>
    <n v="0"/>
    <n v="2"/>
    <x v="0"/>
    <n v="6.5269162783223535"/>
  </r>
  <r>
    <s v="ID-1926"/>
    <n v="2"/>
    <x v="0"/>
    <n v="33"/>
    <n v="0"/>
    <n v="3245"/>
    <n v="27"/>
    <n v="1"/>
    <n v="12"/>
    <n v="3"/>
    <n v="1"/>
    <n v="1"/>
    <n v="30"/>
    <n v="134.88"/>
    <n v="0"/>
    <n v="1"/>
    <x v="0"/>
    <n v="4.1565485362095531"/>
  </r>
  <r>
    <s v="ID-1927"/>
    <n v="10"/>
    <x v="0"/>
    <n v="34"/>
    <n v="0"/>
    <n v="3395"/>
    <n v="46"/>
    <n v="10"/>
    <n v="14"/>
    <n v="3"/>
    <n v="1"/>
    <n v="2"/>
    <n v="30"/>
    <n v="177.64"/>
    <n v="1"/>
    <n v="1"/>
    <x v="0"/>
    <n v="5.2324005891016201"/>
  </r>
  <r>
    <s v="ID-1928"/>
    <n v="10"/>
    <x v="1"/>
    <n v="35"/>
    <n v="0"/>
    <n v="2673"/>
    <n v="49"/>
    <n v="35"/>
    <n v="29"/>
    <n v="3"/>
    <n v="1"/>
    <n v="2"/>
    <n v="30"/>
    <n v="248.88"/>
    <n v="1"/>
    <n v="3"/>
    <x v="1"/>
    <n v="9.3108866442199769"/>
  </r>
  <r>
    <s v="ID-1929"/>
    <n v="1"/>
    <x v="0"/>
    <n v="35"/>
    <n v="0"/>
    <n v="538"/>
    <n v="7"/>
    <n v="1"/>
    <n v="1"/>
    <n v="3"/>
    <n v="1"/>
    <n v="2"/>
    <n v="30"/>
    <n v="25.8"/>
    <n v="1"/>
    <n v="1"/>
    <x v="0"/>
    <n v="4.7955390334572492"/>
  </r>
  <r>
    <s v="ID-1930"/>
    <n v="2"/>
    <x v="0"/>
    <n v="35"/>
    <n v="0"/>
    <n v="2073"/>
    <n v="30"/>
    <n v="1"/>
    <n v="4"/>
    <n v="3"/>
    <n v="1"/>
    <n v="1"/>
    <n v="30"/>
    <n v="88.12"/>
    <n v="0"/>
    <n v="1"/>
    <x v="0"/>
    <n v="4.2508441871683553"/>
  </r>
  <r>
    <s v="ID-1931"/>
    <n v="4"/>
    <x v="0"/>
    <n v="32"/>
    <n v="1"/>
    <n v="7190"/>
    <n v="102"/>
    <n v="15"/>
    <n v="20"/>
    <n v="4"/>
    <n v="1"/>
    <n v="1"/>
    <n v="45"/>
    <n v="219.8"/>
    <n v="0"/>
    <n v="0"/>
    <x v="0"/>
    <n v="3.0570236439499308"/>
  </r>
  <r>
    <s v="ID-1932"/>
    <n v="1"/>
    <x v="0"/>
    <n v="35"/>
    <n v="0"/>
    <n v="1033"/>
    <n v="12"/>
    <n v="10"/>
    <n v="2"/>
    <n v="4"/>
    <n v="1"/>
    <n v="2"/>
    <n v="45"/>
    <n v="51.125"/>
    <n v="1"/>
    <n v="1"/>
    <x v="0"/>
    <n v="4.94917715392062"/>
  </r>
  <r>
    <s v="ID-1933"/>
    <n v="1"/>
    <x v="0"/>
    <n v="35"/>
    <n v="1"/>
    <n v="743"/>
    <n v="9"/>
    <n v="5"/>
    <n v="1"/>
    <n v="5"/>
    <n v="1"/>
    <n v="1"/>
    <n v="55"/>
    <n v="18.78"/>
    <n v="0"/>
    <n v="0"/>
    <x v="0"/>
    <n v="2.5275908479138627"/>
  </r>
  <r>
    <s v="ID-1934"/>
    <n v="26"/>
    <x v="0"/>
    <n v="30"/>
    <n v="3"/>
    <n v="16480"/>
    <n v="243"/>
    <n v="1"/>
    <n v="78"/>
    <n v="2"/>
    <n v="1"/>
    <n v="1"/>
    <n v="25"/>
    <n v="757.03499999999997"/>
    <n v="0"/>
    <n v="5"/>
    <x v="1"/>
    <n v="4.5936589805825241"/>
  </r>
  <r>
    <s v="ID-1935"/>
    <n v="7"/>
    <x v="0"/>
    <n v="33"/>
    <n v="3"/>
    <n v="7370"/>
    <n v="121"/>
    <n v="272"/>
    <n v="31"/>
    <n v="2"/>
    <n v="2"/>
    <n v="1"/>
    <n v="25"/>
    <n v="1561.095"/>
    <n v="0"/>
    <n v="0"/>
    <x v="0"/>
    <n v="21.181750339213025"/>
  </r>
  <r>
    <s v="ID-1936"/>
    <n v="3"/>
    <x v="0"/>
    <n v="35"/>
    <n v="0"/>
    <n v="4123"/>
    <n v="87"/>
    <n v="3"/>
    <n v="26"/>
    <n v="2"/>
    <n v="1"/>
    <n v="1"/>
    <n v="25"/>
    <n v="202.95"/>
    <n v="0"/>
    <n v="1"/>
    <x v="0"/>
    <n v="4.9223866116905164"/>
  </r>
  <r>
    <s v="ID-1937"/>
    <n v="4"/>
    <x v="0"/>
    <n v="34"/>
    <n v="0"/>
    <n v="2070"/>
    <n v="49"/>
    <n v="39"/>
    <n v="18"/>
    <n v="3"/>
    <n v="1"/>
    <n v="2"/>
    <n v="30"/>
    <n v="240.76"/>
    <n v="0"/>
    <n v="1"/>
    <x v="0"/>
    <n v="11.630917874396134"/>
  </r>
  <r>
    <s v="ID-1938"/>
    <n v="7"/>
    <x v="0"/>
    <n v="35"/>
    <n v="0"/>
    <n v="3185"/>
    <n v="58"/>
    <n v="176"/>
    <n v="21"/>
    <n v="2"/>
    <n v="1"/>
    <n v="1"/>
    <n v="25"/>
    <n v="937.93499999999995"/>
    <n v="0"/>
    <n v="1"/>
    <x v="0"/>
    <n v="29.448508634222918"/>
  </r>
  <r>
    <s v="ID-1939"/>
    <n v="5"/>
    <x v="0"/>
    <n v="26"/>
    <n v="1"/>
    <n v="1720"/>
    <n v="41"/>
    <n v="194"/>
    <n v="9"/>
    <n v="2"/>
    <n v="2"/>
    <n v="1"/>
    <n v="25"/>
    <n v="952.245"/>
    <n v="0"/>
    <n v="0"/>
    <x v="0"/>
    <n v="55.363081395348836"/>
  </r>
  <r>
    <s v="ID-1940"/>
    <n v="5"/>
    <x v="0"/>
    <n v="25"/>
    <n v="0"/>
    <n v="1973"/>
    <n v="44"/>
    <n v="31"/>
    <n v="66"/>
    <n v="4"/>
    <n v="1"/>
    <n v="1"/>
    <n v="45"/>
    <n v="127.925"/>
    <n v="0"/>
    <n v="2"/>
    <x v="0"/>
    <n v="6.483781044095287"/>
  </r>
  <r>
    <s v="ID-1941"/>
    <n v="12"/>
    <x v="0"/>
    <n v="26"/>
    <n v="0"/>
    <n v="1105"/>
    <n v="30"/>
    <n v="11"/>
    <n v="5"/>
    <n v="2"/>
    <n v="1"/>
    <n v="2"/>
    <n v="25"/>
    <n v="100.575"/>
    <n v="0"/>
    <n v="3"/>
    <x v="1"/>
    <n v="9.1018099547511326"/>
  </r>
  <r>
    <s v="ID-1942"/>
    <n v="1"/>
    <x v="0"/>
    <n v="25"/>
    <n v="0"/>
    <n v="1230"/>
    <n v="15"/>
    <n v="22"/>
    <n v="1"/>
    <n v="4"/>
    <n v="1"/>
    <n v="2"/>
    <n v="45"/>
    <n v="86.125"/>
    <n v="0"/>
    <n v="1"/>
    <x v="0"/>
    <n v="7.0020325203252032"/>
  </r>
  <r>
    <s v="ID-1943"/>
    <n v="11"/>
    <x v="0"/>
    <n v="24"/>
    <n v="0"/>
    <n v="1630"/>
    <n v="37"/>
    <n v="20"/>
    <n v="11"/>
    <n v="2"/>
    <n v="1"/>
    <n v="1"/>
    <n v="25"/>
    <n v="165.01499999999999"/>
    <n v="0"/>
    <n v="3"/>
    <x v="1"/>
    <n v="10.123619631901839"/>
  </r>
  <r>
    <s v="ID-1944"/>
    <n v="3"/>
    <x v="0"/>
    <n v="24"/>
    <n v="0"/>
    <n v="3630"/>
    <n v="66"/>
    <n v="9"/>
    <n v="21"/>
    <n v="3"/>
    <n v="1"/>
    <n v="1"/>
    <n v="30"/>
    <n v="183.84"/>
    <n v="0"/>
    <n v="1"/>
    <x v="0"/>
    <n v="5.0644628099173552"/>
  </r>
  <r>
    <s v="ID-1945"/>
    <n v="3"/>
    <x v="0"/>
    <n v="17"/>
    <n v="0"/>
    <n v="2100"/>
    <n v="31"/>
    <n v="29"/>
    <n v="12"/>
    <n v="2"/>
    <n v="1"/>
    <n v="1"/>
    <n v="25"/>
    <n v="226.39500000000001"/>
    <n v="0"/>
    <n v="1"/>
    <x v="0"/>
    <n v="10.780714285714286"/>
  </r>
  <r>
    <s v="ID-1946"/>
    <n v="17"/>
    <x v="0"/>
    <n v="16"/>
    <n v="1"/>
    <n v="6797"/>
    <n v="146"/>
    <n v="86"/>
    <n v="40"/>
    <n v="1"/>
    <n v="2"/>
    <n v="1"/>
    <n v="15"/>
    <n v="854.86500000000001"/>
    <n v="0"/>
    <n v="4"/>
    <x v="1"/>
    <n v="12.577092835074296"/>
  </r>
  <r>
    <s v="ID-1947"/>
    <n v="13"/>
    <x v="0"/>
    <n v="14"/>
    <n v="0"/>
    <n v="9337"/>
    <n v="176"/>
    <n v="74"/>
    <n v="38"/>
    <n v="4"/>
    <n v="1"/>
    <n v="1"/>
    <n v="45"/>
    <n v="422.82499999999999"/>
    <n v="0"/>
    <n v="5"/>
    <x v="1"/>
    <n v="4.5284888079682979"/>
  </r>
  <r>
    <s v="ID-1948"/>
    <n v="9"/>
    <x v="0"/>
    <n v="15"/>
    <n v="3"/>
    <n v="3257"/>
    <n v="50"/>
    <n v="32"/>
    <n v="17"/>
    <n v="3"/>
    <n v="1"/>
    <n v="1"/>
    <n v="30"/>
    <n v="260.27999999999997"/>
    <n v="0"/>
    <n v="0"/>
    <x v="0"/>
    <n v="7.9914031317163028"/>
  </r>
  <r>
    <s v="ID-1949"/>
    <n v="3"/>
    <x v="0"/>
    <n v="8"/>
    <n v="1"/>
    <n v="4795"/>
    <n v="45"/>
    <n v="216"/>
    <n v="8"/>
    <n v="3"/>
    <n v="1"/>
    <n v="1"/>
    <n v="30"/>
    <n v="1057.5999999999999"/>
    <n v="0"/>
    <n v="0"/>
    <x v="0"/>
    <n v="22.056308654848799"/>
  </r>
  <r>
    <s v="ID-1950"/>
    <n v="4"/>
    <x v="0"/>
    <n v="8"/>
    <n v="1"/>
    <n v="1892"/>
    <n v="24"/>
    <n v="1"/>
    <n v="5"/>
    <n v="3"/>
    <n v="1"/>
    <n v="1"/>
    <n v="30"/>
    <n v="80.64"/>
    <n v="1"/>
    <n v="0"/>
    <x v="0"/>
    <n v="4.2621564482029601"/>
  </r>
  <r>
    <s v="ID-1951"/>
    <n v="0"/>
    <x v="0"/>
    <n v="35"/>
    <n v="0"/>
    <n v="3355"/>
    <n v="54"/>
    <n v="0"/>
    <n v="15"/>
    <n v="2"/>
    <n v="1"/>
    <n v="1"/>
    <n v="25"/>
    <n v="153.405"/>
    <n v="0"/>
    <n v="1"/>
    <x v="0"/>
    <n v="4.5724292101341284"/>
  </r>
  <r>
    <s v="ID-1952"/>
    <n v="0"/>
    <x v="0"/>
    <n v="36"/>
    <n v="0"/>
    <n v="0"/>
    <n v="0"/>
    <n v="0"/>
    <n v="0"/>
    <n v="2"/>
    <n v="1"/>
    <n v="2"/>
    <n v="25"/>
    <n v="0"/>
    <n v="0"/>
    <n v="1"/>
    <x v="0"/>
    <n v="0"/>
  </r>
  <r>
    <s v="ID-1953"/>
    <n v="0"/>
    <x v="0"/>
    <n v="34"/>
    <n v="0"/>
    <n v="1438"/>
    <n v="43"/>
    <n v="327"/>
    <n v="22"/>
    <n v="2"/>
    <n v="1"/>
    <n v="1"/>
    <n v="25"/>
    <n v="1538.145"/>
    <n v="0"/>
    <n v="1"/>
    <x v="0"/>
    <n v="106.96418636995828"/>
  </r>
  <r>
    <s v="ID-1954"/>
    <n v="0"/>
    <x v="0"/>
    <n v="35"/>
    <n v="0"/>
    <n v="3183"/>
    <n v="49"/>
    <n v="0"/>
    <n v="33"/>
    <n v="1"/>
    <n v="1"/>
    <n v="1"/>
    <n v="15"/>
    <n v="177.76"/>
    <n v="0"/>
    <n v="1"/>
    <x v="0"/>
    <n v="5.5846685516808039"/>
  </r>
  <r>
    <s v="ID-1955"/>
    <n v="0"/>
    <x v="0"/>
    <n v="35"/>
    <n v="0"/>
    <n v="1378"/>
    <n v="41"/>
    <n v="0"/>
    <n v="31"/>
    <n v="1"/>
    <n v="1"/>
    <n v="1"/>
    <n v="15"/>
    <n v="78.045000000000002"/>
    <n v="0"/>
    <n v="1"/>
    <x v="0"/>
    <n v="5.6636429608127727"/>
  </r>
  <r>
    <s v="ID-1956"/>
    <n v="0"/>
    <x v="0"/>
    <n v="35"/>
    <n v="0"/>
    <n v="2760"/>
    <n v="65"/>
    <n v="0"/>
    <n v="26"/>
    <n v="2"/>
    <n v="1"/>
    <n v="1"/>
    <n v="25"/>
    <n v="127.125"/>
    <n v="0"/>
    <n v="1"/>
    <x v="0"/>
    <n v="4.6059782608695654"/>
  </r>
  <r>
    <s v="ID-1957"/>
    <n v="0"/>
    <x v="0"/>
    <n v="35"/>
    <n v="0"/>
    <n v="1345"/>
    <n v="22"/>
    <n v="253"/>
    <n v="16"/>
    <n v="3"/>
    <n v="1"/>
    <n v="1"/>
    <n v="30"/>
    <n v="1066.68"/>
    <n v="0"/>
    <n v="1"/>
    <x v="0"/>
    <n v="79.307063197026025"/>
  </r>
  <r>
    <s v="ID-1958"/>
    <n v="2"/>
    <x v="0"/>
    <n v="34"/>
    <n v="0"/>
    <n v="8100"/>
    <n v="104"/>
    <n v="112"/>
    <n v="41"/>
    <n v="3"/>
    <n v="1"/>
    <n v="1"/>
    <n v="30"/>
    <n v="776.16"/>
    <n v="0"/>
    <n v="1"/>
    <x v="0"/>
    <n v="9.5822222222222209"/>
  </r>
  <r>
    <s v="ID-1959"/>
    <n v="0"/>
    <x v="0"/>
    <n v="35"/>
    <n v="0"/>
    <n v="12758"/>
    <n v="152"/>
    <n v="0"/>
    <n v="42"/>
    <n v="3"/>
    <n v="1"/>
    <n v="1"/>
    <n v="30"/>
    <n v="516.4"/>
    <n v="0"/>
    <n v="3"/>
    <x v="1"/>
    <n v="4.0476563724721739"/>
  </r>
  <r>
    <s v="ID-1960"/>
    <n v="0"/>
    <x v="0"/>
    <n v="35"/>
    <n v="0"/>
    <n v="3500"/>
    <n v="66"/>
    <n v="0"/>
    <n v="23"/>
    <n v="3"/>
    <n v="1"/>
    <n v="1"/>
    <n v="30"/>
    <n v="142.63999999999999"/>
    <n v="0"/>
    <n v="1"/>
    <x v="0"/>
    <n v="4.0754285714285707"/>
  </r>
  <r>
    <s v="ID-1961"/>
    <n v="0"/>
    <x v="0"/>
    <n v="35"/>
    <n v="0"/>
    <n v="4903"/>
    <n v="78"/>
    <n v="0"/>
    <n v="10"/>
    <n v="2"/>
    <n v="1"/>
    <n v="1"/>
    <n v="25"/>
    <n v="224.14500000000001"/>
    <n v="0"/>
    <n v="1"/>
    <x v="0"/>
    <n v="4.5715888231694883"/>
  </r>
  <r>
    <s v="ID-1962"/>
    <n v="0"/>
    <x v="0"/>
    <n v="35"/>
    <n v="0"/>
    <n v="1223"/>
    <n v="37"/>
    <n v="0"/>
    <n v="15"/>
    <n v="3"/>
    <n v="1"/>
    <n v="2"/>
    <n v="30"/>
    <n v="50.4"/>
    <n v="0"/>
    <n v="1"/>
    <x v="0"/>
    <n v="4.1210139002452983"/>
  </r>
  <r>
    <s v="ID-1963"/>
    <n v="14"/>
    <x v="0"/>
    <n v="35"/>
    <n v="1"/>
    <n v="14125"/>
    <n v="208"/>
    <n v="22"/>
    <n v="30"/>
    <n v="2"/>
    <n v="1"/>
    <n v="1"/>
    <n v="25"/>
    <n v="743.98500000000001"/>
    <n v="0"/>
    <n v="4"/>
    <x v="1"/>
    <n v="5.2671504424778766"/>
  </r>
  <r>
    <s v="ID-1964"/>
    <n v="0"/>
    <x v="0"/>
    <n v="35"/>
    <n v="0"/>
    <n v="2080"/>
    <n v="10"/>
    <n v="451"/>
    <n v="6"/>
    <n v="3"/>
    <n v="1"/>
    <n v="1"/>
    <n v="30"/>
    <n v="1887.6"/>
    <n v="0"/>
    <n v="1"/>
    <x v="0"/>
    <n v="90.75"/>
  </r>
  <r>
    <s v="ID-1965"/>
    <n v="0"/>
    <x v="0"/>
    <n v="34"/>
    <n v="0"/>
    <n v="14470"/>
    <n v="165"/>
    <n v="118"/>
    <n v="28"/>
    <n v="2"/>
    <n v="1"/>
    <n v="1"/>
    <n v="25"/>
    <n v="1189.575"/>
    <n v="0"/>
    <n v="3"/>
    <x v="1"/>
    <n v="8.2209744298548735"/>
  </r>
  <r>
    <s v="ID-1966"/>
    <n v="0"/>
    <x v="0"/>
    <n v="34"/>
    <n v="0"/>
    <n v="5485"/>
    <n v="69"/>
    <n v="154"/>
    <n v="24"/>
    <n v="3"/>
    <n v="1"/>
    <n v="1"/>
    <n v="30"/>
    <n v="838.16"/>
    <n v="0"/>
    <n v="1"/>
    <x v="0"/>
    <n v="15.280948040109388"/>
  </r>
  <r>
    <s v="ID-1967"/>
    <n v="0"/>
    <x v="0"/>
    <n v="34"/>
    <n v="0"/>
    <n v="0"/>
    <n v="0"/>
    <n v="0"/>
    <n v="0"/>
    <n v="2"/>
    <n v="1"/>
    <n v="2"/>
    <n v="25"/>
    <n v="0"/>
    <n v="0"/>
    <n v="1"/>
    <x v="0"/>
    <n v="0"/>
  </r>
  <r>
    <s v="ID-1968"/>
    <n v="0"/>
    <x v="0"/>
    <n v="35"/>
    <n v="0"/>
    <n v="0"/>
    <n v="0"/>
    <n v="0"/>
    <n v="0"/>
    <n v="2"/>
    <n v="1"/>
    <n v="2"/>
    <n v="25"/>
    <n v="0"/>
    <n v="0"/>
    <n v="1"/>
    <x v="0"/>
    <n v="0"/>
  </r>
  <r>
    <s v="ID-1969"/>
    <n v="0"/>
    <x v="0"/>
    <n v="34"/>
    <n v="0"/>
    <n v="0"/>
    <n v="0"/>
    <n v="0"/>
    <n v="0"/>
    <n v="2"/>
    <n v="1"/>
    <n v="2"/>
    <n v="25"/>
    <n v="0"/>
    <n v="1"/>
    <n v="1"/>
    <x v="0"/>
    <n v="0"/>
  </r>
  <r>
    <s v="ID-1970"/>
    <n v="0"/>
    <x v="0"/>
    <n v="34"/>
    <n v="0"/>
    <n v="6493"/>
    <n v="110"/>
    <n v="352"/>
    <n v="41"/>
    <n v="2"/>
    <n v="1"/>
    <n v="1"/>
    <n v="25"/>
    <n v="1881.135"/>
    <n v="0"/>
    <n v="1"/>
    <x v="0"/>
    <n v="28.971738795626056"/>
  </r>
  <r>
    <s v="ID-1971"/>
    <n v="0"/>
    <x v="0"/>
    <n v="34"/>
    <n v="0"/>
    <n v="10450"/>
    <n v="137"/>
    <n v="0"/>
    <n v="45"/>
    <n v="3"/>
    <n v="1"/>
    <n v="1"/>
    <n v="30"/>
    <n v="423.48"/>
    <n v="0"/>
    <n v="1"/>
    <x v="0"/>
    <n v="4.0524401913875598"/>
  </r>
  <r>
    <s v="ID-1972"/>
    <n v="0"/>
    <x v="0"/>
    <n v="34"/>
    <n v="0"/>
    <n v="5703"/>
    <n v="58"/>
    <n v="76"/>
    <n v="35"/>
    <n v="2"/>
    <n v="1"/>
    <n v="1"/>
    <n v="25"/>
    <n v="601.245"/>
    <n v="0"/>
    <n v="1"/>
    <x v="0"/>
    <n v="10.542609153077327"/>
  </r>
  <r>
    <s v="ID-1973"/>
    <n v="0"/>
    <x v="1"/>
    <n v="30"/>
    <n v="0"/>
    <n v="0"/>
    <n v="0"/>
    <n v="0"/>
    <n v="0"/>
    <n v="2"/>
    <n v="1"/>
    <n v="2"/>
    <n v="25"/>
    <n v="0"/>
    <n v="1"/>
    <n v="3"/>
    <x v="1"/>
    <n v="0"/>
  </r>
  <r>
    <s v="ID-1974"/>
    <n v="10"/>
    <x v="0"/>
    <n v="33"/>
    <n v="6"/>
    <n v="9420"/>
    <n v="76"/>
    <n v="0"/>
    <n v="40"/>
    <n v="4"/>
    <n v="1"/>
    <n v="1"/>
    <n v="45"/>
    <n v="237.4"/>
    <n v="0"/>
    <n v="0"/>
    <x v="0"/>
    <n v="2.5201698513800426"/>
  </r>
  <r>
    <s v="ID-1975"/>
    <n v="2"/>
    <x v="1"/>
    <n v="33"/>
    <n v="0"/>
    <n v="4803"/>
    <n v="81"/>
    <n v="0"/>
    <n v="22"/>
    <n v="2"/>
    <n v="1"/>
    <n v="1"/>
    <n v="25"/>
    <n v="219.78"/>
    <n v="1"/>
    <n v="3"/>
    <x v="1"/>
    <n v="4.5758900687070581"/>
  </r>
  <r>
    <s v="ID-1976"/>
    <n v="0"/>
    <x v="0"/>
    <n v="31"/>
    <n v="0"/>
    <n v="1825"/>
    <n v="5"/>
    <n v="0"/>
    <n v="12"/>
    <n v="3"/>
    <n v="1"/>
    <n v="1"/>
    <n v="30"/>
    <n v="73.2"/>
    <n v="0"/>
    <n v="1"/>
    <x v="0"/>
    <n v="4.0109589041095894"/>
  </r>
  <r>
    <s v="ID-1977"/>
    <n v="0"/>
    <x v="0"/>
    <n v="32"/>
    <n v="0"/>
    <n v="1975"/>
    <n v="24"/>
    <n v="0"/>
    <n v="14"/>
    <n v="2"/>
    <n v="1"/>
    <n v="2"/>
    <n v="25"/>
    <n v="89.954999999999998"/>
    <n v="1"/>
    <n v="1"/>
    <x v="0"/>
    <n v="4.5546835443037974"/>
  </r>
  <r>
    <s v="ID-1978"/>
    <n v="0"/>
    <x v="0"/>
    <n v="33"/>
    <n v="0"/>
    <n v="1253"/>
    <n v="27"/>
    <n v="2"/>
    <n v="29"/>
    <n v="3"/>
    <n v="1"/>
    <n v="2"/>
    <n v="30"/>
    <n v="59.2"/>
    <n v="1"/>
    <n v="1"/>
    <x v="0"/>
    <n v="4.7246608140462891"/>
  </r>
  <r>
    <s v="ID-1979"/>
    <n v="0"/>
    <x v="1"/>
    <n v="33"/>
    <n v="0"/>
    <n v="0"/>
    <n v="0"/>
    <n v="0"/>
    <n v="0"/>
    <n v="2"/>
    <n v="1"/>
    <n v="2"/>
    <n v="25"/>
    <n v="0"/>
    <n v="1"/>
    <n v="3"/>
    <x v="1"/>
    <n v="0"/>
  </r>
  <r>
    <s v="ID-1980"/>
    <n v="0"/>
    <x v="0"/>
    <n v="33"/>
    <n v="0"/>
    <n v="653"/>
    <n v="8"/>
    <n v="0"/>
    <n v="4"/>
    <n v="3"/>
    <n v="1"/>
    <n v="1"/>
    <n v="30"/>
    <n v="26.44"/>
    <n v="0"/>
    <n v="1"/>
    <x v="0"/>
    <n v="4.0490045941807047"/>
  </r>
  <r>
    <s v="ID-1981"/>
    <n v="0"/>
    <x v="0"/>
    <n v="30"/>
    <n v="0"/>
    <n v="5770"/>
    <n v="80"/>
    <n v="0"/>
    <n v="20"/>
    <n v="4"/>
    <n v="1"/>
    <n v="1"/>
    <n v="45"/>
    <n v="146.25"/>
    <n v="0"/>
    <n v="1"/>
    <x v="0"/>
    <n v="2.5346620450606587"/>
  </r>
  <r>
    <s v="ID-1982"/>
    <n v="0"/>
    <x v="0"/>
    <n v="33"/>
    <n v="0"/>
    <n v="0"/>
    <n v="0"/>
    <n v="0"/>
    <n v="0"/>
    <n v="3"/>
    <n v="1"/>
    <n v="2"/>
    <n v="30"/>
    <n v="0"/>
    <n v="1"/>
    <n v="1"/>
    <x v="0"/>
    <n v="0"/>
  </r>
  <r>
    <s v="ID-1983"/>
    <n v="0"/>
    <x v="0"/>
    <n v="33"/>
    <n v="0"/>
    <n v="0"/>
    <n v="0"/>
    <n v="0"/>
    <n v="0"/>
    <n v="4"/>
    <n v="1"/>
    <n v="1"/>
    <n v="45"/>
    <n v="0"/>
    <n v="0"/>
    <n v="1"/>
    <x v="0"/>
    <n v="0"/>
  </r>
  <r>
    <s v="ID-1984"/>
    <n v="14"/>
    <x v="0"/>
    <n v="28"/>
    <n v="1"/>
    <n v="15060"/>
    <n v="221"/>
    <n v="0"/>
    <n v="78"/>
    <n v="2"/>
    <n v="1"/>
    <n v="1"/>
    <n v="25"/>
    <n v="687.64499999999998"/>
    <n v="0"/>
    <n v="5"/>
    <x v="1"/>
    <n v="4.5660358565737056"/>
  </r>
  <r>
    <s v="ID-1985"/>
    <n v="0"/>
    <x v="0"/>
    <n v="31"/>
    <n v="1"/>
    <n v="5950"/>
    <n v="99"/>
    <n v="239"/>
    <n v="31"/>
    <n v="2"/>
    <n v="2"/>
    <n v="1"/>
    <n v="25"/>
    <n v="1347.7049999999999"/>
    <n v="0"/>
    <n v="0"/>
    <x v="0"/>
    <n v="22.650504201680672"/>
  </r>
  <r>
    <s v="ID-1986"/>
    <n v="0"/>
    <x v="0"/>
    <n v="33"/>
    <n v="0"/>
    <n v="2703"/>
    <n v="65"/>
    <n v="0"/>
    <n v="26"/>
    <n v="2"/>
    <n v="1"/>
    <n v="1"/>
    <n v="25"/>
    <n v="124.56"/>
    <n v="0"/>
    <n v="1"/>
    <x v="0"/>
    <n v="4.6082130965593784"/>
  </r>
  <r>
    <s v="ID-1987"/>
    <n v="0"/>
    <x v="0"/>
    <n v="32"/>
    <n v="0"/>
    <n v="650"/>
    <n v="27"/>
    <n v="6"/>
    <n v="18"/>
    <n v="3"/>
    <n v="1"/>
    <n v="2"/>
    <n v="30"/>
    <n v="51.08"/>
    <n v="0"/>
    <n v="1"/>
    <x v="0"/>
    <n v="7.8584615384615377"/>
  </r>
  <r>
    <s v="ID-1988"/>
    <n v="0"/>
    <x v="0"/>
    <n v="33"/>
    <n v="0"/>
    <n v="1765"/>
    <n v="36"/>
    <n v="143"/>
    <n v="21"/>
    <n v="2"/>
    <n v="1"/>
    <n v="1"/>
    <n v="25"/>
    <n v="724.54499999999996"/>
    <n v="0"/>
    <n v="1"/>
    <x v="0"/>
    <n v="41.050708215297448"/>
  </r>
  <r>
    <s v="ID-1989"/>
    <n v="0"/>
    <x v="0"/>
    <n v="24"/>
    <n v="0"/>
    <n v="300"/>
    <n v="19"/>
    <n v="161"/>
    <n v="9"/>
    <n v="2"/>
    <n v="2"/>
    <n v="1"/>
    <n v="25"/>
    <n v="738.85500000000002"/>
    <n v="0"/>
    <n v="1"/>
    <x v="0"/>
    <n v="246.285"/>
  </r>
  <r>
    <s v="ID-1990"/>
    <n v="0"/>
    <x v="0"/>
    <n v="23"/>
    <n v="0"/>
    <n v="553"/>
    <n v="22"/>
    <n v="0"/>
    <n v="66"/>
    <n v="4"/>
    <n v="1"/>
    <n v="1"/>
    <n v="45"/>
    <n v="14.375"/>
    <n v="0"/>
    <n v="2"/>
    <x v="0"/>
    <n v="2.5994575045207959"/>
  </r>
  <r>
    <s v="ID-1991"/>
    <n v="0"/>
    <x v="0"/>
    <n v="24"/>
    <n v="0"/>
    <n v="0"/>
    <n v="0"/>
    <n v="0"/>
    <n v="0"/>
    <n v="2"/>
    <n v="1"/>
    <n v="2"/>
    <n v="25"/>
    <n v="0"/>
    <n v="0"/>
    <n v="1"/>
    <x v="0"/>
    <n v="0"/>
  </r>
  <r>
    <s v="ID-1992"/>
    <n v="0"/>
    <x v="0"/>
    <n v="23"/>
    <n v="0"/>
    <n v="0"/>
    <n v="0"/>
    <n v="0"/>
    <n v="0"/>
    <n v="4"/>
    <n v="1"/>
    <n v="2"/>
    <n v="45"/>
    <n v="0"/>
    <n v="0"/>
    <n v="1"/>
    <x v="0"/>
    <n v="0"/>
  </r>
  <r>
    <s v="ID-1993"/>
    <n v="0"/>
    <x v="0"/>
    <n v="22"/>
    <n v="0"/>
    <n v="210"/>
    <n v="15"/>
    <n v="0"/>
    <n v="11"/>
    <n v="2"/>
    <n v="1"/>
    <n v="1"/>
    <n v="25"/>
    <n v="10.125"/>
    <n v="0"/>
    <n v="1"/>
    <x v="0"/>
    <n v="4.8214285714285721"/>
  </r>
  <r>
    <s v="ID-1994"/>
    <n v="0"/>
    <x v="0"/>
    <n v="22"/>
    <n v="0"/>
    <n v="2210"/>
    <n v="44"/>
    <n v="0"/>
    <n v="21"/>
    <n v="3"/>
    <n v="1"/>
    <n v="1"/>
    <n v="30"/>
    <n v="90.16"/>
    <n v="0"/>
    <n v="1"/>
    <x v="0"/>
    <n v="4.0796380090497735"/>
  </r>
  <r>
    <s v="ID-1995"/>
    <n v="0"/>
    <x v="0"/>
    <n v="15"/>
    <n v="0"/>
    <n v="680"/>
    <n v="9"/>
    <n v="0"/>
    <n v="12"/>
    <n v="2"/>
    <n v="1"/>
    <n v="1"/>
    <n v="25"/>
    <n v="31.004999999999999"/>
    <n v="0"/>
    <n v="1"/>
    <x v="0"/>
    <n v="4.5595588235294118"/>
  </r>
  <r>
    <s v="ID-1996"/>
    <n v="5"/>
    <x v="0"/>
    <n v="14"/>
    <n v="0"/>
    <n v="5377"/>
    <n v="124"/>
    <n v="53"/>
    <n v="40"/>
    <n v="1"/>
    <n v="2"/>
    <n v="1"/>
    <n v="15"/>
    <n v="594.05499999999995"/>
    <n v="0"/>
    <n v="1"/>
    <x v="0"/>
    <n v="11.04807513483355"/>
  </r>
  <r>
    <s v="ID-1997"/>
    <n v="1"/>
    <x v="0"/>
    <n v="12"/>
    <n v="0"/>
    <n v="7917"/>
    <n v="154"/>
    <n v="41"/>
    <n v="38"/>
    <n v="4"/>
    <n v="1"/>
    <n v="1"/>
    <n v="45"/>
    <n v="304.27499999999998"/>
    <n v="0"/>
    <n v="3"/>
    <x v="1"/>
    <n v="3.8433118605532397"/>
  </r>
  <r>
    <s v="ID-1998"/>
    <n v="0"/>
    <x v="0"/>
    <n v="13"/>
    <n v="1"/>
    <n v="1837"/>
    <n v="28"/>
    <n v="0"/>
    <n v="17"/>
    <n v="3"/>
    <n v="1"/>
    <n v="1"/>
    <n v="30"/>
    <n v="74.599999999999994"/>
    <n v="0"/>
    <n v="0"/>
    <x v="0"/>
    <n v="4.0609689711486121"/>
  </r>
  <r>
    <s v="ID-1999"/>
    <n v="0"/>
    <x v="0"/>
    <n v="6"/>
    <n v="0"/>
    <n v="3375"/>
    <n v="23"/>
    <n v="183"/>
    <n v="8"/>
    <n v="3"/>
    <n v="1"/>
    <n v="1"/>
    <n v="30"/>
    <n v="867.92"/>
    <n v="0"/>
    <n v="1"/>
    <x v="0"/>
    <n v="25.71614814814815"/>
  </r>
  <r>
    <s v="ID-2000"/>
    <n v="0"/>
    <x v="0"/>
    <n v="6"/>
    <n v="0"/>
    <n v="472"/>
    <n v="2"/>
    <n v="0"/>
    <n v="5"/>
    <n v="2"/>
    <n v="1"/>
    <n v="1"/>
    <n v="25"/>
    <n v="21.33"/>
    <n v="1"/>
    <n v="1"/>
    <x v="0"/>
    <n v="4.5190677966101687"/>
  </r>
  <r>
    <s v="ID-2001"/>
    <n v="3"/>
    <x v="0"/>
    <n v="36"/>
    <n v="0"/>
    <n v="4065"/>
    <n v="65"/>
    <n v="0"/>
    <n v="15"/>
    <n v="2"/>
    <n v="1"/>
    <n v="1"/>
    <n v="25"/>
    <n v="185.85"/>
    <n v="0"/>
    <n v="1"/>
    <x v="0"/>
    <n v="4.5719557195571952"/>
  </r>
  <r>
    <s v="ID-2002"/>
    <n v="0"/>
    <x v="0"/>
    <n v="37"/>
    <n v="0"/>
    <n v="0"/>
    <n v="0"/>
    <n v="0"/>
    <n v="0"/>
    <n v="2"/>
    <n v="1"/>
    <n v="2"/>
    <n v="25"/>
    <n v="0"/>
    <n v="0"/>
    <n v="1"/>
    <x v="0"/>
    <n v="0"/>
  </r>
  <r>
    <s v="ID-2003"/>
    <n v="5"/>
    <x v="0"/>
    <n v="35"/>
    <n v="0"/>
    <n v="2148"/>
    <n v="54"/>
    <n v="352"/>
    <n v="22"/>
    <n v="2"/>
    <n v="1"/>
    <n v="1"/>
    <n v="25"/>
    <n v="1683.09"/>
    <n v="0"/>
    <n v="1"/>
    <x v="0"/>
    <n v="78.35614525139664"/>
  </r>
  <r>
    <s v="ID-2004"/>
    <n v="5"/>
    <x v="0"/>
    <n v="36"/>
    <n v="0"/>
    <n v="3893"/>
    <n v="60"/>
    <n v="0"/>
    <n v="33"/>
    <n v="1"/>
    <n v="1"/>
    <n v="1"/>
    <n v="15"/>
    <n v="217.41499999999999"/>
    <n v="0"/>
    <n v="1"/>
    <x v="0"/>
    <n v="5.5847675314667349"/>
  </r>
  <r>
    <s v="ID-2005"/>
    <n v="0"/>
    <x v="0"/>
    <n v="36"/>
    <n v="0"/>
    <n v="2088"/>
    <n v="52"/>
    <n v="0"/>
    <n v="31"/>
    <n v="1"/>
    <n v="1"/>
    <n v="1"/>
    <n v="15"/>
    <n v="117.7"/>
    <n v="0"/>
    <n v="1"/>
    <x v="0"/>
    <n v="5.6369731800766285"/>
  </r>
  <r>
    <s v="ID-2006"/>
    <n v="6"/>
    <x v="0"/>
    <n v="36"/>
    <n v="0"/>
    <n v="3470"/>
    <n v="76"/>
    <n v="25"/>
    <n v="26"/>
    <n v="2"/>
    <n v="1"/>
    <n v="1"/>
    <n v="25"/>
    <n v="272.07"/>
    <n v="0"/>
    <n v="1"/>
    <x v="0"/>
    <n v="7.8406340057636887"/>
  </r>
  <r>
    <s v="ID-2007"/>
    <n v="0"/>
    <x v="0"/>
    <n v="36"/>
    <n v="0"/>
    <n v="2055"/>
    <n v="33"/>
    <n v="278"/>
    <n v="16"/>
    <n v="3"/>
    <n v="1"/>
    <n v="1"/>
    <n v="30"/>
    <n v="1195.52"/>
    <n v="0"/>
    <n v="1"/>
    <x v="0"/>
    <n v="58.17615571776156"/>
  </r>
  <r>
    <s v="ID-2008"/>
    <n v="8"/>
    <x v="0"/>
    <n v="35"/>
    <n v="1"/>
    <n v="8810"/>
    <n v="115"/>
    <n v="137"/>
    <n v="41"/>
    <n v="3"/>
    <n v="1"/>
    <n v="1"/>
    <n v="30"/>
    <n v="905"/>
    <n v="0"/>
    <n v="0"/>
    <x v="0"/>
    <n v="10.272417707150964"/>
  </r>
  <r>
    <s v="ID-2009"/>
    <n v="2"/>
    <x v="0"/>
    <n v="36"/>
    <n v="0"/>
    <n v="13468"/>
    <n v="163"/>
    <n v="0"/>
    <n v="42"/>
    <n v="3"/>
    <n v="1"/>
    <n v="1"/>
    <n v="30"/>
    <n v="545.24"/>
    <n v="0"/>
    <n v="3"/>
    <x v="1"/>
    <n v="4.0484110484110483"/>
  </r>
  <r>
    <s v="ID-2010"/>
    <n v="2"/>
    <x v="0"/>
    <n v="36"/>
    <n v="0"/>
    <n v="4210"/>
    <n v="77"/>
    <n v="0"/>
    <n v="23"/>
    <n v="3"/>
    <n v="1"/>
    <n v="1"/>
    <n v="30"/>
    <n v="171.48"/>
    <n v="0"/>
    <n v="1"/>
    <x v="0"/>
    <n v="4.0731591448931113"/>
  </r>
  <r>
    <s v="ID-2011"/>
    <n v="1"/>
    <x v="0"/>
    <n v="36"/>
    <n v="0"/>
    <n v="5613"/>
    <n v="89"/>
    <n v="0"/>
    <n v="10"/>
    <n v="2"/>
    <n v="1"/>
    <n v="1"/>
    <n v="25"/>
    <n v="256.58999999999997"/>
    <n v="0"/>
    <n v="1"/>
    <x v="0"/>
    <n v="4.571352218065206"/>
  </r>
  <r>
    <s v="ID-2012"/>
    <n v="4"/>
    <x v="0"/>
    <n v="36"/>
    <n v="0"/>
    <n v="1933"/>
    <n v="48"/>
    <n v="1"/>
    <n v="15"/>
    <n v="3"/>
    <n v="1"/>
    <n v="2"/>
    <n v="30"/>
    <n v="83.24"/>
    <n v="0"/>
    <n v="1"/>
    <x v="0"/>
    <n v="4.3062596999482663"/>
  </r>
  <r>
    <s v="ID-2013"/>
    <n v="20"/>
    <x v="0"/>
    <n v="36"/>
    <n v="2"/>
    <n v="14835"/>
    <n v="219"/>
    <n v="47"/>
    <n v="30"/>
    <n v="3"/>
    <n v="1"/>
    <n v="1"/>
    <n v="30"/>
    <n v="790.16"/>
    <n v="0"/>
    <n v="4"/>
    <x v="1"/>
    <n v="5.3263228850690929"/>
  </r>
  <r>
    <s v="ID-2014"/>
    <n v="0"/>
    <x v="0"/>
    <n v="36"/>
    <n v="0"/>
    <n v="2790"/>
    <n v="21"/>
    <n v="476"/>
    <n v="6"/>
    <n v="3"/>
    <n v="1"/>
    <n v="1"/>
    <n v="30"/>
    <n v="2016.44"/>
    <n v="0"/>
    <n v="1"/>
    <x v="0"/>
    <n v="72.273835125448031"/>
  </r>
  <r>
    <s v="ID-2015"/>
    <n v="4"/>
    <x v="0"/>
    <n v="35"/>
    <n v="0"/>
    <n v="15180"/>
    <n v="176"/>
    <n v="143"/>
    <n v="28"/>
    <n v="2"/>
    <n v="1"/>
    <n v="1"/>
    <n v="25"/>
    <n v="1334.52"/>
    <n v="0"/>
    <n v="3"/>
    <x v="1"/>
    <n v="8.7913043478260864"/>
  </r>
  <r>
    <s v="ID-2016"/>
    <n v="0"/>
    <x v="0"/>
    <n v="35"/>
    <n v="0"/>
    <n v="6195"/>
    <n v="80"/>
    <n v="179"/>
    <n v="24"/>
    <n v="3"/>
    <n v="1"/>
    <n v="1"/>
    <n v="30"/>
    <n v="967"/>
    <n v="0"/>
    <n v="1"/>
    <x v="0"/>
    <n v="15.609362389023406"/>
  </r>
  <r>
    <s v="ID-2017"/>
    <n v="0"/>
    <x v="0"/>
    <n v="35"/>
    <n v="0"/>
    <n v="570"/>
    <n v="8"/>
    <n v="0"/>
    <n v="9"/>
    <n v="2"/>
    <n v="1"/>
    <n v="2"/>
    <n v="25"/>
    <n v="26.01"/>
    <n v="0"/>
    <n v="1"/>
    <x v="0"/>
    <n v="4.5631578947368423"/>
  </r>
  <r>
    <s v="ID-2018"/>
    <n v="0"/>
    <x v="0"/>
    <n v="36"/>
    <n v="0"/>
    <n v="405"/>
    <n v="8"/>
    <n v="6"/>
    <n v="6"/>
    <n v="2"/>
    <n v="1"/>
    <n v="2"/>
    <n v="25"/>
    <n v="45.585000000000001"/>
    <n v="0"/>
    <n v="1"/>
    <x v="0"/>
    <n v="11.255555555555556"/>
  </r>
  <r>
    <s v="ID-2019"/>
    <n v="0"/>
    <x v="1"/>
    <n v="35"/>
    <n v="0"/>
    <n v="0"/>
    <n v="0"/>
    <n v="0"/>
    <n v="0"/>
    <n v="2"/>
    <n v="1"/>
    <n v="2"/>
    <n v="25"/>
    <n v="0"/>
    <n v="1"/>
    <n v="3"/>
    <x v="1"/>
    <n v="0"/>
  </r>
  <r>
    <s v="ID-2020"/>
    <n v="0"/>
    <x v="0"/>
    <n v="35"/>
    <n v="0"/>
    <n v="7203"/>
    <n v="121"/>
    <n v="377"/>
    <n v="41"/>
    <n v="2"/>
    <n v="1"/>
    <n v="1"/>
    <n v="25"/>
    <n v="2026.08"/>
    <n v="0"/>
    <n v="1"/>
    <x v="0"/>
    <n v="28.128279883381925"/>
  </r>
  <r>
    <s v="ID-2021"/>
    <n v="2"/>
    <x v="0"/>
    <n v="35"/>
    <n v="0"/>
    <n v="11160"/>
    <n v="148"/>
    <n v="4"/>
    <n v="45"/>
    <n v="3"/>
    <n v="1"/>
    <n v="1"/>
    <n v="30"/>
    <n v="468.32"/>
    <n v="0"/>
    <n v="3"/>
    <x v="1"/>
    <n v="4.1964157706093195"/>
  </r>
  <r>
    <s v="ID-2022"/>
    <n v="3"/>
    <x v="0"/>
    <n v="35"/>
    <n v="0"/>
    <n v="6413"/>
    <n v="69"/>
    <n v="101"/>
    <n v="35"/>
    <n v="2"/>
    <n v="1"/>
    <n v="1"/>
    <n v="25"/>
    <n v="746.19"/>
    <n v="0"/>
    <n v="1"/>
    <x v="0"/>
    <n v="11.635583970060814"/>
  </r>
  <r>
    <s v="ID-2023"/>
    <n v="18"/>
    <x v="0"/>
    <n v="31"/>
    <n v="0"/>
    <n v="650"/>
    <n v="41"/>
    <n v="9"/>
    <n v="15"/>
    <n v="2"/>
    <n v="1"/>
    <n v="2"/>
    <n v="25"/>
    <n v="71.594999999999999"/>
    <n v="1"/>
    <n v="3"/>
    <x v="1"/>
    <n v="11.014615384615384"/>
  </r>
  <r>
    <s v="ID-2024"/>
    <n v="16"/>
    <x v="0"/>
    <n v="34"/>
    <n v="7"/>
    <n v="10130"/>
    <n v="87"/>
    <n v="0"/>
    <n v="40"/>
    <n v="4"/>
    <n v="1"/>
    <n v="1"/>
    <n v="45"/>
    <n v="255.42500000000001"/>
    <n v="0"/>
    <n v="2"/>
    <x v="0"/>
    <n v="2.5214708785784796"/>
  </r>
  <r>
    <s v="ID-2025"/>
    <n v="8"/>
    <x v="0"/>
    <n v="34"/>
    <n v="0"/>
    <n v="5513"/>
    <n v="92"/>
    <n v="19"/>
    <n v="22"/>
    <n v="2"/>
    <n v="1"/>
    <n v="1"/>
    <n v="25"/>
    <n v="337.72500000000002"/>
    <n v="1"/>
    <n v="1"/>
    <x v="0"/>
    <n v="6.1259749682568474"/>
  </r>
  <r>
    <s v="ID-2026"/>
    <n v="0"/>
    <x v="0"/>
    <n v="32"/>
    <n v="0"/>
    <n v="2535"/>
    <n v="16"/>
    <n v="0"/>
    <n v="12"/>
    <n v="3"/>
    <n v="1"/>
    <n v="1"/>
    <n v="30"/>
    <n v="102.04"/>
    <n v="0"/>
    <n v="1"/>
    <x v="0"/>
    <n v="4.0252465483234721"/>
  </r>
  <r>
    <s v="ID-2027"/>
    <n v="4"/>
    <x v="0"/>
    <n v="33"/>
    <n v="0"/>
    <n v="2685"/>
    <n v="35"/>
    <n v="2"/>
    <n v="14"/>
    <n v="2"/>
    <n v="1"/>
    <n v="2"/>
    <n v="25"/>
    <n v="131.4"/>
    <n v="1"/>
    <n v="1"/>
    <x v="0"/>
    <n v="4.8938547486033528"/>
  </r>
  <r>
    <s v="ID-2028"/>
    <n v="4"/>
    <x v="1"/>
    <n v="34"/>
    <n v="0"/>
    <n v="1963"/>
    <n v="38"/>
    <n v="27"/>
    <n v="29"/>
    <n v="3"/>
    <n v="1"/>
    <n v="2"/>
    <n v="30"/>
    <n v="188.04"/>
    <n v="1"/>
    <n v="3"/>
    <x v="1"/>
    <n v="9.5792154865002548"/>
  </r>
  <r>
    <s v="ID-2029"/>
    <n v="0"/>
    <x v="0"/>
    <n v="34"/>
    <n v="0"/>
    <n v="0"/>
    <n v="0"/>
    <n v="0"/>
    <n v="0"/>
    <n v="3"/>
    <n v="1"/>
    <n v="2"/>
    <n v="30"/>
    <n v="0"/>
    <n v="1"/>
    <n v="1"/>
    <x v="0"/>
    <n v="0"/>
  </r>
  <r>
    <s v="ID-2030"/>
    <n v="0"/>
    <x v="0"/>
    <n v="34"/>
    <n v="0"/>
    <n v="1363"/>
    <n v="19"/>
    <n v="0"/>
    <n v="4"/>
    <n v="3"/>
    <n v="1"/>
    <n v="1"/>
    <n v="30"/>
    <n v="55.28"/>
    <n v="0"/>
    <n v="1"/>
    <x v="0"/>
    <n v="4.0557593543653709"/>
  </r>
  <r>
    <s v="ID-2031"/>
    <n v="0"/>
    <x v="0"/>
    <n v="31"/>
    <n v="0"/>
    <n v="6480"/>
    <n v="91"/>
    <n v="7"/>
    <n v="20"/>
    <n v="4"/>
    <n v="1"/>
    <n v="1"/>
    <n v="45"/>
    <n v="181.77500000000001"/>
    <n v="0"/>
    <n v="1"/>
    <x v="0"/>
    <n v="2.8051697530864197"/>
  </r>
  <r>
    <s v="ID-2032"/>
    <n v="0"/>
    <x v="1"/>
    <n v="34"/>
    <n v="0"/>
    <n v="323"/>
    <n v="1"/>
    <n v="2"/>
    <n v="2"/>
    <n v="4"/>
    <n v="1"/>
    <n v="2"/>
    <n v="45"/>
    <n v="13.1"/>
    <n v="1"/>
    <n v="3"/>
    <x v="1"/>
    <n v="4.0557275541795672"/>
  </r>
  <r>
    <s v="ID-2033"/>
    <n v="0"/>
    <x v="0"/>
    <n v="34"/>
    <n v="0"/>
    <n v="0"/>
    <n v="0"/>
    <n v="0"/>
    <n v="0"/>
    <n v="5"/>
    <n v="1"/>
    <n v="1"/>
    <n v="55"/>
    <n v="0"/>
    <n v="0"/>
    <n v="1"/>
    <x v="0"/>
    <n v="0"/>
  </r>
  <r>
    <s v="ID-2034"/>
    <n v="20"/>
    <x v="0"/>
    <n v="29"/>
    <n v="2"/>
    <n v="15770"/>
    <n v="232"/>
    <n v="0"/>
    <n v="78"/>
    <n v="2"/>
    <n v="1"/>
    <n v="1"/>
    <n v="25"/>
    <n v="720.09"/>
    <n v="0"/>
    <n v="5"/>
    <x v="1"/>
    <n v="4.5662016487000638"/>
  </r>
  <r>
    <s v="ID-2035"/>
    <n v="1"/>
    <x v="0"/>
    <n v="32"/>
    <n v="2"/>
    <n v="6660"/>
    <n v="110"/>
    <n v="264"/>
    <n v="31"/>
    <n v="2"/>
    <n v="2"/>
    <n v="1"/>
    <n v="25"/>
    <n v="1492.65"/>
    <n v="0"/>
    <n v="0"/>
    <x v="0"/>
    <n v="22.412162162162165"/>
  </r>
  <r>
    <s v="ID-2036"/>
    <n v="0"/>
    <x v="0"/>
    <n v="34"/>
    <n v="0"/>
    <n v="3413"/>
    <n v="76"/>
    <n v="0"/>
    <n v="26"/>
    <n v="2"/>
    <n v="1"/>
    <n v="1"/>
    <n v="25"/>
    <n v="157.005"/>
    <n v="0"/>
    <n v="1"/>
    <x v="0"/>
    <n v="4.6002050981541167"/>
  </r>
  <r>
    <s v="ID-2037"/>
    <n v="0"/>
    <x v="0"/>
    <n v="33"/>
    <n v="0"/>
    <n v="1360"/>
    <n v="38"/>
    <n v="31"/>
    <n v="18"/>
    <n v="3"/>
    <n v="1"/>
    <n v="2"/>
    <n v="30"/>
    <n v="179.92"/>
    <n v="0"/>
    <n v="1"/>
    <x v="0"/>
    <n v="13.229411764705882"/>
  </r>
  <r>
    <s v="ID-2038"/>
    <n v="1"/>
    <x v="0"/>
    <n v="34"/>
    <n v="0"/>
    <n v="2475"/>
    <n v="47"/>
    <n v="168"/>
    <n v="21"/>
    <n v="2"/>
    <n v="1"/>
    <n v="1"/>
    <n v="25"/>
    <n v="869.49"/>
    <n v="0"/>
    <n v="1"/>
    <x v="0"/>
    <n v="35.130909090909093"/>
  </r>
  <r>
    <s v="ID-2039"/>
    <n v="0"/>
    <x v="0"/>
    <n v="25"/>
    <n v="0"/>
    <n v="1010"/>
    <n v="30"/>
    <n v="186"/>
    <n v="9"/>
    <n v="2"/>
    <n v="2"/>
    <n v="1"/>
    <n v="25"/>
    <n v="883.8"/>
    <n v="0"/>
    <n v="1"/>
    <x v="0"/>
    <n v="87.504950495049499"/>
  </r>
  <r>
    <s v="ID-2040"/>
    <n v="0"/>
    <x v="0"/>
    <n v="24"/>
    <n v="0"/>
    <n v="1263"/>
    <n v="33"/>
    <n v="23"/>
    <n v="66"/>
    <n v="4"/>
    <n v="1"/>
    <n v="1"/>
    <n v="45"/>
    <n v="89.9"/>
    <n v="0"/>
    <n v="2"/>
    <x v="0"/>
    <n v="7.1179730799683298"/>
  </r>
  <r>
    <s v="ID-2041"/>
    <n v="6"/>
    <x v="0"/>
    <n v="25"/>
    <n v="0"/>
    <n v="395"/>
    <n v="19"/>
    <n v="3"/>
    <n v="5"/>
    <n v="2"/>
    <n v="1"/>
    <n v="2"/>
    <n v="25"/>
    <n v="32.130000000000003"/>
    <n v="0"/>
    <n v="1"/>
    <x v="0"/>
    <n v="8.1341772151898741"/>
  </r>
  <r>
    <s v="ID-2042"/>
    <n v="0"/>
    <x v="0"/>
    <n v="24"/>
    <n v="0"/>
    <n v="520"/>
    <n v="4"/>
    <n v="14"/>
    <n v="1"/>
    <n v="4"/>
    <n v="1"/>
    <n v="2"/>
    <n v="45"/>
    <n v="48.1"/>
    <n v="0"/>
    <n v="1"/>
    <x v="0"/>
    <n v="9.25"/>
  </r>
  <r>
    <s v="ID-2043"/>
    <n v="5"/>
    <x v="0"/>
    <n v="23"/>
    <n v="0"/>
    <n v="920"/>
    <n v="26"/>
    <n v="12"/>
    <n v="11"/>
    <n v="2"/>
    <n v="1"/>
    <n v="1"/>
    <n v="25"/>
    <n v="96.57"/>
    <n v="0"/>
    <n v="1"/>
    <x v="0"/>
    <n v="10.496739130434781"/>
  </r>
  <r>
    <s v="ID-2044"/>
    <n v="0"/>
    <x v="0"/>
    <n v="23"/>
    <n v="0"/>
    <n v="2920"/>
    <n v="55"/>
    <n v="1"/>
    <n v="21"/>
    <n v="3"/>
    <n v="1"/>
    <n v="1"/>
    <n v="30"/>
    <n v="123"/>
    <n v="0"/>
    <n v="1"/>
    <x v="0"/>
    <n v="4.2123287671232879"/>
  </r>
  <r>
    <s v="ID-2045"/>
    <n v="0"/>
    <x v="0"/>
    <n v="16"/>
    <n v="0"/>
    <n v="1390"/>
    <n v="20"/>
    <n v="21"/>
    <n v="12"/>
    <n v="2"/>
    <n v="1"/>
    <n v="1"/>
    <n v="25"/>
    <n v="157.94999999999999"/>
    <n v="0"/>
    <n v="1"/>
    <x v="0"/>
    <n v="11.363309352517986"/>
  </r>
  <r>
    <s v="ID-2046"/>
    <n v="11"/>
    <x v="0"/>
    <n v="15"/>
    <n v="0"/>
    <n v="6087"/>
    <n v="135"/>
    <n v="78"/>
    <n v="40"/>
    <n v="1"/>
    <n v="2"/>
    <n v="1"/>
    <n v="15"/>
    <n v="771.21"/>
    <n v="0"/>
    <n v="3"/>
    <x v="1"/>
    <n v="12.669788072942337"/>
  </r>
  <r>
    <s v="ID-2047"/>
    <n v="7"/>
    <x v="0"/>
    <n v="13"/>
    <n v="0"/>
    <n v="8627"/>
    <n v="165"/>
    <n v="66"/>
    <n v="38"/>
    <n v="4"/>
    <n v="1"/>
    <n v="1"/>
    <n v="45"/>
    <n v="384.8"/>
    <n v="0"/>
    <n v="3"/>
    <x v="1"/>
    <n v="4.4604149762373941"/>
  </r>
  <r>
    <s v="ID-2048"/>
    <n v="3"/>
    <x v="0"/>
    <n v="14"/>
    <n v="2"/>
    <n v="2547"/>
    <n v="39"/>
    <n v="24"/>
    <n v="17"/>
    <n v="3"/>
    <n v="1"/>
    <n v="1"/>
    <n v="30"/>
    <n v="199.44"/>
    <n v="0"/>
    <n v="0"/>
    <x v="0"/>
    <n v="7.8303886925795059"/>
  </r>
  <r>
    <s v="ID-2049"/>
    <n v="0"/>
    <x v="0"/>
    <n v="7"/>
    <n v="0"/>
    <n v="4085"/>
    <n v="34"/>
    <n v="208"/>
    <n v="8"/>
    <n v="3"/>
    <n v="1"/>
    <n v="1"/>
    <n v="30"/>
    <n v="996.76"/>
    <n v="0"/>
    <n v="1"/>
    <x v="0"/>
    <n v="24.400489596083229"/>
  </r>
  <r>
    <s v="ID-2050"/>
    <n v="0"/>
    <x v="0"/>
    <n v="7"/>
    <n v="0"/>
    <n v="1182"/>
    <n v="13"/>
    <n v="0"/>
    <n v="5"/>
    <n v="2"/>
    <n v="1"/>
    <n v="1"/>
    <n v="25"/>
    <n v="53.774999999999999"/>
    <n v="1"/>
    <n v="1"/>
    <x v="0"/>
    <n v="4.5494923857868024"/>
  </r>
  <r>
    <s v="ID-2051"/>
    <n v="3"/>
    <x v="0"/>
    <n v="36"/>
    <n v="0"/>
    <n v="4065"/>
    <n v="65"/>
    <n v="0"/>
    <n v="15"/>
    <n v="2"/>
    <n v="1"/>
    <n v="1"/>
    <n v="25"/>
    <n v="185.85"/>
    <n v="0"/>
    <n v="1"/>
    <x v="0"/>
    <n v="4.5719557195571952"/>
  </r>
  <r>
    <s v="ID-2052"/>
    <n v="0"/>
    <x v="0"/>
    <n v="37"/>
    <n v="0"/>
    <n v="0"/>
    <n v="0"/>
    <n v="0"/>
    <n v="0"/>
    <n v="2"/>
    <n v="1"/>
    <n v="2"/>
    <n v="25"/>
    <n v="0"/>
    <n v="0"/>
    <n v="1"/>
    <x v="0"/>
    <n v="0"/>
  </r>
  <r>
    <s v="ID-2053"/>
    <n v="5"/>
    <x v="0"/>
    <n v="35"/>
    <n v="0"/>
    <n v="2148"/>
    <n v="54"/>
    <n v="352"/>
    <n v="22"/>
    <n v="2"/>
    <n v="1"/>
    <n v="1"/>
    <n v="25"/>
    <n v="1683.09"/>
    <n v="0"/>
    <n v="1"/>
    <x v="0"/>
    <n v="78.35614525139664"/>
  </r>
  <r>
    <s v="ID-2054"/>
    <n v="5"/>
    <x v="0"/>
    <n v="36"/>
    <n v="0"/>
    <n v="3893"/>
    <n v="60"/>
    <n v="0"/>
    <n v="33"/>
    <n v="1"/>
    <n v="1"/>
    <n v="1"/>
    <n v="15"/>
    <n v="217.41499999999999"/>
    <n v="0"/>
    <n v="1"/>
    <x v="0"/>
    <n v="5.5847675314667349"/>
  </r>
  <r>
    <s v="ID-2055"/>
    <n v="0"/>
    <x v="0"/>
    <n v="36"/>
    <n v="0"/>
    <n v="2088"/>
    <n v="52"/>
    <n v="0"/>
    <n v="31"/>
    <n v="1"/>
    <n v="1"/>
    <n v="1"/>
    <n v="15"/>
    <n v="117.7"/>
    <n v="0"/>
    <n v="1"/>
    <x v="0"/>
    <n v="5.6369731800766285"/>
  </r>
  <r>
    <s v="ID-2056"/>
    <n v="6"/>
    <x v="0"/>
    <n v="36"/>
    <n v="0"/>
    <n v="3470"/>
    <n v="76"/>
    <n v="25"/>
    <n v="26"/>
    <n v="2"/>
    <n v="1"/>
    <n v="1"/>
    <n v="25"/>
    <n v="272.07"/>
    <n v="0"/>
    <n v="1"/>
    <x v="0"/>
    <n v="7.8406340057636887"/>
  </r>
  <r>
    <s v="ID-2057"/>
    <n v="0"/>
    <x v="0"/>
    <n v="36"/>
    <n v="0"/>
    <n v="2055"/>
    <n v="33"/>
    <n v="278"/>
    <n v="16"/>
    <n v="3"/>
    <n v="1"/>
    <n v="1"/>
    <n v="30"/>
    <n v="1195.52"/>
    <n v="0"/>
    <n v="1"/>
    <x v="0"/>
    <n v="58.17615571776156"/>
  </r>
  <r>
    <s v="ID-2058"/>
    <n v="8"/>
    <x v="0"/>
    <n v="35"/>
    <n v="1"/>
    <n v="8810"/>
    <n v="115"/>
    <n v="137"/>
    <n v="41"/>
    <n v="3"/>
    <n v="1"/>
    <n v="1"/>
    <n v="30"/>
    <n v="905"/>
    <n v="0"/>
    <n v="0"/>
    <x v="0"/>
    <n v="10.272417707150964"/>
  </r>
  <r>
    <s v="ID-2059"/>
    <n v="2"/>
    <x v="0"/>
    <n v="36"/>
    <n v="0"/>
    <n v="13468"/>
    <n v="163"/>
    <n v="0"/>
    <n v="42"/>
    <n v="3"/>
    <n v="1"/>
    <n v="1"/>
    <n v="30"/>
    <n v="545.24"/>
    <n v="0"/>
    <n v="3"/>
    <x v="1"/>
    <n v="4.0484110484110483"/>
  </r>
  <r>
    <s v="ID-2060"/>
    <n v="2"/>
    <x v="0"/>
    <n v="36"/>
    <n v="0"/>
    <n v="4210"/>
    <n v="77"/>
    <n v="0"/>
    <n v="23"/>
    <n v="3"/>
    <n v="1"/>
    <n v="1"/>
    <n v="30"/>
    <n v="171.48"/>
    <n v="0"/>
    <n v="1"/>
    <x v="0"/>
    <n v="4.0731591448931113"/>
  </r>
  <r>
    <s v="ID-2061"/>
    <n v="1"/>
    <x v="0"/>
    <n v="36"/>
    <n v="0"/>
    <n v="5613"/>
    <n v="89"/>
    <n v="0"/>
    <n v="10"/>
    <n v="2"/>
    <n v="1"/>
    <n v="1"/>
    <n v="25"/>
    <n v="256.58999999999997"/>
    <n v="0"/>
    <n v="1"/>
    <x v="0"/>
    <n v="4.571352218065206"/>
  </r>
  <r>
    <s v="ID-2062"/>
    <n v="4"/>
    <x v="0"/>
    <n v="36"/>
    <n v="0"/>
    <n v="1933"/>
    <n v="48"/>
    <n v="1"/>
    <n v="15"/>
    <n v="3"/>
    <n v="1"/>
    <n v="2"/>
    <n v="30"/>
    <n v="83.24"/>
    <n v="0"/>
    <n v="1"/>
    <x v="0"/>
    <n v="4.3062596999482663"/>
  </r>
  <r>
    <s v="ID-2063"/>
    <n v="20"/>
    <x v="0"/>
    <n v="36"/>
    <n v="2"/>
    <n v="14835"/>
    <n v="219"/>
    <n v="47"/>
    <n v="30"/>
    <n v="3"/>
    <n v="1"/>
    <n v="1"/>
    <n v="30"/>
    <n v="790.16"/>
    <n v="0"/>
    <n v="4"/>
    <x v="1"/>
    <n v="5.3263228850690929"/>
  </r>
  <r>
    <s v="ID-2064"/>
    <n v="0"/>
    <x v="0"/>
    <n v="36"/>
    <n v="0"/>
    <n v="2790"/>
    <n v="21"/>
    <n v="476"/>
    <n v="6"/>
    <n v="3"/>
    <n v="1"/>
    <n v="1"/>
    <n v="30"/>
    <n v="2016.44"/>
    <n v="0"/>
    <n v="1"/>
    <x v="0"/>
    <n v="72.273835125448031"/>
  </r>
  <r>
    <s v="ID-2065"/>
    <n v="4"/>
    <x v="0"/>
    <n v="35"/>
    <n v="0"/>
    <n v="15180"/>
    <n v="176"/>
    <n v="143"/>
    <n v="28"/>
    <n v="2"/>
    <n v="1"/>
    <n v="1"/>
    <n v="25"/>
    <n v="1334.52"/>
    <n v="0"/>
    <n v="3"/>
    <x v="1"/>
    <n v="8.7913043478260864"/>
  </r>
  <r>
    <s v="ID-2066"/>
    <n v="0"/>
    <x v="0"/>
    <n v="35"/>
    <n v="0"/>
    <n v="6195"/>
    <n v="80"/>
    <n v="179"/>
    <n v="24"/>
    <n v="3"/>
    <n v="1"/>
    <n v="1"/>
    <n v="30"/>
    <n v="967"/>
    <n v="0"/>
    <n v="1"/>
    <x v="0"/>
    <n v="15.609362389023406"/>
  </r>
  <r>
    <s v="ID-2067"/>
    <n v="0"/>
    <x v="0"/>
    <n v="35"/>
    <n v="0"/>
    <n v="570"/>
    <n v="8"/>
    <n v="0"/>
    <n v="9"/>
    <n v="2"/>
    <n v="1"/>
    <n v="2"/>
    <n v="25"/>
    <n v="26.01"/>
    <n v="0"/>
    <n v="1"/>
    <x v="0"/>
    <n v="4.5631578947368423"/>
  </r>
  <r>
    <s v="ID-2068"/>
    <n v="0"/>
    <x v="0"/>
    <n v="36"/>
    <n v="0"/>
    <n v="405"/>
    <n v="8"/>
    <n v="6"/>
    <n v="6"/>
    <n v="2"/>
    <n v="1"/>
    <n v="2"/>
    <n v="25"/>
    <n v="45.585000000000001"/>
    <n v="0"/>
    <n v="1"/>
    <x v="0"/>
    <n v="11.255555555555556"/>
  </r>
  <r>
    <s v="ID-2069"/>
    <n v="0"/>
    <x v="0"/>
    <n v="35"/>
    <n v="0"/>
    <n v="0"/>
    <n v="0"/>
    <n v="0"/>
    <n v="0"/>
    <n v="2"/>
    <n v="1"/>
    <n v="2"/>
    <n v="25"/>
    <n v="0"/>
    <n v="1"/>
    <n v="1"/>
    <x v="0"/>
    <n v="0"/>
  </r>
  <r>
    <s v="ID-2070"/>
    <n v="0"/>
    <x v="0"/>
    <n v="35"/>
    <n v="0"/>
    <n v="7203"/>
    <n v="121"/>
    <n v="377"/>
    <n v="41"/>
    <n v="2"/>
    <n v="1"/>
    <n v="1"/>
    <n v="25"/>
    <n v="2026.08"/>
    <n v="0"/>
    <n v="1"/>
    <x v="0"/>
    <n v="28.128279883381925"/>
  </r>
  <r>
    <s v="ID-2071"/>
    <n v="2"/>
    <x v="0"/>
    <n v="35"/>
    <n v="0"/>
    <n v="11160"/>
    <n v="148"/>
    <n v="4"/>
    <n v="45"/>
    <n v="3"/>
    <n v="1"/>
    <n v="1"/>
    <n v="30"/>
    <n v="468.32"/>
    <n v="0"/>
    <n v="3"/>
    <x v="1"/>
    <n v="4.1964157706093195"/>
  </r>
  <r>
    <s v="ID-2072"/>
    <n v="3"/>
    <x v="0"/>
    <n v="35"/>
    <n v="0"/>
    <n v="6413"/>
    <n v="69"/>
    <n v="101"/>
    <n v="35"/>
    <n v="2"/>
    <n v="1"/>
    <n v="1"/>
    <n v="25"/>
    <n v="746.19"/>
    <n v="0"/>
    <n v="1"/>
    <x v="0"/>
    <n v="11.635583970060814"/>
  </r>
  <r>
    <s v="ID-2073"/>
    <n v="18"/>
    <x v="1"/>
    <n v="31"/>
    <n v="0"/>
    <n v="650"/>
    <n v="41"/>
    <n v="9"/>
    <n v="15"/>
    <n v="2"/>
    <n v="1"/>
    <n v="2"/>
    <n v="25"/>
    <n v="71.594999999999999"/>
    <n v="1"/>
    <n v="5"/>
    <x v="1"/>
    <n v="11.014615384615384"/>
  </r>
  <r>
    <s v="ID-2074"/>
    <n v="16"/>
    <x v="0"/>
    <n v="34"/>
    <n v="7"/>
    <n v="10130"/>
    <n v="87"/>
    <n v="0"/>
    <n v="40"/>
    <n v="4"/>
    <n v="1"/>
    <n v="1"/>
    <n v="45"/>
    <n v="255.42500000000001"/>
    <n v="0"/>
    <n v="2"/>
    <x v="0"/>
    <n v="2.5214708785784796"/>
  </r>
  <r>
    <s v="ID-2075"/>
    <n v="8"/>
    <x v="0"/>
    <n v="34"/>
    <n v="0"/>
    <n v="5513"/>
    <n v="92"/>
    <n v="19"/>
    <n v="22"/>
    <n v="2"/>
    <n v="1"/>
    <n v="1"/>
    <n v="25"/>
    <n v="337.72500000000002"/>
    <n v="1"/>
    <n v="1"/>
    <x v="0"/>
    <n v="6.1259749682568474"/>
  </r>
  <r>
    <s v="ID-2076"/>
    <n v="0"/>
    <x v="0"/>
    <n v="32"/>
    <n v="0"/>
    <n v="2535"/>
    <n v="16"/>
    <n v="0"/>
    <n v="12"/>
    <n v="3"/>
    <n v="1"/>
    <n v="1"/>
    <n v="30"/>
    <n v="102.04"/>
    <n v="0"/>
    <n v="1"/>
    <x v="0"/>
    <n v="4.0252465483234721"/>
  </r>
  <r>
    <s v="ID-2077"/>
    <n v="4"/>
    <x v="1"/>
    <n v="33"/>
    <n v="0"/>
    <n v="2685"/>
    <n v="35"/>
    <n v="2"/>
    <n v="14"/>
    <n v="2"/>
    <n v="1"/>
    <n v="2"/>
    <n v="25"/>
    <n v="131.4"/>
    <n v="1"/>
    <n v="3"/>
    <x v="1"/>
    <n v="4.8938547486033528"/>
  </r>
  <r>
    <s v="ID-2078"/>
    <n v="4"/>
    <x v="0"/>
    <n v="34"/>
    <n v="0"/>
    <n v="1963"/>
    <n v="38"/>
    <n v="27"/>
    <n v="29"/>
    <n v="3"/>
    <n v="1"/>
    <n v="2"/>
    <n v="30"/>
    <n v="188.04"/>
    <n v="1"/>
    <n v="1"/>
    <x v="0"/>
    <n v="9.5792154865002548"/>
  </r>
  <r>
    <s v="ID-2079"/>
    <n v="0"/>
    <x v="1"/>
    <n v="34"/>
    <n v="0"/>
    <n v="0"/>
    <n v="0"/>
    <n v="0"/>
    <n v="0"/>
    <n v="3"/>
    <n v="1"/>
    <n v="2"/>
    <n v="30"/>
    <n v="0"/>
    <n v="1"/>
    <n v="3"/>
    <x v="1"/>
    <n v="0"/>
  </r>
  <r>
    <s v="ID-2080"/>
    <n v="0"/>
    <x v="0"/>
    <n v="34"/>
    <n v="0"/>
    <n v="1363"/>
    <n v="19"/>
    <n v="0"/>
    <n v="4"/>
    <n v="3"/>
    <n v="1"/>
    <n v="1"/>
    <n v="30"/>
    <n v="55.28"/>
    <n v="0"/>
    <n v="1"/>
    <x v="0"/>
    <n v="4.0557593543653709"/>
  </r>
  <r>
    <s v="ID-2081"/>
    <n v="0"/>
    <x v="0"/>
    <n v="31"/>
    <n v="0"/>
    <n v="6480"/>
    <n v="91"/>
    <n v="7"/>
    <n v="20"/>
    <n v="4"/>
    <n v="1"/>
    <n v="1"/>
    <n v="45"/>
    <n v="181.77500000000001"/>
    <n v="0"/>
    <n v="1"/>
    <x v="0"/>
    <n v="2.8051697530864197"/>
  </r>
  <r>
    <s v="ID-2082"/>
    <n v="0"/>
    <x v="0"/>
    <n v="34"/>
    <n v="0"/>
    <n v="323"/>
    <n v="1"/>
    <n v="2"/>
    <n v="2"/>
    <n v="4"/>
    <n v="1"/>
    <n v="2"/>
    <n v="45"/>
    <n v="13.1"/>
    <n v="1"/>
    <n v="1"/>
    <x v="0"/>
    <n v="4.0557275541795672"/>
  </r>
  <r>
    <s v="ID-2083"/>
    <n v="0"/>
    <x v="0"/>
    <n v="34"/>
    <n v="0"/>
    <n v="0"/>
    <n v="0"/>
    <n v="0"/>
    <n v="0"/>
    <n v="5"/>
    <n v="1"/>
    <n v="1"/>
    <n v="55"/>
    <n v="0"/>
    <n v="0"/>
    <n v="1"/>
    <x v="0"/>
    <n v="0"/>
  </r>
  <r>
    <s v="ID-2084"/>
    <n v="20"/>
    <x v="0"/>
    <n v="29"/>
    <n v="2"/>
    <n v="15770"/>
    <n v="232"/>
    <n v="0"/>
    <n v="78"/>
    <n v="2"/>
    <n v="1"/>
    <n v="1"/>
    <n v="25"/>
    <n v="720.09"/>
    <n v="0"/>
    <n v="5"/>
    <x v="1"/>
    <n v="4.5662016487000638"/>
  </r>
  <r>
    <s v="ID-2085"/>
    <n v="1"/>
    <x v="0"/>
    <n v="32"/>
    <n v="2"/>
    <n v="6660"/>
    <n v="110"/>
    <n v="264"/>
    <n v="31"/>
    <n v="2"/>
    <n v="2"/>
    <n v="1"/>
    <n v="25"/>
    <n v="1492.65"/>
    <n v="0"/>
    <n v="0"/>
    <x v="0"/>
    <n v="22.412162162162165"/>
  </r>
  <r>
    <s v="ID-2086"/>
    <n v="0"/>
    <x v="0"/>
    <n v="34"/>
    <n v="0"/>
    <n v="3413"/>
    <n v="76"/>
    <n v="0"/>
    <n v="26"/>
    <n v="2"/>
    <n v="1"/>
    <n v="1"/>
    <n v="25"/>
    <n v="157.005"/>
    <n v="0"/>
    <n v="1"/>
    <x v="0"/>
    <n v="4.6002050981541167"/>
  </r>
  <r>
    <s v="ID-2087"/>
    <n v="0"/>
    <x v="0"/>
    <n v="33"/>
    <n v="0"/>
    <n v="1360"/>
    <n v="38"/>
    <n v="31"/>
    <n v="18"/>
    <n v="3"/>
    <n v="1"/>
    <n v="2"/>
    <n v="30"/>
    <n v="179.92"/>
    <n v="0"/>
    <n v="1"/>
    <x v="0"/>
    <n v="13.229411764705882"/>
  </r>
  <r>
    <s v="ID-2088"/>
    <n v="1"/>
    <x v="0"/>
    <n v="34"/>
    <n v="0"/>
    <n v="2475"/>
    <n v="47"/>
    <n v="168"/>
    <n v="21"/>
    <n v="2"/>
    <n v="1"/>
    <n v="1"/>
    <n v="25"/>
    <n v="869.49"/>
    <n v="0"/>
    <n v="1"/>
    <x v="0"/>
    <n v="35.130909090909093"/>
  </r>
  <r>
    <s v="ID-2089"/>
    <n v="0"/>
    <x v="0"/>
    <n v="25"/>
    <n v="0"/>
    <n v="1010"/>
    <n v="30"/>
    <n v="186"/>
    <n v="9"/>
    <n v="2"/>
    <n v="2"/>
    <n v="1"/>
    <n v="25"/>
    <n v="883.8"/>
    <n v="0"/>
    <n v="1"/>
    <x v="0"/>
    <n v="87.504950495049499"/>
  </r>
  <r>
    <s v="ID-2090"/>
    <n v="0"/>
    <x v="0"/>
    <n v="24"/>
    <n v="0"/>
    <n v="1263"/>
    <n v="33"/>
    <n v="23"/>
    <n v="66"/>
    <n v="4"/>
    <n v="1"/>
    <n v="1"/>
    <n v="45"/>
    <n v="89.9"/>
    <n v="0"/>
    <n v="2"/>
    <x v="0"/>
    <n v="7.1179730799683298"/>
  </r>
  <r>
    <s v="ID-2091"/>
    <n v="6"/>
    <x v="0"/>
    <n v="25"/>
    <n v="0"/>
    <n v="395"/>
    <n v="19"/>
    <n v="3"/>
    <n v="5"/>
    <n v="2"/>
    <n v="1"/>
    <n v="2"/>
    <n v="25"/>
    <n v="32.130000000000003"/>
    <n v="0"/>
    <n v="1"/>
    <x v="0"/>
    <n v="8.1341772151898741"/>
  </r>
  <r>
    <s v="ID-2092"/>
    <n v="0"/>
    <x v="0"/>
    <n v="24"/>
    <n v="0"/>
    <n v="520"/>
    <n v="4"/>
    <n v="14"/>
    <n v="1"/>
    <n v="4"/>
    <n v="1"/>
    <n v="2"/>
    <n v="45"/>
    <n v="48.1"/>
    <n v="0"/>
    <n v="1"/>
    <x v="0"/>
    <n v="9.25"/>
  </r>
  <r>
    <s v="ID-2093"/>
    <n v="5"/>
    <x v="0"/>
    <n v="23"/>
    <n v="0"/>
    <n v="920"/>
    <n v="26"/>
    <n v="12"/>
    <n v="11"/>
    <n v="2"/>
    <n v="1"/>
    <n v="1"/>
    <n v="25"/>
    <n v="96.57"/>
    <n v="0"/>
    <n v="1"/>
    <x v="0"/>
    <n v="10.496739130434781"/>
  </r>
  <r>
    <s v="ID-2094"/>
    <n v="0"/>
    <x v="0"/>
    <n v="23"/>
    <n v="0"/>
    <n v="2920"/>
    <n v="55"/>
    <n v="1"/>
    <n v="21"/>
    <n v="3"/>
    <n v="1"/>
    <n v="1"/>
    <n v="30"/>
    <n v="123"/>
    <n v="0"/>
    <n v="1"/>
    <x v="0"/>
    <n v="4.2123287671232879"/>
  </r>
  <r>
    <s v="ID-2095"/>
    <n v="0"/>
    <x v="0"/>
    <n v="16"/>
    <n v="0"/>
    <n v="1390"/>
    <n v="20"/>
    <n v="21"/>
    <n v="12"/>
    <n v="2"/>
    <n v="1"/>
    <n v="1"/>
    <n v="25"/>
    <n v="157.94999999999999"/>
    <n v="0"/>
    <n v="1"/>
    <x v="0"/>
    <n v="11.363309352517986"/>
  </r>
  <r>
    <s v="ID-2096"/>
    <n v="11"/>
    <x v="0"/>
    <n v="15"/>
    <n v="0"/>
    <n v="6087"/>
    <n v="135"/>
    <n v="78"/>
    <n v="40"/>
    <n v="1"/>
    <n v="2"/>
    <n v="1"/>
    <n v="15"/>
    <n v="771.21"/>
    <n v="0"/>
    <n v="3"/>
    <x v="1"/>
    <n v="12.669788072942337"/>
  </r>
  <r>
    <s v="ID-2097"/>
    <n v="7"/>
    <x v="0"/>
    <n v="13"/>
    <n v="0"/>
    <n v="8627"/>
    <n v="165"/>
    <n v="66"/>
    <n v="38"/>
    <n v="4"/>
    <n v="1"/>
    <n v="1"/>
    <n v="45"/>
    <n v="384.8"/>
    <n v="0"/>
    <n v="3"/>
    <x v="1"/>
    <n v="4.4604149762373941"/>
  </r>
  <r>
    <s v="ID-2098"/>
    <n v="3"/>
    <x v="0"/>
    <n v="14"/>
    <n v="2"/>
    <n v="2547"/>
    <n v="39"/>
    <n v="24"/>
    <n v="17"/>
    <n v="3"/>
    <n v="1"/>
    <n v="1"/>
    <n v="30"/>
    <n v="199.44"/>
    <n v="0"/>
    <n v="0"/>
    <x v="0"/>
    <n v="7.8303886925795059"/>
  </r>
  <r>
    <s v="ID-2099"/>
    <n v="0"/>
    <x v="0"/>
    <n v="7"/>
    <n v="0"/>
    <n v="4085"/>
    <n v="34"/>
    <n v="208"/>
    <n v="8"/>
    <n v="3"/>
    <n v="1"/>
    <n v="1"/>
    <n v="30"/>
    <n v="996.76"/>
    <n v="0"/>
    <n v="1"/>
    <x v="0"/>
    <n v="24.400489596083229"/>
  </r>
  <r>
    <s v="ID-2100"/>
    <n v="0"/>
    <x v="0"/>
    <n v="7"/>
    <n v="0"/>
    <n v="1182"/>
    <n v="13"/>
    <n v="0"/>
    <n v="5"/>
    <n v="2"/>
    <n v="1"/>
    <n v="1"/>
    <n v="25"/>
    <n v="53.774999999999999"/>
    <n v="1"/>
    <n v="1"/>
    <x v="0"/>
    <n v="4.5494923857868024"/>
  </r>
  <r>
    <s v="ID-2101"/>
    <n v="13"/>
    <x v="0"/>
    <n v="40"/>
    <n v="1"/>
    <n v="4675"/>
    <n v="77"/>
    <n v="12"/>
    <n v="19"/>
    <n v="3"/>
    <n v="1"/>
    <n v="1"/>
    <n v="30"/>
    <n v="238.08"/>
    <n v="0"/>
    <n v="2"/>
    <x v="0"/>
    <n v="5.0926203208556151"/>
  </r>
  <r>
    <s v="ID-2102"/>
    <n v="5"/>
    <x v="0"/>
    <n v="41"/>
    <n v="0"/>
    <n v="623"/>
    <n v="11"/>
    <n v="14"/>
    <n v="6"/>
    <n v="3"/>
    <n v="1"/>
    <n v="2"/>
    <n v="30"/>
    <n v="81.36"/>
    <n v="0"/>
    <n v="1"/>
    <x v="0"/>
    <n v="13.059390048154093"/>
  </r>
  <r>
    <s v="ID-2103"/>
    <n v="15"/>
    <x v="0"/>
    <n v="39"/>
    <n v="1"/>
    <n v="2758"/>
    <n v="66"/>
    <n v="366"/>
    <n v="26"/>
    <n v="3"/>
    <n v="1"/>
    <n v="1"/>
    <n v="30"/>
    <n v="1576.96"/>
    <n v="0"/>
    <n v="2"/>
    <x v="0"/>
    <n v="57.17766497461929"/>
  </r>
  <r>
    <s v="ID-2104"/>
    <n v="15"/>
    <x v="0"/>
    <n v="40"/>
    <n v="1"/>
    <n v="4503"/>
    <n v="72"/>
    <n v="8"/>
    <n v="37"/>
    <n v="1"/>
    <n v="1"/>
    <n v="1"/>
    <n v="15"/>
    <n v="295.625"/>
    <n v="0"/>
    <n v="2"/>
    <x v="0"/>
    <n v="6.5650677326226967"/>
  </r>
  <r>
    <s v="ID-2105"/>
    <n v="8"/>
    <x v="0"/>
    <n v="40"/>
    <n v="1"/>
    <n v="2698"/>
    <n v="64"/>
    <n v="9"/>
    <n v="35"/>
    <n v="2"/>
    <n v="1"/>
    <n v="1"/>
    <n v="25"/>
    <n v="164.79"/>
    <n v="0"/>
    <n v="0"/>
    <x v="0"/>
    <n v="6.1078576723498887"/>
  </r>
  <r>
    <s v="ID-2106"/>
    <n v="16"/>
    <x v="0"/>
    <n v="40"/>
    <n v="2"/>
    <n v="4080"/>
    <n v="88"/>
    <n v="39"/>
    <n v="30"/>
    <n v="3"/>
    <n v="1"/>
    <n v="1"/>
    <n v="30"/>
    <n v="322.72000000000003"/>
    <n v="0"/>
    <n v="2"/>
    <x v="0"/>
    <n v="7.9098039215686287"/>
  </r>
  <r>
    <s v="ID-2107"/>
    <n v="9"/>
    <x v="0"/>
    <n v="40"/>
    <n v="1"/>
    <n v="2665"/>
    <n v="45"/>
    <n v="292"/>
    <n v="20"/>
    <n v="3"/>
    <n v="1"/>
    <n v="1"/>
    <n v="30"/>
    <n v="1276.4000000000001"/>
    <n v="0"/>
    <n v="0"/>
    <x v="0"/>
    <n v="47.89493433395873"/>
  </r>
  <r>
    <s v="ID-2108"/>
    <n v="18"/>
    <x v="0"/>
    <n v="39"/>
    <n v="3"/>
    <n v="9420"/>
    <n v="127"/>
    <n v="151"/>
    <n v="45"/>
    <n v="3"/>
    <n v="1"/>
    <n v="1"/>
    <n v="30"/>
    <n v="985.88"/>
    <n v="0"/>
    <n v="2"/>
    <x v="0"/>
    <n v="10.465817409766455"/>
  </r>
  <r>
    <s v="ID-2109"/>
    <n v="12"/>
    <x v="0"/>
    <n v="40"/>
    <n v="1"/>
    <n v="14078"/>
    <n v="175"/>
    <n v="7"/>
    <n v="46"/>
    <n v="3"/>
    <n v="1"/>
    <n v="1"/>
    <n v="30"/>
    <n v="598.12"/>
    <n v="0"/>
    <n v="4"/>
    <x v="1"/>
    <n v="4.2486148600653504"/>
  </r>
  <r>
    <s v="ID-2110"/>
    <n v="12"/>
    <x v="0"/>
    <n v="40"/>
    <n v="2"/>
    <n v="4820"/>
    <n v="89"/>
    <n v="9"/>
    <n v="27"/>
    <n v="3"/>
    <n v="1"/>
    <n v="1"/>
    <n v="30"/>
    <n v="232.36"/>
    <n v="0"/>
    <n v="2"/>
    <x v="0"/>
    <n v="4.8207468879668047"/>
  </r>
  <r>
    <s v="ID-2111"/>
    <n v="11"/>
    <x v="0"/>
    <n v="40"/>
    <n v="1"/>
    <n v="6223"/>
    <n v="101"/>
    <n v="14"/>
    <n v="14"/>
    <n v="3"/>
    <n v="1"/>
    <n v="1"/>
    <n v="30"/>
    <n v="308.95999999999998"/>
    <n v="0"/>
    <n v="2"/>
    <x v="0"/>
    <n v="4.9648079704322665"/>
  </r>
  <r>
    <s v="ID-2112"/>
    <n v="14"/>
    <x v="1"/>
    <n v="40"/>
    <n v="0"/>
    <n v="2543"/>
    <n v="60"/>
    <n v="15"/>
    <n v="19"/>
    <n v="3"/>
    <n v="1"/>
    <n v="2"/>
    <n v="30"/>
    <n v="164.12"/>
    <n v="0"/>
    <n v="5"/>
    <x v="1"/>
    <n v="6.4537947306331116"/>
  </r>
  <r>
    <s v="ID-2113"/>
    <n v="30"/>
    <x v="0"/>
    <n v="40"/>
    <n v="4"/>
    <n v="15445"/>
    <n v="231"/>
    <n v="61"/>
    <n v="34"/>
    <n v="3"/>
    <n v="2"/>
    <n v="1"/>
    <n v="30"/>
    <n v="871.04"/>
    <n v="0"/>
    <n v="4"/>
    <x v="1"/>
    <n v="5.6396244739397865"/>
  </r>
  <r>
    <s v="ID-2114"/>
    <n v="9"/>
    <x v="0"/>
    <n v="40"/>
    <n v="2"/>
    <n v="3400"/>
    <n v="33"/>
    <n v="490"/>
    <n v="10"/>
    <n v="3"/>
    <n v="1"/>
    <n v="1"/>
    <n v="30"/>
    <n v="2097.3200000000002"/>
    <n v="0"/>
    <n v="0"/>
    <x v="0"/>
    <n v="61.685882352941178"/>
  </r>
  <r>
    <s v="ID-2115"/>
    <n v="14"/>
    <x v="0"/>
    <n v="39"/>
    <n v="1"/>
    <n v="15790"/>
    <n v="188"/>
    <n v="157"/>
    <n v="32"/>
    <n v="2"/>
    <n v="1"/>
    <n v="1"/>
    <n v="25"/>
    <n v="1425.51"/>
    <n v="0"/>
    <n v="4"/>
    <x v="1"/>
    <n v="9.0279290690310319"/>
  </r>
  <r>
    <s v="ID-2116"/>
    <n v="8"/>
    <x v="0"/>
    <n v="39"/>
    <n v="2"/>
    <n v="6805"/>
    <n v="92"/>
    <n v="193"/>
    <n v="28"/>
    <n v="3"/>
    <n v="1"/>
    <n v="1"/>
    <n v="30"/>
    <n v="1047.8800000000001"/>
    <n v="0"/>
    <n v="0"/>
    <x v="0"/>
    <n v="15.398677443056577"/>
  </r>
  <r>
    <s v="ID-2117"/>
    <n v="5"/>
    <x v="0"/>
    <n v="39"/>
    <n v="0"/>
    <n v="1180"/>
    <n v="20"/>
    <n v="7"/>
    <n v="13"/>
    <n v="2"/>
    <n v="1"/>
    <n v="2"/>
    <n v="25"/>
    <n v="85.5"/>
    <n v="0"/>
    <n v="1"/>
    <x v="0"/>
    <n v="7.2457627118644066"/>
  </r>
  <r>
    <s v="ID-2118"/>
    <n v="7"/>
    <x v="0"/>
    <n v="40"/>
    <n v="0"/>
    <n v="1015"/>
    <n v="20"/>
    <n v="20"/>
    <n v="10"/>
    <n v="3"/>
    <n v="1"/>
    <n v="2"/>
    <n v="30"/>
    <n v="121.4"/>
    <n v="0"/>
    <n v="1"/>
    <x v="0"/>
    <n v="11.960591133004925"/>
  </r>
  <r>
    <s v="ID-2119"/>
    <n v="5"/>
    <x v="0"/>
    <n v="39"/>
    <n v="0"/>
    <n v="305"/>
    <n v="6"/>
    <n v="7"/>
    <n v="2"/>
    <n v="2"/>
    <n v="1"/>
    <n v="2"/>
    <n v="25"/>
    <n v="45.494999999999997"/>
    <n v="1"/>
    <n v="1"/>
    <x v="0"/>
    <n v="14.916393442622949"/>
  </r>
  <r>
    <s v="ID-2120"/>
    <n v="8"/>
    <x v="0"/>
    <n v="39"/>
    <n v="1"/>
    <n v="7813"/>
    <n v="133"/>
    <n v="391"/>
    <n v="45"/>
    <n v="3"/>
    <n v="1"/>
    <n v="1"/>
    <n v="30"/>
    <n v="1881.84"/>
    <n v="0"/>
    <n v="0"/>
    <x v="0"/>
    <n v="24.086010495328296"/>
  </r>
  <r>
    <s v="ID-2121"/>
    <n v="12"/>
    <x v="0"/>
    <n v="39"/>
    <n v="2"/>
    <n v="11770"/>
    <n v="160"/>
    <n v="18"/>
    <n v="49"/>
    <n v="4"/>
    <n v="1"/>
    <n v="1"/>
    <n v="45"/>
    <n v="343.25"/>
    <n v="0"/>
    <n v="5"/>
    <x v="1"/>
    <n v="2.9163126593033133"/>
  </r>
  <r>
    <s v="ID-2122"/>
    <n v="13"/>
    <x v="0"/>
    <n v="39"/>
    <n v="2"/>
    <n v="7023"/>
    <n v="81"/>
    <n v="115"/>
    <n v="39"/>
    <n v="2"/>
    <n v="1"/>
    <n v="1"/>
    <n v="25"/>
    <n v="837.18"/>
    <n v="0"/>
    <n v="2"/>
    <x v="0"/>
    <n v="11.920546774882528"/>
  </r>
  <r>
    <s v="ID-2123"/>
    <n v="28"/>
    <x v="0"/>
    <n v="35"/>
    <n v="0"/>
    <n v="1260"/>
    <n v="53"/>
    <n v="23"/>
    <n v="19"/>
    <n v="3"/>
    <n v="1"/>
    <n v="2"/>
    <n v="30"/>
    <n v="144.52000000000001"/>
    <n v="1"/>
    <n v="3"/>
    <x v="1"/>
    <n v="11.46984126984127"/>
  </r>
  <r>
    <s v="ID-2124"/>
    <n v="26"/>
    <x v="0"/>
    <n v="38"/>
    <n v="9"/>
    <n v="10740"/>
    <n v="99"/>
    <n v="8"/>
    <n v="44"/>
    <n v="5"/>
    <n v="1"/>
    <n v="1"/>
    <n v="55"/>
    <n v="174.58500000000001"/>
    <n v="0"/>
    <n v="2"/>
    <x v="0"/>
    <n v="1.625558659217877"/>
  </r>
  <r>
    <s v="ID-2125"/>
    <n v="18"/>
    <x v="0"/>
    <n v="38"/>
    <n v="2"/>
    <n v="6123"/>
    <n v="104"/>
    <n v="33"/>
    <n v="26"/>
    <n v="2"/>
    <n v="1"/>
    <n v="1"/>
    <n v="25"/>
    <n v="428.71499999999997"/>
    <n v="0"/>
    <n v="2"/>
    <x v="0"/>
    <n v="7.0017148456638898"/>
  </r>
  <r>
    <s v="ID-2126"/>
    <n v="6"/>
    <x v="0"/>
    <n v="36"/>
    <n v="1"/>
    <n v="3145"/>
    <n v="28"/>
    <n v="7"/>
    <n v="16"/>
    <n v="3"/>
    <n v="1"/>
    <n v="1"/>
    <n v="30"/>
    <n v="154.91999999999999"/>
    <n v="0"/>
    <n v="0"/>
    <x v="0"/>
    <n v="4.9259141494435612"/>
  </r>
  <r>
    <s v="ID-2127"/>
    <n v="14"/>
    <x v="1"/>
    <n v="37"/>
    <n v="0"/>
    <n v="3295"/>
    <n v="47"/>
    <n v="16"/>
    <n v="18"/>
    <n v="3"/>
    <n v="1"/>
    <n v="2"/>
    <n v="30"/>
    <n v="197.68"/>
    <n v="1"/>
    <n v="5"/>
    <x v="1"/>
    <n v="5.9993930197268588"/>
  </r>
  <r>
    <s v="ID-2128"/>
    <n v="14"/>
    <x v="1"/>
    <n v="38"/>
    <n v="0"/>
    <n v="2573"/>
    <n v="50"/>
    <n v="41"/>
    <n v="33"/>
    <n v="4"/>
    <n v="1"/>
    <n v="2"/>
    <n v="45"/>
    <n v="168.07499999999999"/>
    <n v="1"/>
    <n v="5"/>
    <x v="1"/>
    <n v="6.532258064516129"/>
  </r>
  <r>
    <s v="ID-2129"/>
    <n v="5"/>
    <x v="0"/>
    <n v="38"/>
    <n v="0"/>
    <n v="438"/>
    <n v="8"/>
    <n v="7"/>
    <n v="4"/>
    <n v="3"/>
    <n v="1"/>
    <n v="2"/>
    <n v="30"/>
    <n v="45.84"/>
    <n v="1"/>
    <n v="1"/>
    <x v="0"/>
    <n v="10.465753424657535"/>
  </r>
  <r>
    <s v="ID-2130"/>
    <n v="6"/>
    <x v="0"/>
    <n v="38"/>
    <n v="1"/>
    <n v="1973"/>
    <n v="31"/>
    <n v="7"/>
    <n v="8"/>
    <n v="4"/>
    <n v="1"/>
    <n v="1"/>
    <n v="45"/>
    <n v="67.599999999999994"/>
    <n v="0"/>
    <n v="0"/>
    <x v="0"/>
    <n v="3.4262544348707547"/>
  </r>
  <r>
    <s v="ID-2131"/>
    <n v="8"/>
    <x v="0"/>
    <n v="35"/>
    <n v="2"/>
    <n v="7090"/>
    <n v="103"/>
    <n v="21"/>
    <n v="24"/>
    <n v="5"/>
    <n v="1"/>
    <n v="1"/>
    <n v="55"/>
    <n v="139.39500000000001"/>
    <n v="0"/>
    <n v="0"/>
    <x v="0"/>
    <n v="1.9660789844851905"/>
  </r>
  <r>
    <s v="ID-2132"/>
    <n v="5"/>
    <x v="0"/>
    <n v="38"/>
    <n v="0"/>
    <n v="933"/>
    <n v="13"/>
    <n v="16"/>
    <n v="6"/>
    <n v="4"/>
    <n v="1"/>
    <n v="2"/>
    <n v="45"/>
    <n v="63.65"/>
    <n v="1"/>
    <n v="1"/>
    <x v="0"/>
    <n v="6.8220793140407281"/>
  </r>
  <r>
    <s v="ID-2133"/>
    <n v="5"/>
    <x v="0"/>
    <n v="38"/>
    <n v="2"/>
    <n v="643"/>
    <n v="10"/>
    <n v="11"/>
    <n v="4"/>
    <n v="5"/>
    <n v="1"/>
    <n v="1"/>
    <n v="55"/>
    <n v="26.295000000000002"/>
    <n v="0"/>
    <n v="0"/>
    <x v="0"/>
    <n v="4.0894245723172631"/>
  </r>
  <r>
    <s v="ID-2134"/>
    <n v="30"/>
    <x v="0"/>
    <n v="33"/>
    <n v="4"/>
    <n v="16380"/>
    <n v="244"/>
    <n v="7"/>
    <n v="82"/>
    <n v="2"/>
    <n v="2"/>
    <n v="1"/>
    <n v="25"/>
    <n v="779.58"/>
    <n v="0"/>
    <n v="5"/>
    <x v="1"/>
    <n v="4.7593406593406593"/>
  </r>
  <r>
    <s v="ID-2135"/>
    <n v="11"/>
    <x v="0"/>
    <n v="36"/>
    <n v="4"/>
    <n v="7270"/>
    <n v="122"/>
    <n v="278"/>
    <n v="35"/>
    <n v="3"/>
    <n v="2"/>
    <n v="1"/>
    <n v="30"/>
    <n v="1407.68"/>
    <n v="0"/>
    <n v="2"/>
    <x v="0"/>
    <n v="19.362861072902341"/>
  </r>
  <r>
    <s v="ID-2136"/>
    <n v="7"/>
    <x v="0"/>
    <n v="38"/>
    <n v="1"/>
    <n v="4023"/>
    <n v="88"/>
    <n v="9"/>
    <n v="30"/>
    <n v="3"/>
    <n v="1"/>
    <n v="1"/>
    <n v="30"/>
    <n v="200.44"/>
    <n v="0"/>
    <n v="0"/>
    <x v="0"/>
    <n v="4.9823514789957741"/>
  </r>
  <r>
    <s v="ID-2137"/>
    <n v="8"/>
    <x v="0"/>
    <n v="37"/>
    <n v="0"/>
    <n v="1970"/>
    <n v="50"/>
    <n v="45"/>
    <n v="22"/>
    <n v="3"/>
    <n v="1"/>
    <n v="2"/>
    <n v="30"/>
    <n v="260.8"/>
    <n v="0"/>
    <n v="1"/>
    <x v="0"/>
    <n v="13.238578680203048"/>
  </r>
  <r>
    <s v="ID-2138"/>
    <n v="11"/>
    <x v="0"/>
    <n v="38"/>
    <n v="1"/>
    <n v="3085"/>
    <n v="59"/>
    <n v="182"/>
    <n v="25"/>
    <n v="2"/>
    <n v="1"/>
    <n v="1"/>
    <n v="25"/>
    <n v="960.48"/>
    <n v="0"/>
    <n v="2"/>
    <x v="0"/>
    <n v="31.133873581847649"/>
  </r>
  <r>
    <s v="ID-2139"/>
    <n v="9"/>
    <x v="0"/>
    <n v="29"/>
    <n v="2"/>
    <n v="1620"/>
    <n v="42"/>
    <n v="200"/>
    <n v="13"/>
    <n v="3"/>
    <n v="2"/>
    <n v="1"/>
    <n v="30"/>
    <n v="866.48"/>
    <n v="0"/>
    <n v="0"/>
    <x v="0"/>
    <n v="53.486419753086423"/>
  </r>
  <r>
    <s v="ID-2140"/>
    <n v="9"/>
    <x v="0"/>
    <n v="28"/>
    <n v="1"/>
    <n v="1873"/>
    <n v="45"/>
    <n v="37"/>
    <n v="70"/>
    <n v="5"/>
    <n v="1"/>
    <n v="1"/>
    <n v="55"/>
    <n v="84.27"/>
    <n v="0"/>
    <n v="1"/>
    <x v="0"/>
    <n v="4.4991991457554725"/>
  </r>
  <r>
    <s v="ID-2141"/>
    <n v="16"/>
    <x v="0"/>
    <n v="29"/>
    <n v="0"/>
    <n v="1005"/>
    <n v="31"/>
    <n v="17"/>
    <n v="9"/>
    <n v="3"/>
    <n v="1"/>
    <n v="2"/>
    <n v="30"/>
    <n v="109.44"/>
    <n v="0"/>
    <n v="3"/>
    <x v="1"/>
    <n v="10.889552238805971"/>
  </r>
  <r>
    <s v="ID-2142"/>
    <n v="5"/>
    <x v="0"/>
    <n v="28"/>
    <n v="0"/>
    <n v="1130"/>
    <n v="16"/>
    <n v="28"/>
    <n v="5"/>
    <n v="4"/>
    <n v="1"/>
    <n v="2"/>
    <n v="45"/>
    <n v="98.65"/>
    <n v="0"/>
    <n v="1"/>
    <x v="0"/>
    <n v="8.730088495575222"/>
  </r>
  <r>
    <s v="ID-2143"/>
    <n v="15"/>
    <x v="0"/>
    <n v="27"/>
    <n v="1"/>
    <n v="1530"/>
    <n v="38"/>
    <n v="26"/>
    <n v="15"/>
    <n v="2"/>
    <n v="1"/>
    <n v="1"/>
    <n v="25"/>
    <n v="187.56"/>
    <n v="0"/>
    <n v="2"/>
    <x v="0"/>
    <n v="12.258823529411766"/>
  </r>
  <r>
    <s v="ID-2144"/>
    <n v="7"/>
    <x v="0"/>
    <n v="27"/>
    <n v="1"/>
    <n v="3530"/>
    <n v="67"/>
    <n v="15"/>
    <n v="25"/>
    <n v="3"/>
    <n v="1"/>
    <n v="1"/>
    <n v="30"/>
    <n v="203.88"/>
    <n v="0"/>
    <n v="0"/>
    <x v="0"/>
    <n v="5.7756373937677052"/>
  </r>
  <r>
    <s v="ID-2145"/>
    <n v="7"/>
    <x v="0"/>
    <n v="20"/>
    <n v="1"/>
    <n v="2000"/>
    <n v="32"/>
    <n v="35"/>
    <n v="16"/>
    <n v="3"/>
    <n v="1"/>
    <n v="1"/>
    <n v="30"/>
    <n v="221.28"/>
    <n v="0"/>
    <n v="0"/>
    <x v="0"/>
    <n v="11.064"/>
  </r>
  <r>
    <s v="ID-2146"/>
    <n v="21"/>
    <x v="0"/>
    <n v="19"/>
    <n v="2"/>
    <n v="6698"/>
    <n v="147"/>
    <n v="92"/>
    <n v="44"/>
    <n v="2"/>
    <n v="2"/>
    <n v="1"/>
    <n v="25"/>
    <n v="722.02499999999998"/>
    <n v="0"/>
    <n v="4"/>
    <x v="1"/>
    <n v="10.779710361301881"/>
  </r>
  <r>
    <s v="ID-2147"/>
    <n v="17"/>
    <x v="0"/>
    <n v="17"/>
    <n v="1"/>
    <n v="9238"/>
    <n v="177"/>
    <n v="80"/>
    <n v="42"/>
    <n v="5"/>
    <n v="1"/>
    <n v="1"/>
    <n v="55"/>
    <n v="261.22500000000002"/>
    <n v="0"/>
    <n v="4"/>
    <x v="1"/>
    <n v="2.827722450746915"/>
  </r>
  <r>
    <s v="ID-2148"/>
    <n v="13"/>
    <x v="0"/>
    <n v="18"/>
    <n v="4"/>
    <n v="3158"/>
    <n v="51"/>
    <n v="38"/>
    <n v="21"/>
    <n v="3"/>
    <n v="2"/>
    <n v="1"/>
    <n v="30"/>
    <n v="280.36"/>
    <n v="0"/>
    <n v="2"/>
    <x v="0"/>
    <n v="8.8777707409753006"/>
  </r>
  <r>
    <s v="ID-2149"/>
    <n v="7"/>
    <x v="0"/>
    <n v="11"/>
    <n v="2"/>
    <n v="4695"/>
    <n v="46"/>
    <n v="222"/>
    <n v="12"/>
    <n v="3"/>
    <n v="1"/>
    <n v="1"/>
    <n v="30"/>
    <n v="1077.6400000000001"/>
    <n v="0"/>
    <n v="0"/>
    <x v="0"/>
    <n v="22.952928647497338"/>
  </r>
  <r>
    <s v="ID-2150"/>
    <n v="8"/>
    <x v="1"/>
    <n v="11"/>
    <n v="2"/>
    <n v="1793"/>
    <n v="25"/>
    <n v="7"/>
    <n v="9"/>
    <n v="3"/>
    <n v="1"/>
    <n v="1"/>
    <n v="30"/>
    <n v="100.72"/>
    <n v="1"/>
    <n v="2"/>
    <x v="0"/>
    <n v="5.6174010039040709"/>
  </r>
  <r>
    <s v="ID-2151"/>
    <n v="16"/>
    <x v="0"/>
    <n v="42"/>
    <n v="2"/>
    <n v="4735"/>
    <n v="80"/>
    <n v="17"/>
    <n v="21"/>
    <n v="3"/>
    <n v="1"/>
    <n v="1"/>
    <n v="30"/>
    <n v="260.60000000000002"/>
    <n v="0"/>
    <n v="2"/>
    <x v="0"/>
    <n v="5.5036958817317849"/>
  </r>
  <r>
    <s v="ID-2152"/>
    <n v="8"/>
    <x v="0"/>
    <n v="43"/>
    <n v="2"/>
    <n v="683"/>
    <n v="14"/>
    <n v="19"/>
    <n v="8"/>
    <n v="3"/>
    <n v="1"/>
    <n v="1"/>
    <n v="30"/>
    <n v="103.88"/>
    <n v="0"/>
    <n v="0"/>
    <x v="0"/>
    <n v="15.209370424597363"/>
  </r>
  <r>
    <s v="ID-2153"/>
    <n v="18"/>
    <x v="0"/>
    <n v="41"/>
    <n v="2"/>
    <n v="2818"/>
    <n v="69"/>
    <n v="371"/>
    <n v="28"/>
    <n v="3"/>
    <n v="1"/>
    <n v="1"/>
    <n v="30"/>
    <n v="1599.48"/>
    <n v="0"/>
    <n v="2"/>
    <x v="0"/>
    <n v="56.759403832505328"/>
  </r>
  <r>
    <s v="ID-2154"/>
    <n v="18"/>
    <x v="0"/>
    <n v="42"/>
    <n v="2"/>
    <n v="4563"/>
    <n v="75"/>
    <n v="13"/>
    <n v="39"/>
    <n v="1"/>
    <n v="1"/>
    <n v="1"/>
    <n v="15"/>
    <n v="326.58999999999997"/>
    <n v="0"/>
    <n v="2"/>
    <x v="0"/>
    <n v="7.1573526188910801"/>
  </r>
  <r>
    <s v="ID-2155"/>
    <n v="11"/>
    <x v="0"/>
    <n v="42"/>
    <n v="2"/>
    <n v="2758"/>
    <n v="67"/>
    <n v="14"/>
    <n v="37"/>
    <n v="2"/>
    <n v="1"/>
    <n v="1"/>
    <n v="25"/>
    <n v="190.125"/>
    <n v="0"/>
    <n v="2"/>
    <x v="0"/>
    <n v="6.8935823060188541"/>
  </r>
  <r>
    <s v="ID-2156"/>
    <n v="19"/>
    <x v="0"/>
    <n v="42"/>
    <n v="3"/>
    <n v="4140"/>
    <n v="91"/>
    <n v="44"/>
    <n v="32"/>
    <n v="3"/>
    <n v="1"/>
    <n v="1"/>
    <n v="30"/>
    <n v="345.24"/>
    <n v="0"/>
    <n v="2"/>
    <x v="0"/>
    <n v="8.339130434782609"/>
  </r>
  <r>
    <s v="ID-2157"/>
    <n v="12"/>
    <x v="0"/>
    <n v="42"/>
    <n v="2"/>
    <n v="2725"/>
    <n v="48"/>
    <n v="297"/>
    <n v="22"/>
    <n v="4"/>
    <n v="1"/>
    <n v="1"/>
    <n v="45"/>
    <n v="811.82500000000005"/>
    <n v="0"/>
    <n v="2"/>
    <x v="0"/>
    <n v="29.791743119266055"/>
  </r>
  <r>
    <s v="ID-2158"/>
    <n v="21"/>
    <x v="0"/>
    <n v="41"/>
    <n v="4"/>
    <n v="9480"/>
    <n v="130"/>
    <n v="156"/>
    <n v="47"/>
    <n v="3"/>
    <n v="1"/>
    <n v="1"/>
    <n v="30"/>
    <n v="1008.4"/>
    <n v="0"/>
    <n v="2"/>
    <x v="0"/>
    <n v="10.637130801687764"/>
  </r>
  <r>
    <s v="ID-2159"/>
    <n v="15"/>
    <x v="0"/>
    <n v="42"/>
    <n v="2"/>
    <n v="14138"/>
    <n v="178"/>
    <n v="12"/>
    <n v="48"/>
    <n v="3"/>
    <n v="1"/>
    <n v="1"/>
    <n v="30"/>
    <n v="620.64"/>
    <n v="0"/>
    <n v="5"/>
    <x v="1"/>
    <n v="4.3898712689206389"/>
  </r>
  <r>
    <s v="ID-2160"/>
    <n v="15"/>
    <x v="0"/>
    <n v="42"/>
    <n v="3"/>
    <n v="4880"/>
    <n v="92"/>
    <n v="14"/>
    <n v="29"/>
    <n v="4"/>
    <n v="1"/>
    <n v="1"/>
    <n v="45"/>
    <n v="159.30000000000001"/>
    <n v="0"/>
    <n v="2"/>
    <x v="0"/>
    <n v="3.2643442622950825"/>
  </r>
  <r>
    <s v="ID-2161"/>
    <n v="14"/>
    <x v="0"/>
    <n v="42"/>
    <n v="2"/>
    <n v="6283"/>
    <n v="104"/>
    <n v="19"/>
    <n v="16"/>
    <n v="3"/>
    <n v="1"/>
    <n v="1"/>
    <n v="30"/>
    <n v="331.48"/>
    <n v="0"/>
    <n v="2"/>
    <x v="0"/>
    <n v="5.2758236511220762"/>
  </r>
  <r>
    <s v="ID-2162"/>
    <n v="17"/>
    <x v="0"/>
    <n v="42"/>
    <n v="2"/>
    <n v="2603"/>
    <n v="63"/>
    <n v="20"/>
    <n v="21"/>
    <n v="4"/>
    <n v="1"/>
    <n v="1"/>
    <n v="45"/>
    <n v="116.65"/>
    <n v="0"/>
    <n v="2"/>
    <x v="0"/>
    <n v="4.4813676527084141"/>
  </r>
  <r>
    <s v="ID-2163"/>
    <n v="33"/>
    <x v="0"/>
    <n v="42"/>
    <n v="5"/>
    <n v="15505"/>
    <n v="234"/>
    <n v="66"/>
    <n v="36"/>
    <n v="3"/>
    <n v="2"/>
    <n v="1"/>
    <n v="30"/>
    <n v="893.56"/>
    <n v="0"/>
    <n v="4"/>
    <x v="1"/>
    <n v="5.7630441792970011"/>
  </r>
  <r>
    <s v="ID-2164"/>
    <n v="12"/>
    <x v="0"/>
    <n v="42"/>
    <n v="3"/>
    <n v="3460"/>
    <n v="36"/>
    <n v="495"/>
    <n v="12"/>
    <n v="4"/>
    <n v="1"/>
    <n v="1"/>
    <n v="45"/>
    <n v="1324.9"/>
    <n v="0"/>
    <n v="2"/>
    <x v="0"/>
    <n v="38.29190751445087"/>
  </r>
  <r>
    <s v="ID-2165"/>
    <n v="17"/>
    <x v="0"/>
    <n v="41"/>
    <n v="2"/>
    <n v="15850"/>
    <n v="191"/>
    <n v="162"/>
    <n v="34"/>
    <n v="2"/>
    <n v="1"/>
    <n v="1"/>
    <n v="25"/>
    <n v="1450.845"/>
    <n v="0"/>
    <n v="4"/>
    <x v="1"/>
    <n v="9.1535962145110403"/>
  </r>
  <r>
    <s v="ID-2166"/>
    <n v="11"/>
    <x v="0"/>
    <n v="41"/>
    <n v="3"/>
    <n v="6865"/>
    <n v="95"/>
    <n v="198"/>
    <n v="30"/>
    <n v="3"/>
    <n v="1"/>
    <n v="1"/>
    <n v="30"/>
    <n v="1070.4000000000001"/>
    <n v="0"/>
    <n v="2"/>
    <x v="0"/>
    <n v="15.592134013109979"/>
  </r>
  <r>
    <s v="ID-2167"/>
    <n v="8"/>
    <x v="0"/>
    <n v="41"/>
    <n v="2"/>
    <n v="1240"/>
    <n v="23"/>
    <n v="12"/>
    <n v="15"/>
    <n v="2"/>
    <n v="1"/>
    <n v="1"/>
    <n v="25"/>
    <n v="110.83499999999999"/>
    <n v="0"/>
    <n v="0"/>
    <x v="0"/>
    <n v="8.9383064516129025"/>
  </r>
  <r>
    <s v="ID-2168"/>
    <n v="10"/>
    <x v="0"/>
    <n v="42"/>
    <n v="2"/>
    <n v="1075"/>
    <n v="23"/>
    <n v="25"/>
    <n v="12"/>
    <n v="3"/>
    <n v="1"/>
    <n v="1"/>
    <n v="30"/>
    <n v="143.91999999999999"/>
    <n v="0"/>
    <n v="0"/>
    <x v="0"/>
    <n v="13.387906976744185"/>
  </r>
  <r>
    <s v="ID-2169"/>
    <n v="8"/>
    <x v="0"/>
    <n v="41"/>
    <n v="2"/>
    <n v="365"/>
    <n v="9"/>
    <n v="12"/>
    <n v="4"/>
    <n v="3"/>
    <n v="1"/>
    <n v="1"/>
    <n v="30"/>
    <n v="62.96"/>
    <n v="1"/>
    <n v="0"/>
    <x v="0"/>
    <n v="17.24931506849315"/>
  </r>
  <r>
    <s v="ID-2170"/>
    <n v="11"/>
    <x v="0"/>
    <n v="41"/>
    <n v="2"/>
    <n v="7873"/>
    <n v="136"/>
    <n v="396"/>
    <n v="47"/>
    <n v="3"/>
    <n v="1"/>
    <n v="1"/>
    <n v="30"/>
    <n v="1904.36"/>
    <n v="0"/>
    <n v="2"/>
    <x v="0"/>
    <n v="24.1884923155087"/>
  </r>
  <r>
    <s v="ID-2171"/>
    <n v="15"/>
    <x v="0"/>
    <n v="41"/>
    <n v="3"/>
    <n v="11830"/>
    <n v="163"/>
    <n v="23"/>
    <n v="51"/>
    <n v="4"/>
    <n v="1"/>
    <n v="1"/>
    <n v="45"/>
    <n v="357.32499999999999"/>
    <n v="0"/>
    <n v="5"/>
    <x v="1"/>
    <n v="3.0204987320371934"/>
  </r>
  <r>
    <s v="ID-2172"/>
    <n v="16"/>
    <x v="0"/>
    <n v="41"/>
    <n v="3"/>
    <n v="7083"/>
    <n v="84"/>
    <n v="120"/>
    <n v="41"/>
    <n v="2"/>
    <n v="1"/>
    <n v="1"/>
    <n v="25"/>
    <n v="862.51499999999999"/>
    <n v="0"/>
    <n v="2"/>
    <x v="0"/>
    <n v="12.177255400254129"/>
  </r>
  <r>
    <s v="ID-2173"/>
    <n v="31"/>
    <x v="1"/>
    <n v="37"/>
    <n v="2"/>
    <n v="1320"/>
    <n v="56"/>
    <n v="28"/>
    <n v="21"/>
    <n v="3"/>
    <n v="1"/>
    <n v="1"/>
    <n v="30"/>
    <n v="167.04"/>
    <n v="1"/>
    <n v="4"/>
    <x v="1"/>
    <n v="12.654545454545454"/>
  </r>
  <r>
    <s v="ID-2174"/>
    <n v="29"/>
    <x v="1"/>
    <n v="40"/>
    <n v="10"/>
    <n v="10800"/>
    <n v="102"/>
    <n v="13"/>
    <n v="46"/>
    <n v="5"/>
    <n v="2"/>
    <n v="1"/>
    <n v="55"/>
    <n v="183.03"/>
    <n v="0"/>
    <n v="4"/>
    <x v="1"/>
    <n v="1.694722222222222"/>
  </r>
  <r>
    <s v="ID-2175"/>
    <n v="21"/>
    <x v="0"/>
    <n v="40"/>
    <n v="3"/>
    <n v="6183"/>
    <n v="107"/>
    <n v="38"/>
    <n v="28"/>
    <n v="3"/>
    <n v="1"/>
    <n v="1"/>
    <n v="30"/>
    <n v="403.6"/>
    <n v="0"/>
    <n v="2"/>
    <x v="0"/>
    <n v="6.5275756105450427"/>
  </r>
  <r>
    <s v="ID-2176"/>
    <n v="9"/>
    <x v="0"/>
    <n v="38"/>
    <n v="2"/>
    <n v="3205"/>
    <n v="31"/>
    <n v="12"/>
    <n v="18"/>
    <n v="3"/>
    <n v="1"/>
    <n v="1"/>
    <n v="30"/>
    <n v="177.44"/>
    <n v="0"/>
    <n v="0"/>
    <x v="0"/>
    <n v="5.5363494539781595"/>
  </r>
  <r>
    <s v="ID-2177"/>
    <n v="17"/>
    <x v="1"/>
    <n v="39"/>
    <n v="2"/>
    <n v="3355"/>
    <n v="50"/>
    <n v="21"/>
    <n v="20"/>
    <n v="3"/>
    <n v="1"/>
    <n v="1"/>
    <n v="30"/>
    <n v="220.2"/>
    <n v="1"/>
    <n v="4"/>
    <x v="1"/>
    <n v="6.5633383010432187"/>
  </r>
  <r>
    <s v="ID-2178"/>
    <n v="17"/>
    <x v="0"/>
    <n v="40"/>
    <n v="2"/>
    <n v="2633"/>
    <n v="53"/>
    <n v="46"/>
    <n v="35"/>
    <n v="4"/>
    <n v="1"/>
    <n v="1"/>
    <n v="45"/>
    <n v="182.15"/>
    <n v="1"/>
    <n v="2"/>
    <x v="0"/>
    <n v="6.9179642992783901"/>
  </r>
  <r>
    <s v="ID-2179"/>
    <n v="8"/>
    <x v="0"/>
    <n v="40"/>
    <n v="2"/>
    <n v="498"/>
    <n v="11"/>
    <n v="12"/>
    <n v="6"/>
    <n v="3"/>
    <n v="1"/>
    <n v="1"/>
    <n v="30"/>
    <n v="68.36"/>
    <n v="1"/>
    <n v="0"/>
    <x v="0"/>
    <n v="13.726907630522089"/>
  </r>
  <r>
    <s v="ID-2180"/>
    <n v="9"/>
    <x v="0"/>
    <n v="40"/>
    <n v="2"/>
    <n v="2033"/>
    <n v="34"/>
    <n v="12"/>
    <n v="10"/>
    <n v="4"/>
    <n v="1"/>
    <n v="1"/>
    <n v="45"/>
    <n v="81.674999999999997"/>
    <n v="0"/>
    <n v="0"/>
    <x v="0"/>
    <n v="4.0174618789965564"/>
  </r>
  <r>
    <s v="ID-2181"/>
    <n v="11"/>
    <x v="0"/>
    <n v="37"/>
    <n v="3"/>
    <n v="7150"/>
    <n v="106"/>
    <n v="26"/>
    <n v="26"/>
    <n v="5"/>
    <n v="1"/>
    <n v="1"/>
    <n v="55"/>
    <n v="147.84"/>
    <n v="0"/>
    <n v="2"/>
    <x v="0"/>
    <n v="2.0676923076923077"/>
  </r>
  <r>
    <s v="ID-2182"/>
    <n v="8"/>
    <x v="1"/>
    <n v="40"/>
    <n v="2"/>
    <n v="993"/>
    <n v="16"/>
    <n v="21"/>
    <n v="8"/>
    <n v="4"/>
    <n v="1"/>
    <n v="1"/>
    <n v="45"/>
    <n v="77.724999999999994"/>
    <n v="1"/>
    <n v="2"/>
    <x v="0"/>
    <n v="7.8272910372608253"/>
  </r>
  <r>
    <s v="ID-2183"/>
    <n v="8"/>
    <x v="0"/>
    <n v="40"/>
    <n v="3"/>
    <n v="703"/>
    <n v="13"/>
    <n v="16"/>
    <n v="6"/>
    <n v="5"/>
    <n v="1"/>
    <n v="1"/>
    <n v="55"/>
    <n v="34.74"/>
    <n v="0"/>
    <n v="0"/>
    <x v="0"/>
    <n v="4.9416785206258895"/>
  </r>
  <r>
    <s v="ID-2184"/>
    <n v="33"/>
    <x v="0"/>
    <n v="35"/>
    <n v="5"/>
    <n v="16440"/>
    <n v="247"/>
    <n v="12"/>
    <n v="84"/>
    <n v="2"/>
    <n v="2"/>
    <n v="1"/>
    <n v="25"/>
    <n v="804.91499999999996"/>
    <n v="0"/>
    <n v="5"/>
    <x v="1"/>
    <n v="4.8960766423357667"/>
  </r>
  <r>
    <s v="ID-2185"/>
    <n v="14"/>
    <x v="0"/>
    <n v="38"/>
    <n v="5"/>
    <n v="7330"/>
    <n v="125"/>
    <n v="283"/>
    <n v="37"/>
    <n v="3"/>
    <n v="2"/>
    <n v="1"/>
    <n v="30"/>
    <n v="1430.2"/>
    <n v="0"/>
    <n v="2"/>
    <x v="0"/>
    <n v="19.511596180081856"/>
  </r>
  <r>
    <s v="ID-2186"/>
    <n v="10"/>
    <x v="0"/>
    <n v="40"/>
    <n v="2"/>
    <n v="4083"/>
    <n v="91"/>
    <n v="14"/>
    <n v="32"/>
    <n v="3"/>
    <n v="1"/>
    <n v="1"/>
    <n v="30"/>
    <n v="222.96"/>
    <n v="0"/>
    <n v="0"/>
    <x v="0"/>
    <n v="5.460690668626011"/>
  </r>
  <r>
    <s v="ID-2187"/>
    <n v="11"/>
    <x v="0"/>
    <n v="39"/>
    <n v="2"/>
    <n v="2030"/>
    <n v="53"/>
    <n v="50"/>
    <n v="24"/>
    <n v="4"/>
    <n v="1"/>
    <n v="1"/>
    <n v="45"/>
    <n v="177.07499999999999"/>
    <n v="0"/>
    <n v="2"/>
    <x v="0"/>
    <n v="8.7229064039408861"/>
  </r>
  <r>
    <s v="ID-2188"/>
    <n v="14"/>
    <x v="0"/>
    <n v="40"/>
    <n v="2"/>
    <n v="3145"/>
    <n v="62"/>
    <n v="187"/>
    <n v="27"/>
    <n v="2"/>
    <n v="1"/>
    <n v="1"/>
    <n v="25"/>
    <n v="985.81500000000005"/>
    <n v="0"/>
    <n v="2"/>
    <x v="0"/>
    <n v="31.345468998410176"/>
  </r>
  <r>
    <s v="ID-2189"/>
    <n v="12"/>
    <x v="0"/>
    <n v="31"/>
    <n v="3"/>
    <n v="1680"/>
    <n v="45"/>
    <n v="205"/>
    <n v="15"/>
    <n v="3"/>
    <n v="2"/>
    <n v="1"/>
    <n v="30"/>
    <n v="889"/>
    <n v="0"/>
    <n v="2"/>
    <x v="0"/>
    <n v="52.916666666666664"/>
  </r>
  <r>
    <s v="ID-2190"/>
    <n v="12"/>
    <x v="0"/>
    <n v="30"/>
    <n v="2"/>
    <n v="1933"/>
    <n v="48"/>
    <n v="42"/>
    <n v="72"/>
    <n v="5"/>
    <n v="1"/>
    <n v="1"/>
    <n v="55"/>
    <n v="92.715000000000003"/>
    <n v="0"/>
    <n v="3"/>
    <x v="1"/>
    <n v="4.7964304190377653"/>
  </r>
  <r>
    <s v="ID-2191"/>
    <n v="19"/>
    <x v="0"/>
    <n v="31"/>
    <n v="2"/>
    <n v="1065"/>
    <n v="34"/>
    <n v="22"/>
    <n v="11"/>
    <n v="3"/>
    <n v="1"/>
    <n v="1"/>
    <n v="30"/>
    <n v="131.96"/>
    <n v="0"/>
    <n v="2"/>
    <x v="0"/>
    <n v="12.390610328638498"/>
  </r>
  <r>
    <s v="ID-2192"/>
    <n v="8"/>
    <x v="0"/>
    <n v="30"/>
    <n v="2"/>
    <n v="1190"/>
    <n v="19"/>
    <n v="33"/>
    <n v="7"/>
    <n v="4"/>
    <n v="1"/>
    <n v="1"/>
    <n v="45"/>
    <n v="112.72499999999999"/>
    <n v="0"/>
    <n v="0"/>
    <x v="0"/>
    <n v="9.4726890756302513"/>
  </r>
  <r>
    <s v="ID-2193"/>
    <n v="18"/>
    <x v="0"/>
    <n v="29"/>
    <n v="2"/>
    <n v="1590"/>
    <n v="41"/>
    <n v="31"/>
    <n v="17"/>
    <n v="2"/>
    <n v="1"/>
    <n v="1"/>
    <n v="25"/>
    <n v="212.89500000000001"/>
    <n v="0"/>
    <n v="2"/>
    <x v="0"/>
    <n v="13.389622641509435"/>
  </r>
  <r>
    <s v="ID-2194"/>
    <n v="10"/>
    <x v="0"/>
    <n v="29"/>
    <n v="2"/>
    <n v="3590"/>
    <n v="70"/>
    <n v="20"/>
    <n v="27"/>
    <n v="3"/>
    <n v="1"/>
    <n v="1"/>
    <n v="30"/>
    <n v="226.4"/>
    <n v="0"/>
    <n v="0"/>
    <x v="0"/>
    <n v="6.3064066852367695"/>
  </r>
  <r>
    <s v="ID-2195"/>
    <n v="10"/>
    <x v="0"/>
    <n v="22"/>
    <n v="2"/>
    <n v="2060"/>
    <n v="35"/>
    <n v="40"/>
    <n v="18"/>
    <n v="3"/>
    <n v="1"/>
    <n v="1"/>
    <n v="30"/>
    <n v="243.8"/>
    <n v="0"/>
    <n v="0"/>
    <x v="0"/>
    <n v="11.83495145631068"/>
  </r>
  <r>
    <s v="ID-2196"/>
    <n v="24"/>
    <x v="0"/>
    <n v="21"/>
    <n v="3"/>
    <n v="6758"/>
    <n v="150"/>
    <n v="97"/>
    <n v="46"/>
    <n v="2"/>
    <n v="2"/>
    <n v="1"/>
    <n v="25"/>
    <n v="747.36"/>
    <n v="0"/>
    <n v="4"/>
    <x v="1"/>
    <n v="11.058893163657887"/>
  </r>
  <r>
    <s v="ID-2197"/>
    <n v="20"/>
    <x v="0"/>
    <n v="19"/>
    <n v="2"/>
    <n v="9298"/>
    <n v="180"/>
    <n v="85"/>
    <n v="44"/>
    <n v="5"/>
    <n v="1"/>
    <n v="1"/>
    <n v="55"/>
    <n v="269.67"/>
    <n v="0"/>
    <n v="4"/>
    <x v="1"/>
    <n v="2.900301140030114"/>
  </r>
  <r>
    <s v="ID-2198"/>
    <n v="16"/>
    <x v="0"/>
    <n v="20"/>
    <n v="5"/>
    <n v="3218"/>
    <n v="54"/>
    <n v="43"/>
    <n v="23"/>
    <n v="3"/>
    <n v="2"/>
    <n v="1"/>
    <n v="30"/>
    <n v="302.88"/>
    <n v="0"/>
    <n v="2"/>
    <x v="0"/>
    <n v="9.4120571783716596"/>
  </r>
  <r>
    <s v="ID-2199"/>
    <n v="10"/>
    <x v="0"/>
    <n v="13"/>
    <n v="3"/>
    <n v="4755"/>
    <n v="49"/>
    <n v="227"/>
    <n v="14"/>
    <n v="3"/>
    <n v="1"/>
    <n v="1"/>
    <n v="30"/>
    <n v="1100.1600000000001"/>
    <n v="0"/>
    <n v="0"/>
    <x v="0"/>
    <n v="23.136908517350161"/>
  </r>
  <r>
    <s v="ID-2200"/>
    <n v="11"/>
    <x v="1"/>
    <n v="13"/>
    <n v="3"/>
    <n v="1853"/>
    <n v="28"/>
    <n v="12"/>
    <n v="11"/>
    <n v="3"/>
    <n v="1"/>
    <n v="1"/>
    <n v="30"/>
    <n v="123.24"/>
    <n v="1"/>
    <n v="4"/>
    <x v="1"/>
    <n v="6.6508364813815435"/>
  </r>
  <r>
    <s v="ID-2201"/>
    <n v="10"/>
    <x v="0"/>
    <n v="38"/>
    <n v="1"/>
    <n v="4615"/>
    <n v="74"/>
    <n v="7"/>
    <n v="17"/>
    <n v="3"/>
    <n v="1"/>
    <n v="1"/>
    <n v="30"/>
    <n v="215.56"/>
    <n v="0"/>
    <n v="0"/>
    <x v="0"/>
    <n v="4.6708559046587217"/>
  </r>
  <r>
    <s v="ID-2202"/>
    <n v="5"/>
    <x v="0"/>
    <n v="39"/>
    <n v="0"/>
    <n v="563"/>
    <n v="8"/>
    <n v="9"/>
    <n v="4"/>
    <n v="3"/>
    <n v="1"/>
    <n v="2"/>
    <n v="30"/>
    <n v="58.84"/>
    <n v="0"/>
    <n v="1"/>
    <x v="0"/>
    <n v="10.451154529307283"/>
  </r>
  <r>
    <s v="ID-2203"/>
    <n v="12"/>
    <x v="0"/>
    <n v="37"/>
    <n v="1"/>
    <n v="2698"/>
    <n v="63"/>
    <n v="361"/>
    <n v="24"/>
    <n v="3"/>
    <n v="1"/>
    <n v="1"/>
    <n v="30"/>
    <n v="1554.44"/>
    <n v="0"/>
    <n v="2"/>
    <x v="0"/>
    <n v="57.614529280948858"/>
  </r>
  <r>
    <s v="ID-2204"/>
    <n v="12"/>
    <x v="0"/>
    <n v="38"/>
    <n v="1"/>
    <n v="4443"/>
    <n v="69"/>
    <n v="7"/>
    <n v="35"/>
    <n v="1"/>
    <n v="1"/>
    <n v="1"/>
    <n v="15"/>
    <n v="286.66000000000003"/>
    <n v="0"/>
    <n v="2"/>
    <x v="0"/>
    <n v="6.4519468827368902"/>
  </r>
  <r>
    <s v="ID-2205"/>
    <n v="5"/>
    <x v="0"/>
    <n v="38"/>
    <n v="1"/>
    <n v="2638"/>
    <n v="61"/>
    <n v="7"/>
    <n v="33"/>
    <n v="2"/>
    <n v="1"/>
    <n v="1"/>
    <n v="25"/>
    <n v="152.95500000000001"/>
    <n v="0"/>
    <n v="0"/>
    <x v="0"/>
    <n v="5.7981425322213802"/>
  </r>
  <r>
    <s v="ID-2206"/>
    <n v="13"/>
    <x v="0"/>
    <n v="38"/>
    <n v="1"/>
    <n v="4020"/>
    <n v="85"/>
    <n v="34"/>
    <n v="28"/>
    <n v="3"/>
    <n v="1"/>
    <n v="1"/>
    <n v="30"/>
    <n v="300.2"/>
    <n v="0"/>
    <n v="2"/>
    <x v="0"/>
    <n v="7.467661691542288"/>
  </r>
  <r>
    <s v="ID-2207"/>
    <n v="6"/>
    <x v="0"/>
    <n v="38"/>
    <n v="1"/>
    <n v="2605"/>
    <n v="42"/>
    <n v="287"/>
    <n v="18"/>
    <n v="3"/>
    <n v="1"/>
    <n v="1"/>
    <n v="30"/>
    <n v="1253.8800000000001"/>
    <n v="0"/>
    <n v="0"/>
    <x v="0"/>
    <n v="48.133589251439545"/>
  </r>
  <r>
    <s v="ID-2208"/>
    <n v="15"/>
    <x v="0"/>
    <n v="37"/>
    <n v="2"/>
    <n v="9360"/>
    <n v="124"/>
    <n v="146"/>
    <n v="43"/>
    <n v="3"/>
    <n v="1"/>
    <n v="1"/>
    <n v="30"/>
    <n v="963.36"/>
    <n v="0"/>
    <n v="2"/>
    <x v="0"/>
    <n v="10.292307692307693"/>
  </r>
  <r>
    <s v="ID-2209"/>
    <n v="9"/>
    <x v="0"/>
    <n v="38"/>
    <n v="1"/>
    <n v="14018"/>
    <n v="172"/>
    <n v="7"/>
    <n v="44"/>
    <n v="3"/>
    <n v="1"/>
    <n v="1"/>
    <n v="30"/>
    <n v="595.6"/>
    <n v="0"/>
    <n v="2"/>
    <x v="0"/>
    <n v="4.2488229419318024"/>
  </r>
  <r>
    <s v="ID-2210"/>
    <n v="9"/>
    <x v="0"/>
    <n v="38"/>
    <n v="1"/>
    <n v="4760"/>
    <n v="86"/>
    <n v="7"/>
    <n v="25"/>
    <n v="3"/>
    <n v="1"/>
    <n v="1"/>
    <n v="30"/>
    <n v="221.84"/>
    <n v="0"/>
    <n v="0"/>
    <x v="0"/>
    <n v="4.6605042016806726"/>
  </r>
  <r>
    <s v="ID-2211"/>
    <n v="8"/>
    <x v="0"/>
    <n v="38"/>
    <n v="1"/>
    <n v="6163"/>
    <n v="98"/>
    <n v="9"/>
    <n v="12"/>
    <n v="3"/>
    <n v="1"/>
    <n v="1"/>
    <n v="30"/>
    <n v="286.44"/>
    <n v="0"/>
    <n v="0"/>
    <x v="0"/>
    <n v="4.6477364919681969"/>
  </r>
  <r>
    <s v="ID-2212"/>
    <n v="11"/>
    <x v="0"/>
    <n v="38"/>
    <n v="0"/>
    <n v="2483"/>
    <n v="57"/>
    <n v="10"/>
    <n v="17"/>
    <n v="3"/>
    <n v="1"/>
    <n v="2"/>
    <n v="30"/>
    <n v="141.6"/>
    <n v="0"/>
    <n v="3"/>
    <x v="1"/>
    <n v="5.7027788964961736"/>
  </r>
  <r>
    <s v="ID-2213"/>
    <n v="27"/>
    <x v="0"/>
    <n v="38"/>
    <n v="3"/>
    <n v="15385"/>
    <n v="228"/>
    <n v="56"/>
    <n v="32"/>
    <n v="3"/>
    <n v="1"/>
    <n v="1"/>
    <n v="30"/>
    <n v="848.52"/>
    <n v="0"/>
    <n v="4"/>
    <x v="1"/>
    <n v="5.5152421189470262"/>
  </r>
  <r>
    <s v="ID-2214"/>
    <n v="6"/>
    <x v="0"/>
    <n v="38"/>
    <n v="1"/>
    <n v="3340"/>
    <n v="30"/>
    <n v="485"/>
    <n v="8"/>
    <n v="3"/>
    <n v="1"/>
    <n v="1"/>
    <n v="30"/>
    <n v="2074.8000000000002"/>
    <n v="0"/>
    <n v="0"/>
    <x v="0"/>
    <n v="62.119760479041922"/>
  </r>
  <r>
    <s v="ID-2215"/>
    <n v="11"/>
    <x v="0"/>
    <n v="37"/>
    <n v="1"/>
    <n v="15730"/>
    <n v="185"/>
    <n v="152"/>
    <n v="30"/>
    <n v="2"/>
    <n v="1"/>
    <n v="1"/>
    <n v="25"/>
    <n v="1400.175"/>
    <n v="0"/>
    <n v="4"/>
    <x v="1"/>
    <n v="8.9013032422123324"/>
  </r>
  <r>
    <s v="ID-2216"/>
    <n v="5"/>
    <x v="0"/>
    <n v="37"/>
    <n v="1"/>
    <n v="6745"/>
    <n v="89"/>
    <n v="188"/>
    <n v="26"/>
    <n v="3"/>
    <n v="1"/>
    <n v="1"/>
    <n v="30"/>
    <n v="1025.3599999999999"/>
    <n v="0"/>
    <n v="0"/>
    <x v="0"/>
    <n v="15.201779095626389"/>
  </r>
  <r>
    <s v="ID-2217"/>
    <n v="5"/>
    <x v="0"/>
    <n v="37"/>
    <n v="0"/>
    <n v="1120"/>
    <n v="17"/>
    <n v="7"/>
    <n v="11"/>
    <n v="2"/>
    <n v="1"/>
    <n v="2"/>
    <n v="25"/>
    <n v="82.665000000000006"/>
    <n v="0"/>
    <n v="1"/>
    <x v="0"/>
    <n v="7.3808035714285722"/>
  </r>
  <r>
    <s v="ID-2218"/>
    <n v="5"/>
    <x v="0"/>
    <n v="38"/>
    <n v="0"/>
    <n v="955"/>
    <n v="17"/>
    <n v="15"/>
    <n v="8"/>
    <n v="3"/>
    <n v="1"/>
    <n v="2"/>
    <n v="30"/>
    <n v="98.88"/>
    <n v="0"/>
    <n v="1"/>
    <x v="0"/>
    <n v="10.35392670157068"/>
  </r>
  <r>
    <s v="ID-2219"/>
    <n v="5"/>
    <x v="0"/>
    <n v="37"/>
    <n v="0"/>
    <n v="305"/>
    <n v="6"/>
    <n v="7"/>
    <n v="2"/>
    <n v="2"/>
    <n v="1"/>
    <n v="2"/>
    <n v="25"/>
    <n v="45.494999999999997"/>
    <n v="1"/>
    <n v="1"/>
    <x v="0"/>
    <n v="14.916393442622949"/>
  </r>
  <r>
    <s v="ID-2220"/>
    <n v="5"/>
    <x v="0"/>
    <n v="37"/>
    <n v="1"/>
    <n v="7753"/>
    <n v="130"/>
    <n v="386"/>
    <n v="43"/>
    <n v="3"/>
    <n v="1"/>
    <n v="1"/>
    <n v="30"/>
    <n v="1859.32"/>
    <n v="0"/>
    <n v="0"/>
    <x v="0"/>
    <n v="23.981942473881077"/>
  </r>
  <r>
    <s v="ID-2221"/>
    <n v="9"/>
    <x v="0"/>
    <n v="37"/>
    <n v="1"/>
    <n v="11710"/>
    <n v="157"/>
    <n v="13"/>
    <n v="47"/>
    <n v="4"/>
    <n v="1"/>
    <n v="1"/>
    <n v="45"/>
    <n v="329.17500000000001"/>
    <n v="0"/>
    <n v="2"/>
    <x v="0"/>
    <n v="2.8110589239965842"/>
  </r>
  <r>
    <s v="ID-2222"/>
    <n v="10"/>
    <x v="0"/>
    <n v="37"/>
    <n v="1"/>
    <n v="6963"/>
    <n v="78"/>
    <n v="110"/>
    <n v="37"/>
    <n v="2"/>
    <n v="1"/>
    <n v="1"/>
    <n v="25"/>
    <n v="811.84500000000003"/>
    <n v="0"/>
    <n v="0"/>
    <x v="0"/>
    <n v="11.659414045669971"/>
  </r>
  <r>
    <s v="ID-2223"/>
    <n v="25"/>
    <x v="1"/>
    <n v="33"/>
    <n v="0"/>
    <n v="1200"/>
    <n v="50"/>
    <n v="18"/>
    <n v="17"/>
    <n v="3"/>
    <n v="1"/>
    <n v="2"/>
    <n v="30"/>
    <n v="122"/>
    <n v="1"/>
    <n v="5"/>
    <x v="1"/>
    <n v="10.166666666666666"/>
  </r>
  <r>
    <s v="ID-2224"/>
    <n v="23"/>
    <x v="0"/>
    <n v="36"/>
    <n v="8"/>
    <n v="10680"/>
    <n v="96"/>
    <n v="7"/>
    <n v="42"/>
    <n v="5"/>
    <n v="1"/>
    <n v="1"/>
    <n v="55"/>
    <n v="172.14"/>
    <n v="0"/>
    <n v="2"/>
    <x v="0"/>
    <n v="1.6117977528089886"/>
  </r>
  <r>
    <s v="ID-2225"/>
    <n v="15"/>
    <x v="0"/>
    <n v="36"/>
    <n v="1"/>
    <n v="6063"/>
    <n v="101"/>
    <n v="28"/>
    <n v="24"/>
    <n v="2"/>
    <n v="1"/>
    <n v="1"/>
    <n v="25"/>
    <n v="403.38"/>
    <n v="0"/>
    <n v="2"/>
    <x v="0"/>
    <n v="6.6531420089064817"/>
  </r>
  <r>
    <s v="ID-2226"/>
    <n v="5"/>
    <x v="0"/>
    <n v="34"/>
    <n v="1"/>
    <n v="3085"/>
    <n v="25"/>
    <n v="7"/>
    <n v="14"/>
    <n v="3"/>
    <n v="1"/>
    <n v="1"/>
    <n v="30"/>
    <n v="152.4"/>
    <n v="0"/>
    <n v="0"/>
    <x v="0"/>
    <n v="4.940032414910859"/>
  </r>
  <r>
    <s v="ID-2227"/>
    <n v="11"/>
    <x v="0"/>
    <n v="35"/>
    <n v="0"/>
    <n v="3235"/>
    <n v="44"/>
    <n v="11"/>
    <n v="16"/>
    <n v="3"/>
    <n v="1"/>
    <n v="2"/>
    <n v="30"/>
    <n v="175.16"/>
    <n v="1"/>
    <n v="3"/>
    <x v="1"/>
    <n v="5.4145285935085008"/>
  </r>
  <r>
    <s v="ID-2228"/>
    <n v="11"/>
    <x v="1"/>
    <n v="36"/>
    <n v="0"/>
    <n v="2513"/>
    <n v="47"/>
    <n v="36"/>
    <n v="31"/>
    <n v="3"/>
    <n v="1"/>
    <n v="2"/>
    <n v="30"/>
    <n v="246.4"/>
    <n v="1"/>
    <n v="5"/>
    <x v="1"/>
    <n v="9.8050139275766011"/>
  </r>
  <r>
    <s v="ID-2229"/>
    <n v="5"/>
    <x v="0"/>
    <n v="36"/>
    <n v="0"/>
    <n v="305"/>
    <n v="6"/>
    <n v="7"/>
    <n v="2"/>
    <n v="3"/>
    <n v="1"/>
    <n v="2"/>
    <n v="30"/>
    <n v="40.44"/>
    <n v="1"/>
    <n v="1"/>
    <x v="0"/>
    <n v="13.259016393442622"/>
  </r>
  <r>
    <s v="ID-2230"/>
    <n v="5"/>
    <x v="0"/>
    <n v="36"/>
    <n v="1"/>
    <n v="1913"/>
    <n v="28"/>
    <n v="7"/>
    <n v="6"/>
    <n v="4"/>
    <n v="1"/>
    <n v="1"/>
    <n v="45"/>
    <n v="66.025000000000006"/>
    <n v="0"/>
    <n v="0"/>
    <x v="0"/>
    <n v="3.4513852587558813"/>
  </r>
  <r>
    <s v="ID-2231"/>
    <n v="5"/>
    <x v="0"/>
    <n v="33"/>
    <n v="1"/>
    <n v="7030"/>
    <n v="100"/>
    <n v="16"/>
    <n v="22"/>
    <n v="5"/>
    <n v="1"/>
    <n v="1"/>
    <n v="55"/>
    <n v="130.94999999999999"/>
    <n v="0"/>
    <n v="0"/>
    <x v="0"/>
    <n v="1.8627311522048364"/>
  </r>
  <r>
    <s v="ID-2232"/>
    <n v="5"/>
    <x v="0"/>
    <n v="36"/>
    <n v="0"/>
    <n v="873"/>
    <n v="10"/>
    <n v="11"/>
    <n v="4"/>
    <n v="4"/>
    <n v="1"/>
    <n v="2"/>
    <n v="45"/>
    <n v="49.575000000000003"/>
    <n v="1"/>
    <n v="1"/>
    <x v="0"/>
    <n v="5.6786941580756016"/>
  </r>
  <r>
    <s v="ID-2233"/>
    <n v="5"/>
    <x v="0"/>
    <n v="36"/>
    <n v="1"/>
    <n v="305"/>
    <n v="6"/>
    <n v="7"/>
    <n v="2"/>
    <n v="5"/>
    <n v="1"/>
    <n v="1"/>
    <n v="55"/>
    <n v="15.164999999999999"/>
    <n v="0"/>
    <n v="0"/>
    <x v="0"/>
    <n v="4.9721311475409831"/>
  </r>
  <r>
    <s v="ID-2234"/>
    <n v="27"/>
    <x v="0"/>
    <n v="31"/>
    <n v="3"/>
    <n v="16320"/>
    <n v="241"/>
    <n v="7"/>
    <n v="80"/>
    <n v="2"/>
    <n v="1"/>
    <n v="1"/>
    <n v="25"/>
    <n v="776.745"/>
    <n v="0"/>
    <n v="5"/>
    <x v="1"/>
    <n v="4.7594669117647062"/>
  </r>
  <r>
    <s v="ID-2235"/>
    <n v="8"/>
    <x v="0"/>
    <n v="34"/>
    <n v="3"/>
    <n v="7210"/>
    <n v="119"/>
    <n v="273"/>
    <n v="33"/>
    <n v="2"/>
    <n v="2"/>
    <n v="1"/>
    <n v="25"/>
    <n v="1558.3050000000001"/>
    <n v="0"/>
    <n v="0"/>
    <x v="0"/>
    <n v="21.613106796116504"/>
  </r>
  <r>
    <s v="ID-2236"/>
    <n v="5"/>
    <x v="0"/>
    <n v="36"/>
    <n v="1"/>
    <n v="3963"/>
    <n v="85"/>
    <n v="7"/>
    <n v="28"/>
    <n v="3"/>
    <n v="1"/>
    <n v="1"/>
    <n v="30"/>
    <n v="189.92"/>
    <n v="0"/>
    <n v="0"/>
    <x v="0"/>
    <n v="4.7923290436537975"/>
  </r>
  <r>
    <s v="ID-2237"/>
    <n v="5"/>
    <x v="0"/>
    <n v="35"/>
    <n v="0"/>
    <n v="1910"/>
    <n v="47"/>
    <n v="40"/>
    <n v="20"/>
    <n v="3"/>
    <n v="1"/>
    <n v="2"/>
    <n v="30"/>
    <n v="238.28"/>
    <n v="0"/>
    <n v="1"/>
    <x v="0"/>
    <n v="12.475392670157067"/>
  </r>
  <r>
    <s v="ID-2238"/>
    <n v="8"/>
    <x v="0"/>
    <n v="36"/>
    <n v="1"/>
    <n v="3025"/>
    <n v="56"/>
    <n v="177"/>
    <n v="23"/>
    <n v="2"/>
    <n v="1"/>
    <n v="1"/>
    <n v="25"/>
    <n v="935.14499999999998"/>
    <n v="0"/>
    <n v="0"/>
    <x v="0"/>
    <n v="30.91388429752066"/>
  </r>
  <r>
    <s v="ID-2239"/>
    <n v="6"/>
    <x v="0"/>
    <n v="27"/>
    <n v="1"/>
    <n v="1560"/>
    <n v="39"/>
    <n v="195"/>
    <n v="11"/>
    <n v="2"/>
    <n v="2"/>
    <n v="1"/>
    <n v="25"/>
    <n v="949.45500000000004"/>
    <n v="0"/>
    <n v="0"/>
    <x v="0"/>
    <n v="60.862499999999997"/>
  </r>
  <r>
    <s v="ID-2240"/>
    <n v="6"/>
    <x v="0"/>
    <n v="26"/>
    <n v="1"/>
    <n v="1813"/>
    <n v="42"/>
    <n v="32"/>
    <n v="68"/>
    <n v="4"/>
    <n v="1"/>
    <n v="1"/>
    <n v="45"/>
    <n v="126.375"/>
    <n v="0"/>
    <n v="1"/>
    <x v="0"/>
    <n v="6.9704908990623275"/>
  </r>
  <r>
    <s v="ID-2241"/>
    <n v="13"/>
    <x v="0"/>
    <n v="27"/>
    <n v="0"/>
    <n v="945"/>
    <n v="28"/>
    <n v="12"/>
    <n v="7"/>
    <n v="3"/>
    <n v="1"/>
    <n v="2"/>
    <n v="30"/>
    <n v="86.92"/>
    <n v="0"/>
    <n v="3"/>
    <x v="1"/>
    <n v="9.1978835978835978"/>
  </r>
  <r>
    <s v="ID-2242"/>
    <n v="5"/>
    <x v="0"/>
    <n v="26"/>
    <n v="0"/>
    <n v="1070"/>
    <n v="13"/>
    <n v="23"/>
    <n v="3"/>
    <n v="4"/>
    <n v="1"/>
    <n v="2"/>
    <n v="45"/>
    <n v="84.575000000000003"/>
    <n v="0"/>
    <n v="1"/>
    <x v="0"/>
    <n v="7.9042056074766363"/>
  </r>
  <r>
    <s v="ID-2243"/>
    <n v="12"/>
    <x v="0"/>
    <n v="25"/>
    <n v="1"/>
    <n v="1470"/>
    <n v="35"/>
    <n v="21"/>
    <n v="13"/>
    <n v="2"/>
    <n v="1"/>
    <n v="1"/>
    <n v="25"/>
    <n v="162.22499999999999"/>
    <n v="0"/>
    <n v="2"/>
    <x v="0"/>
    <n v="11.035714285714285"/>
  </r>
  <r>
    <s v="ID-2244"/>
    <n v="5"/>
    <x v="0"/>
    <n v="25"/>
    <n v="1"/>
    <n v="3470"/>
    <n v="64"/>
    <n v="10"/>
    <n v="23"/>
    <n v="3"/>
    <n v="1"/>
    <n v="1"/>
    <n v="30"/>
    <n v="181.36"/>
    <n v="0"/>
    <n v="0"/>
    <x v="0"/>
    <n v="5.226512968299712"/>
  </r>
  <r>
    <s v="ID-2245"/>
    <n v="5"/>
    <x v="0"/>
    <n v="18"/>
    <n v="1"/>
    <n v="1940"/>
    <n v="29"/>
    <n v="30"/>
    <n v="14"/>
    <n v="2"/>
    <n v="1"/>
    <n v="1"/>
    <n v="25"/>
    <n v="223.60499999999999"/>
    <n v="0"/>
    <n v="0"/>
    <x v="0"/>
    <n v="11.526030927835052"/>
  </r>
  <r>
    <s v="ID-2246"/>
    <n v="18"/>
    <x v="0"/>
    <n v="17"/>
    <n v="1"/>
    <n v="6638"/>
    <n v="144"/>
    <n v="87"/>
    <n v="42"/>
    <n v="2"/>
    <n v="2"/>
    <n v="1"/>
    <n v="25"/>
    <n v="696.69"/>
    <n v="0"/>
    <n v="4"/>
    <x v="1"/>
    <n v="10.495480566435674"/>
  </r>
  <r>
    <s v="ID-2247"/>
    <n v="14"/>
    <x v="0"/>
    <n v="15"/>
    <n v="1"/>
    <n v="9178"/>
    <n v="174"/>
    <n v="75"/>
    <n v="40"/>
    <n v="5"/>
    <n v="1"/>
    <n v="1"/>
    <n v="55"/>
    <n v="252.78"/>
    <n v="0"/>
    <n v="4"/>
    <x v="1"/>
    <n v="2.7541948136848986"/>
  </r>
  <r>
    <s v="ID-2248"/>
    <n v="10"/>
    <x v="0"/>
    <n v="16"/>
    <n v="3"/>
    <n v="3098"/>
    <n v="48"/>
    <n v="33"/>
    <n v="19"/>
    <n v="3"/>
    <n v="1"/>
    <n v="1"/>
    <n v="30"/>
    <n v="257.83999999999997"/>
    <n v="0"/>
    <n v="0"/>
    <x v="0"/>
    <n v="8.3227888960619758"/>
  </r>
  <r>
    <s v="ID-2249"/>
    <n v="5"/>
    <x v="0"/>
    <n v="9"/>
    <n v="1"/>
    <n v="4635"/>
    <n v="43"/>
    <n v="217"/>
    <n v="10"/>
    <n v="3"/>
    <n v="1"/>
    <n v="1"/>
    <n v="30"/>
    <n v="1055.1199999999999"/>
    <n v="0"/>
    <n v="0"/>
    <x v="0"/>
    <n v="22.764185544768068"/>
  </r>
  <r>
    <s v="ID-2250"/>
    <n v="5"/>
    <x v="1"/>
    <n v="9"/>
    <n v="1"/>
    <n v="1733"/>
    <n v="22"/>
    <n v="7"/>
    <n v="7"/>
    <n v="3"/>
    <n v="1"/>
    <n v="1"/>
    <n v="30"/>
    <n v="98.2"/>
    <n v="1"/>
    <n v="2"/>
    <x v="0"/>
    <n v="5.6664743219849978"/>
  </r>
  <r>
    <s v="ID-2251"/>
    <n v="14"/>
    <x v="0"/>
    <n v="44"/>
    <n v="2"/>
    <n v="4755"/>
    <n v="79"/>
    <n v="22"/>
    <n v="23"/>
    <n v="3"/>
    <n v="1"/>
    <n v="1"/>
    <n v="30"/>
    <n v="281.36"/>
    <n v="0"/>
    <n v="2"/>
    <x v="0"/>
    <n v="5.9171398527865415"/>
  </r>
  <r>
    <s v="ID-2252"/>
    <n v="6"/>
    <x v="0"/>
    <n v="45"/>
    <n v="0"/>
    <n v="703"/>
    <n v="13"/>
    <n v="24"/>
    <n v="10"/>
    <n v="3"/>
    <n v="1"/>
    <n v="2"/>
    <n v="30"/>
    <n v="124.64"/>
    <n v="0"/>
    <n v="1"/>
    <x v="0"/>
    <n v="17.72972972972973"/>
  </r>
  <r>
    <s v="ID-2253"/>
    <n v="16"/>
    <x v="0"/>
    <n v="43"/>
    <n v="2"/>
    <n v="2838"/>
    <n v="68"/>
    <n v="376"/>
    <n v="30"/>
    <n v="3"/>
    <n v="1"/>
    <n v="1"/>
    <n v="30"/>
    <n v="1620.24"/>
    <n v="0"/>
    <n v="2"/>
    <x v="0"/>
    <n v="57.090909090909093"/>
  </r>
  <r>
    <s v="ID-2254"/>
    <n v="16"/>
    <x v="0"/>
    <n v="44"/>
    <n v="2"/>
    <n v="4583"/>
    <n v="74"/>
    <n v="18"/>
    <n v="41"/>
    <n v="1"/>
    <n v="1"/>
    <n v="1"/>
    <n v="15"/>
    <n v="355.13499999999999"/>
    <n v="0"/>
    <n v="2"/>
    <x v="0"/>
    <n v="7.7489635609862537"/>
  </r>
  <r>
    <s v="ID-2255"/>
    <n v="9"/>
    <x v="0"/>
    <n v="44"/>
    <n v="2"/>
    <n v="2778"/>
    <n v="66"/>
    <n v="19"/>
    <n v="39"/>
    <n v="2"/>
    <n v="1"/>
    <n v="1"/>
    <n v="25"/>
    <n v="213.48"/>
    <n v="0"/>
    <n v="0"/>
    <x v="0"/>
    <n v="7.6846652267818572"/>
  </r>
  <r>
    <s v="ID-2256"/>
    <n v="17"/>
    <x v="0"/>
    <n v="44"/>
    <n v="3"/>
    <n v="4160"/>
    <n v="90"/>
    <n v="49"/>
    <n v="34"/>
    <n v="3"/>
    <n v="1"/>
    <n v="1"/>
    <n v="30"/>
    <n v="366"/>
    <n v="0"/>
    <n v="2"/>
    <x v="0"/>
    <n v="8.7980769230769234"/>
  </r>
  <r>
    <s v="ID-2257"/>
    <n v="10"/>
    <x v="0"/>
    <n v="44"/>
    <n v="2"/>
    <n v="2745"/>
    <n v="47"/>
    <n v="302"/>
    <n v="24"/>
    <n v="4"/>
    <n v="1"/>
    <n v="1"/>
    <n v="45"/>
    <n v="824.8"/>
    <n v="0"/>
    <n v="0"/>
    <x v="0"/>
    <n v="30.047358834244083"/>
  </r>
  <r>
    <s v="ID-2258"/>
    <n v="19"/>
    <x v="0"/>
    <n v="43"/>
    <n v="4"/>
    <n v="9500"/>
    <n v="129"/>
    <n v="161"/>
    <n v="49"/>
    <n v="3"/>
    <n v="1"/>
    <n v="1"/>
    <n v="30"/>
    <n v="1029.1600000000001"/>
    <n v="0"/>
    <n v="3"/>
    <x v="1"/>
    <n v="10.833263157894738"/>
  </r>
  <r>
    <s v="ID-2259"/>
    <n v="13"/>
    <x v="0"/>
    <n v="44"/>
    <n v="2"/>
    <n v="14158"/>
    <n v="177"/>
    <n v="17"/>
    <n v="50"/>
    <n v="3"/>
    <n v="1"/>
    <n v="1"/>
    <n v="30"/>
    <n v="641.4"/>
    <n v="0"/>
    <n v="5"/>
    <x v="1"/>
    <n v="4.5303008899562087"/>
  </r>
  <r>
    <s v="ID-2260"/>
    <n v="13"/>
    <x v="0"/>
    <n v="44"/>
    <n v="3"/>
    <n v="4900"/>
    <n v="91"/>
    <n v="19"/>
    <n v="31"/>
    <n v="3"/>
    <n v="1"/>
    <n v="1"/>
    <n v="30"/>
    <n v="275.64"/>
    <n v="0"/>
    <n v="2"/>
    <x v="0"/>
    <n v="5.6253061224489791"/>
  </r>
  <r>
    <s v="ID-2261"/>
    <n v="12"/>
    <x v="0"/>
    <n v="44"/>
    <n v="2"/>
    <n v="6303"/>
    <n v="103"/>
    <n v="24"/>
    <n v="18"/>
    <n v="3"/>
    <n v="1"/>
    <n v="1"/>
    <n v="30"/>
    <n v="352.24"/>
    <n v="0"/>
    <n v="2"/>
    <x v="0"/>
    <n v="5.5884499444708871"/>
  </r>
  <r>
    <s v="ID-2262"/>
    <n v="15"/>
    <x v="1"/>
    <n v="44"/>
    <n v="0"/>
    <n v="2623"/>
    <n v="62"/>
    <n v="25"/>
    <n v="23"/>
    <n v="3"/>
    <n v="1"/>
    <n v="2"/>
    <n v="30"/>
    <n v="207.4"/>
    <n v="0"/>
    <n v="5"/>
    <x v="1"/>
    <n v="7.9069767441860463"/>
  </r>
  <r>
    <s v="ID-2263"/>
    <n v="31"/>
    <x v="0"/>
    <n v="44"/>
    <n v="5"/>
    <n v="15525"/>
    <n v="233"/>
    <n v="71"/>
    <n v="38"/>
    <n v="3"/>
    <n v="1"/>
    <n v="1"/>
    <n v="30"/>
    <n v="914.32"/>
    <n v="0"/>
    <n v="4"/>
    <x v="1"/>
    <n v="5.8893397745571656"/>
  </r>
  <r>
    <s v="ID-2264"/>
    <n v="10"/>
    <x v="0"/>
    <n v="44"/>
    <n v="3"/>
    <n v="3480"/>
    <n v="35"/>
    <n v="500"/>
    <n v="14"/>
    <n v="4"/>
    <n v="1"/>
    <n v="1"/>
    <n v="45"/>
    <n v="1337.875"/>
    <n v="0"/>
    <n v="0"/>
    <x v="0"/>
    <n v="38.444683908045981"/>
  </r>
  <r>
    <s v="ID-2265"/>
    <n v="15"/>
    <x v="0"/>
    <n v="43"/>
    <n v="2"/>
    <n v="15870"/>
    <n v="190"/>
    <n v="167"/>
    <n v="36"/>
    <n v="2"/>
    <n v="1"/>
    <n v="1"/>
    <n v="25"/>
    <n v="1474.2"/>
    <n v="0"/>
    <n v="4"/>
    <x v="1"/>
    <n v="9.2892249527410211"/>
  </r>
  <r>
    <s v="ID-2266"/>
    <n v="9"/>
    <x v="0"/>
    <n v="43"/>
    <n v="3"/>
    <n v="6885"/>
    <n v="94"/>
    <n v="203"/>
    <n v="32"/>
    <n v="3"/>
    <n v="1"/>
    <n v="1"/>
    <n v="30"/>
    <n v="1091.1600000000001"/>
    <n v="0"/>
    <n v="0"/>
    <x v="0"/>
    <n v="15.848366013071896"/>
  </r>
  <r>
    <s v="ID-2267"/>
    <n v="6"/>
    <x v="0"/>
    <n v="43"/>
    <n v="0"/>
    <n v="1260"/>
    <n v="22"/>
    <n v="17"/>
    <n v="17"/>
    <n v="2"/>
    <n v="1"/>
    <n v="2"/>
    <n v="25"/>
    <n v="134.19"/>
    <n v="0"/>
    <n v="1"/>
    <x v="0"/>
    <n v="10.65"/>
  </r>
  <r>
    <s v="ID-2268"/>
    <n v="8"/>
    <x v="0"/>
    <n v="44"/>
    <n v="0"/>
    <n v="1095"/>
    <n v="22"/>
    <n v="30"/>
    <n v="14"/>
    <n v="3"/>
    <n v="1"/>
    <n v="2"/>
    <n v="30"/>
    <n v="164.68"/>
    <n v="0"/>
    <n v="1"/>
    <x v="0"/>
    <n v="15.039269406392695"/>
  </r>
  <r>
    <s v="ID-2269"/>
    <n v="6"/>
    <x v="0"/>
    <n v="43"/>
    <n v="0"/>
    <n v="385"/>
    <n v="8"/>
    <n v="17"/>
    <n v="6"/>
    <n v="2"/>
    <n v="1"/>
    <n v="2"/>
    <n v="25"/>
    <n v="94.185000000000002"/>
    <n v="1"/>
    <n v="1"/>
    <x v="0"/>
    <n v="24.463636363636365"/>
  </r>
  <r>
    <s v="ID-2270"/>
    <n v="9"/>
    <x v="0"/>
    <n v="43"/>
    <n v="2"/>
    <n v="7893"/>
    <n v="135"/>
    <n v="401"/>
    <n v="49"/>
    <n v="3"/>
    <n v="1"/>
    <n v="1"/>
    <n v="30"/>
    <n v="1925.12"/>
    <n v="0"/>
    <n v="1"/>
    <x v="0"/>
    <n v="24.390219181553274"/>
  </r>
  <r>
    <s v="ID-2271"/>
    <n v="13"/>
    <x v="0"/>
    <n v="43"/>
    <n v="3"/>
    <n v="11850"/>
    <n v="162"/>
    <n v="28"/>
    <n v="53"/>
    <n v="4"/>
    <n v="1"/>
    <n v="1"/>
    <n v="45"/>
    <n v="370.3"/>
    <n v="0"/>
    <n v="5"/>
    <x v="1"/>
    <n v="3.1248945147679326"/>
  </r>
  <r>
    <s v="ID-2272"/>
    <n v="14"/>
    <x v="0"/>
    <n v="43"/>
    <n v="3"/>
    <n v="7103"/>
    <n v="83"/>
    <n v="125"/>
    <n v="43"/>
    <n v="2"/>
    <n v="1"/>
    <n v="1"/>
    <n v="25"/>
    <n v="885.87"/>
    <n v="0"/>
    <n v="2"/>
    <x v="0"/>
    <n v="12.471772490496972"/>
  </r>
  <r>
    <s v="ID-2273"/>
    <n v="29"/>
    <x v="1"/>
    <n v="39"/>
    <n v="0"/>
    <n v="1340"/>
    <n v="55"/>
    <n v="33"/>
    <n v="23"/>
    <n v="3"/>
    <n v="1"/>
    <n v="2"/>
    <n v="30"/>
    <n v="187.8"/>
    <n v="1"/>
    <n v="5"/>
    <x v="1"/>
    <n v="14.014925373134329"/>
  </r>
  <r>
    <s v="ID-2274"/>
    <n v="27"/>
    <x v="0"/>
    <n v="42"/>
    <n v="10"/>
    <n v="10820"/>
    <n v="101"/>
    <n v="18"/>
    <n v="48"/>
    <n v="5"/>
    <n v="1"/>
    <n v="1"/>
    <n v="55"/>
    <n v="190.815"/>
    <n v="0"/>
    <n v="3"/>
    <x v="1"/>
    <n v="1.7635397412199629"/>
  </r>
  <r>
    <s v="ID-2275"/>
    <n v="19"/>
    <x v="0"/>
    <n v="42"/>
    <n v="3"/>
    <n v="6203"/>
    <n v="106"/>
    <n v="43"/>
    <n v="30"/>
    <n v="3"/>
    <n v="1"/>
    <n v="1"/>
    <n v="30"/>
    <n v="424.36"/>
    <n v="0"/>
    <n v="2"/>
    <x v="0"/>
    <n v="6.8412058681283252"/>
  </r>
  <r>
    <s v="ID-2276"/>
    <n v="7"/>
    <x v="0"/>
    <n v="40"/>
    <n v="2"/>
    <n v="3225"/>
    <n v="30"/>
    <n v="17"/>
    <n v="20"/>
    <n v="3"/>
    <n v="1"/>
    <n v="1"/>
    <n v="30"/>
    <n v="198.2"/>
    <n v="0"/>
    <n v="0"/>
    <x v="0"/>
    <n v="6.1457364341085263"/>
  </r>
  <r>
    <s v="ID-2277"/>
    <n v="15"/>
    <x v="1"/>
    <n v="41"/>
    <n v="0"/>
    <n v="3375"/>
    <n v="49"/>
    <n v="26"/>
    <n v="22"/>
    <n v="3"/>
    <n v="1"/>
    <n v="2"/>
    <n v="30"/>
    <n v="240.96"/>
    <n v="1"/>
    <n v="5"/>
    <x v="1"/>
    <n v="7.1395555555555559"/>
  </r>
  <r>
    <s v="ID-2278"/>
    <n v="15"/>
    <x v="1"/>
    <n v="42"/>
    <n v="0"/>
    <n v="2653"/>
    <n v="52"/>
    <n v="51"/>
    <n v="37"/>
    <n v="4"/>
    <n v="1"/>
    <n v="2"/>
    <n v="45"/>
    <n v="195.125"/>
    <n v="1"/>
    <n v="5"/>
    <x v="1"/>
    <n v="7.3548812664907643"/>
  </r>
  <r>
    <s v="ID-2279"/>
    <n v="6"/>
    <x v="0"/>
    <n v="42"/>
    <n v="0"/>
    <n v="518"/>
    <n v="10"/>
    <n v="17"/>
    <n v="8"/>
    <n v="3"/>
    <n v="1"/>
    <n v="2"/>
    <n v="30"/>
    <n v="89.12"/>
    <n v="1"/>
    <n v="1"/>
    <x v="0"/>
    <n v="17.204633204633204"/>
  </r>
  <r>
    <s v="ID-2280"/>
    <n v="7"/>
    <x v="0"/>
    <n v="42"/>
    <n v="2"/>
    <n v="2053"/>
    <n v="33"/>
    <n v="17"/>
    <n v="12"/>
    <n v="4"/>
    <n v="1"/>
    <n v="1"/>
    <n v="45"/>
    <n v="94.65"/>
    <n v="0"/>
    <n v="0"/>
    <x v="0"/>
    <n v="4.6103263516804684"/>
  </r>
  <r>
    <s v="ID-2281"/>
    <n v="9"/>
    <x v="0"/>
    <n v="39"/>
    <n v="3"/>
    <n v="7170"/>
    <n v="105"/>
    <n v="31"/>
    <n v="28"/>
    <n v="5"/>
    <n v="1"/>
    <n v="1"/>
    <n v="55"/>
    <n v="155.625"/>
    <n v="0"/>
    <n v="0"/>
    <x v="0"/>
    <n v="2.1705020920502092"/>
  </r>
  <r>
    <s v="ID-2282"/>
    <n v="6"/>
    <x v="1"/>
    <n v="42"/>
    <n v="0"/>
    <n v="1013"/>
    <n v="15"/>
    <n v="26"/>
    <n v="10"/>
    <n v="4"/>
    <n v="1"/>
    <n v="2"/>
    <n v="45"/>
    <n v="90.7"/>
    <n v="1"/>
    <n v="3"/>
    <x v="1"/>
    <n v="8.9536031589338609"/>
  </r>
  <r>
    <s v="ID-2283"/>
    <n v="6"/>
    <x v="0"/>
    <n v="42"/>
    <n v="3"/>
    <n v="723"/>
    <n v="12"/>
    <n v="21"/>
    <n v="8"/>
    <n v="5"/>
    <n v="1"/>
    <n v="1"/>
    <n v="55"/>
    <n v="42.524999999999999"/>
    <n v="0"/>
    <n v="0"/>
    <x v="0"/>
    <n v="5.8817427385892112"/>
  </r>
  <r>
    <s v="ID-2284"/>
    <n v="31"/>
    <x v="0"/>
    <n v="37"/>
    <n v="5"/>
    <n v="16460"/>
    <n v="246"/>
    <n v="17"/>
    <n v="86"/>
    <n v="2"/>
    <n v="1"/>
    <n v="1"/>
    <n v="25"/>
    <n v="828.27"/>
    <n v="0"/>
    <n v="5"/>
    <x v="1"/>
    <n v="5.0320170109356015"/>
  </r>
  <r>
    <s v="ID-2285"/>
    <n v="12"/>
    <x v="0"/>
    <n v="40"/>
    <n v="5"/>
    <n v="7350"/>
    <n v="124"/>
    <n v="288"/>
    <n v="39"/>
    <n v="3"/>
    <n v="2"/>
    <n v="1"/>
    <n v="30"/>
    <n v="1450.96"/>
    <n v="0"/>
    <n v="2"/>
    <x v="0"/>
    <n v="19.740952380952383"/>
  </r>
  <r>
    <s v="ID-2286"/>
    <n v="8"/>
    <x v="0"/>
    <n v="42"/>
    <n v="2"/>
    <n v="4103"/>
    <n v="90"/>
    <n v="19"/>
    <n v="34"/>
    <n v="3"/>
    <n v="1"/>
    <n v="1"/>
    <n v="30"/>
    <n v="243.72"/>
    <n v="0"/>
    <n v="0"/>
    <x v="0"/>
    <n v="5.9400438703387763"/>
  </r>
  <r>
    <s v="ID-2287"/>
    <n v="9"/>
    <x v="1"/>
    <n v="41"/>
    <n v="0"/>
    <n v="2050"/>
    <n v="52"/>
    <n v="55"/>
    <n v="26"/>
    <n v="4"/>
    <n v="1"/>
    <n v="2"/>
    <n v="45"/>
    <n v="190.05"/>
    <n v="0"/>
    <n v="3"/>
    <x v="1"/>
    <n v="9.2707317073170739"/>
  </r>
  <r>
    <s v="ID-2288"/>
    <n v="12"/>
    <x v="0"/>
    <n v="42"/>
    <n v="2"/>
    <n v="3165"/>
    <n v="61"/>
    <n v="192"/>
    <n v="29"/>
    <n v="2"/>
    <n v="1"/>
    <n v="1"/>
    <n v="25"/>
    <n v="1009.17"/>
    <n v="0"/>
    <n v="2"/>
    <x v="0"/>
    <n v="31.885308056872034"/>
  </r>
  <r>
    <s v="ID-2289"/>
    <n v="10"/>
    <x v="0"/>
    <n v="33"/>
    <n v="3"/>
    <n v="1700"/>
    <n v="44"/>
    <n v="210"/>
    <n v="17"/>
    <n v="3"/>
    <n v="2"/>
    <n v="1"/>
    <n v="30"/>
    <n v="909.76"/>
    <n v="0"/>
    <n v="0"/>
    <x v="0"/>
    <n v="53.515294117647059"/>
  </r>
  <r>
    <s v="ID-2290"/>
    <n v="10"/>
    <x v="0"/>
    <n v="32"/>
    <n v="2"/>
    <n v="1953"/>
    <n v="47"/>
    <n v="47"/>
    <n v="74"/>
    <n v="5"/>
    <n v="1"/>
    <n v="1"/>
    <n v="55"/>
    <n v="100.5"/>
    <n v="0"/>
    <n v="1"/>
    <x v="0"/>
    <n v="5.1459293394777266"/>
  </r>
  <r>
    <s v="ID-2291"/>
    <n v="17"/>
    <x v="0"/>
    <n v="33"/>
    <n v="0"/>
    <n v="1085"/>
    <n v="33"/>
    <n v="27"/>
    <n v="13"/>
    <n v="3"/>
    <n v="1"/>
    <n v="2"/>
    <n v="30"/>
    <n v="152.72"/>
    <n v="0"/>
    <n v="3"/>
    <x v="1"/>
    <n v="14.07557603686636"/>
  </r>
  <r>
    <s v="ID-2292"/>
    <n v="6"/>
    <x v="0"/>
    <n v="32"/>
    <n v="0"/>
    <n v="1210"/>
    <n v="18"/>
    <n v="38"/>
    <n v="9"/>
    <n v="4"/>
    <n v="1"/>
    <n v="2"/>
    <n v="45"/>
    <n v="125.7"/>
    <n v="0"/>
    <n v="1"/>
    <x v="0"/>
    <n v="10.388429752066115"/>
  </r>
  <r>
    <s v="ID-2293"/>
    <n v="16"/>
    <x v="0"/>
    <n v="31"/>
    <n v="2"/>
    <n v="1610"/>
    <n v="40"/>
    <n v="36"/>
    <n v="19"/>
    <n v="2"/>
    <n v="1"/>
    <n v="1"/>
    <n v="25"/>
    <n v="236.25"/>
    <n v="0"/>
    <n v="2"/>
    <x v="0"/>
    <n v="14.673913043478262"/>
  </r>
  <r>
    <s v="ID-2294"/>
    <n v="8"/>
    <x v="0"/>
    <n v="31"/>
    <n v="2"/>
    <n v="3610"/>
    <n v="69"/>
    <n v="25"/>
    <n v="29"/>
    <n v="3"/>
    <n v="1"/>
    <n v="1"/>
    <n v="30"/>
    <n v="247.16"/>
    <n v="0"/>
    <n v="0"/>
    <x v="0"/>
    <n v="6.8465373961218834"/>
  </r>
  <r>
    <s v="ID-2295"/>
    <n v="8"/>
    <x v="0"/>
    <n v="24"/>
    <n v="2"/>
    <n v="2080"/>
    <n v="34"/>
    <n v="45"/>
    <n v="20"/>
    <n v="3"/>
    <n v="1"/>
    <n v="1"/>
    <n v="30"/>
    <n v="264.56"/>
    <n v="0"/>
    <n v="0"/>
    <x v="0"/>
    <n v="12.719230769230769"/>
  </r>
  <r>
    <s v="ID-2296"/>
    <n v="22"/>
    <x v="0"/>
    <n v="23"/>
    <n v="3"/>
    <n v="6778"/>
    <n v="149"/>
    <n v="102"/>
    <n v="48"/>
    <n v="2"/>
    <n v="2"/>
    <n v="1"/>
    <n v="25"/>
    <n v="770.71500000000003"/>
    <n v="0"/>
    <n v="5"/>
    <x v="1"/>
    <n v="11.370832103865446"/>
  </r>
  <r>
    <s v="ID-2297"/>
    <n v="18"/>
    <x v="0"/>
    <n v="21"/>
    <n v="2"/>
    <n v="9318"/>
    <n v="179"/>
    <n v="90"/>
    <n v="46"/>
    <n v="5"/>
    <n v="1"/>
    <n v="1"/>
    <n v="55"/>
    <n v="277.45499999999998"/>
    <n v="0"/>
    <n v="4"/>
    <x v="1"/>
    <n v="2.9776239536381195"/>
  </r>
  <r>
    <s v="ID-2298"/>
    <n v="14"/>
    <x v="0"/>
    <n v="22"/>
    <n v="5"/>
    <n v="3238"/>
    <n v="53"/>
    <n v="48"/>
    <n v="25"/>
    <n v="3"/>
    <n v="2"/>
    <n v="1"/>
    <n v="30"/>
    <n v="323.64"/>
    <n v="0"/>
    <n v="2"/>
    <x v="0"/>
    <n v="9.9950586781964166"/>
  </r>
  <r>
    <s v="ID-2299"/>
    <n v="8"/>
    <x v="0"/>
    <n v="15"/>
    <n v="3"/>
    <n v="4775"/>
    <n v="48"/>
    <n v="232"/>
    <n v="16"/>
    <n v="3"/>
    <n v="1"/>
    <n v="1"/>
    <n v="30"/>
    <n v="1120.92"/>
    <n v="0"/>
    <n v="0"/>
    <x v="0"/>
    <n v="23.474764397905762"/>
  </r>
  <r>
    <s v="ID-2300"/>
    <n v="9"/>
    <x v="1"/>
    <n v="15"/>
    <n v="3"/>
    <n v="1873"/>
    <n v="27"/>
    <n v="17"/>
    <n v="13"/>
    <n v="3"/>
    <n v="1"/>
    <n v="1"/>
    <n v="30"/>
    <n v="144"/>
    <n v="1"/>
    <n v="2"/>
    <x v="0"/>
    <n v="7.688200747463962"/>
  </r>
  <r>
    <s v="ID-2301"/>
    <n v="12"/>
    <x v="0"/>
    <n v="36"/>
    <n v="1"/>
    <n v="4595"/>
    <n v="75"/>
    <n v="7"/>
    <n v="15"/>
    <n v="3"/>
    <n v="1"/>
    <n v="1"/>
    <n v="30"/>
    <n v="214.8"/>
    <n v="0"/>
    <n v="2"/>
    <x v="0"/>
    <n v="4.6746463547334063"/>
  </r>
  <r>
    <s v="ID-2302"/>
    <n v="5"/>
    <x v="0"/>
    <n v="37"/>
    <n v="0"/>
    <n v="305"/>
    <n v="6"/>
    <n v="7"/>
    <n v="2"/>
    <n v="3"/>
    <n v="1"/>
    <n v="2"/>
    <n v="30"/>
    <n v="40.44"/>
    <n v="0"/>
    <n v="1"/>
    <x v="0"/>
    <n v="13.259016393442622"/>
  </r>
  <r>
    <s v="ID-2303"/>
    <n v="14"/>
    <x v="0"/>
    <n v="35"/>
    <n v="1"/>
    <n v="2678"/>
    <n v="64"/>
    <n v="356"/>
    <n v="22"/>
    <n v="3"/>
    <n v="1"/>
    <n v="1"/>
    <n v="30"/>
    <n v="1533.68"/>
    <n v="0"/>
    <n v="2"/>
    <x v="0"/>
    <n v="57.269604182225542"/>
  </r>
  <r>
    <s v="ID-2304"/>
    <n v="14"/>
    <x v="0"/>
    <n v="36"/>
    <n v="1"/>
    <n v="4423"/>
    <n v="70"/>
    <n v="7"/>
    <n v="33"/>
    <n v="2"/>
    <n v="1"/>
    <n v="1"/>
    <n v="25"/>
    <n v="233.685"/>
    <n v="0"/>
    <n v="2"/>
    <x v="0"/>
    <n v="5.28340492878137"/>
  </r>
  <r>
    <s v="ID-2305"/>
    <n v="7"/>
    <x v="0"/>
    <n v="36"/>
    <n v="1"/>
    <n v="2618"/>
    <n v="62"/>
    <n v="7"/>
    <n v="31"/>
    <n v="2"/>
    <n v="1"/>
    <n v="1"/>
    <n v="25"/>
    <n v="152.1"/>
    <n v="0"/>
    <n v="0"/>
    <x v="0"/>
    <n v="5.8097784568372797"/>
  </r>
  <r>
    <s v="ID-2306"/>
    <n v="15"/>
    <x v="0"/>
    <n v="36"/>
    <n v="1"/>
    <n v="4000"/>
    <n v="86"/>
    <n v="29"/>
    <n v="26"/>
    <n v="3"/>
    <n v="1"/>
    <n v="1"/>
    <n v="30"/>
    <n v="279.44"/>
    <n v="0"/>
    <n v="2"/>
    <x v="0"/>
    <n v="6.9860000000000007"/>
  </r>
  <r>
    <s v="ID-2307"/>
    <n v="8"/>
    <x v="0"/>
    <n v="36"/>
    <n v="1"/>
    <n v="2585"/>
    <n v="43"/>
    <n v="282"/>
    <n v="16"/>
    <n v="3"/>
    <n v="1"/>
    <n v="1"/>
    <n v="30"/>
    <n v="1233.1199999999999"/>
    <n v="0"/>
    <n v="0"/>
    <x v="0"/>
    <n v="47.702901353965174"/>
  </r>
  <r>
    <s v="ID-2308"/>
    <n v="17"/>
    <x v="0"/>
    <n v="35"/>
    <n v="2"/>
    <n v="9340"/>
    <n v="125"/>
    <n v="141"/>
    <n v="41"/>
    <n v="3"/>
    <n v="1"/>
    <n v="1"/>
    <n v="30"/>
    <n v="942.6"/>
    <n v="0"/>
    <n v="2"/>
    <x v="0"/>
    <n v="10.092077087794433"/>
  </r>
  <r>
    <s v="ID-2309"/>
    <n v="11"/>
    <x v="0"/>
    <n v="36"/>
    <n v="1"/>
    <n v="13998"/>
    <n v="173"/>
    <n v="7"/>
    <n v="42"/>
    <n v="3"/>
    <n v="1"/>
    <n v="1"/>
    <n v="30"/>
    <n v="594.84"/>
    <n v="0"/>
    <n v="4"/>
    <x v="1"/>
    <n v="4.2494642091727393"/>
  </r>
  <r>
    <s v="ID-2310"/>
    <n v="11"/>
    <x v="0"/>
    <n v="36"/>
    <n v="1"/>
    <n v="4740"/>
    <n v="87"/>
    <n v="7"/>
    <n v="23"/>
    <n v="3"/>
    <n v="1"/>
    <n v="1"/>
    <n v="30"/>
    <n v="221.08"/>
    <n v="0"/>
    <n v="2"/>
    <x v="0"/>
    <n v="4.6641350210970467"/>
  </r>
  <r>
    <s v="ID-2311"/>
    <n v="10"/>
    <x v="0"/>
    <n v="36"/>
    <n v="1"/>
    <n v="6143"/>
    <n v="99"/>
    <n v="7"/>
    <n v="10"/>
    <n v="3"/>
    <n v="1"/>
    <n v="1"/>
    <n v="30"/>
    <n v="277.68"/>
    <n v="0"/>
    <n v="0"/>
    <x v="0"/>
    <n v="4.5202669705355696"/>
  </r>
  <r>
    <s v="ID-2312"/>
    <n v="13"/>
    <x v="0"/>
    <n v="36"/>
    <n v="0"/>
    <n v="2463"/>
    <n v="58"/>
    <n v="7"/>
    <n v="15"/>
    <n v="3"/>
    <n v="1"/>
    <n v="2"/>
    <n v="30"/>
    <n v="128.84"/>
    <n v="0"/>
    <n v="3"/>
    <x v="1"/>
    <n v="5.2310190824198131"/>
  </r>
  <r>
    <s v="ID-2313"/>
    <n v="29"/>
    <x v="0"/>
    <n v="36"/>
    <n v="3"/>
    <n v="15365"/>
    <n v="229"/>
    <n v="51"/>
    <n v="30"/>
    <n v="3"/>
    <n v="1"/>
    <n v="1"/>
    <n v="30"/>
    <n v="827.76"/>
    <n v="0"/>
    <n v="4"/>
    <x v="1"/>
    <n v="5.3873088187438984"/>
  </r>
  <r>
    <s v="ID-2314"/>
    <n v="8"/>
    <x v="0"/>
    <n v="36"/>
    <n v="1"/>
    <n v="3320"/>
    <n v="31"/>
    <n v="480"/>
    <n v="6"/>
    <n v="3"/>
    <n v="1"/>
    <n v="1"/>
    <n v="30"/>
    <n v="2054.04"/>
    <n v="0"/>
    <n v="0"/>
    <x v="0"/>
    <n v="61.868674698795175"/>
  </r>
  <r>
    <s v="ID-2315"/>
    <n v="13"/>
    <x v="0"/>
    <n v="35"/>
    <n v="1"/>
    <n v="15710"/>
    <n v="186"/>
    <n v="147"/>
    <n v="28"/>
    <n v="2"/>
    <n v="1"/>
    <n v="1"/>
    <n v="25"/>
    <n v="1376.82"/>
    <n v="0"/>
    <n v="4"/>
    <x v="1"/>
    <n v="8.7639719923615527"/>
  </r>
  <r>
    <s v="ID-2316"/>
    <n v="7"/>
    <x v="0"/>
    <n v="35"/>
    <n v="1"/>
    <n v="6725"/>
    <n v="90"/>
    <n v="183"/>
    <n v="24"/>
    <n v="3"/>
    <n v="1"/>
    <n v="1"/>
    <n v="30"/>
    <n v="1004.6"/>
    <n v="0"/>
    <n v="0"/>
    <x v="0"/>
    <n v="14.93828996282528"/>
  </r>
  <r>
    <s v="ID-2317"/>
    <n v="5"/>
    <x v="0"/>
    <n v="35"/>
    <n v="0"/>
    <n v="1100"/>
    <n v="18"/>
    <n v="7"/>
    <n v="9"/>
    <n v="2"/>
    <n v="1"/>
    <n v="2"/>
    <n v="25"/>
    <n v="81.81"/>
    <n v="0"/>
    <n v="1"/>
    <x v="0"/>
    <n v="7.4372727272727275"/>
  </r>
  <r>
    <s v="ID-2318"/>
    <n v="6"/>
    <x v="0"/>
    <n v="36"/>
    <n v="0"/>
    <n v="935"/>
    <n v="18"/>
    <n v="10"/>
    <n v="6"/>
    <n v="3"/>
    <n v="1"/>
    <n v="2"/>
    <n v="30"/>
    <n v="78.12"/>
    <n v="0"/>
    <n v="1"/>
    <x v="0"/>
    <n v="8.3550802139037437"/>
  </r>
  <r>
    <s v="ID-2319"/>
    <n v="5"/>
    <x v="0"/>
    <n v="35"/>
    <n v="0"/>
    <n v="305"/>
    <n v="6"/>
    <n v="7"/>
    <n v="2"/>
    <n v="2"/>
    <n v="1"/>
    <n v="2"/>
    <n v="25"/>
    <n v="45.494999999999997"/>
    <n v="1"/>
    <n v="1"/>
    <x v="0"/>
    <n v="14.916393442622949"/>
  </r>
  <r>
    <s v="ID-2320"/>
    <n v="7"/>
    <x v="0"/>
    <n v="35"/>
    <n v="1"/>
    <n v="7733"/>
    <n v="131"/>
    <n v="381"/>
    <n v="41"/>
    <n v="3"/>
    <n v="1"/>
    <n v="1"/>
    <n v="30"/>
    <n v="1838.56"/>
    <n v="0"/>
    <n v="0"/>
    <x v="0"/>
    <n v="23.77550756498125"/>
  </r>
  <r>
    <s v="ID-2321"/>
    <n v="11"/>
    <x v="0"/>
    <n v="35"/>
    <n v="1"/>
    <n v="11690"/>
    <n v="158"/>
    <n v="8"/>
    <n v="45"/>
    <n v="4"/>
    <n v="1"/>
    <n v="1"/>
    <n v="45"/>
    <n v="316.2"/>
    <n v="0"/>
    <n v="4"/>
    <x v="1"/>
    <n v="2.7048759623609921"/>
  </r>
  <r>
    <s v="ID-2322"/>
    <n v="12"/>
    <x v="0"/>
    <n v="35"/>
    <n v="1"/>
    <n v="6943"/>
    <n v="79"/>
    <n v="105"/>
    <n v="35"/>
    <n v="2"/>
    <n v="1"/>
    <n v="1"/>
    <n v="25"/>
    <n v="788.49"/>
    <n v="0"/>
    <n v="2"/>
    <x v="0"/>
    <n v="11.35661817658073"/>
  </r>
  <r>
    <s v="ID-2323"/>
    <n v="27"/>
    <x v="1"/>
    <n v="31"/>
    <n v="0"/>
    <n v="1180"/>
    <n v="51"/>
    <n v="13"/>
    <n v="15"/>
    <n v="3"/>
    <n v="1"/>
    <n v="2"/>
    <n v="30"/>
    <n v="101.24"/>
    <n v="1"/>
    <n v="5"/>
    <x v="1"/>
    <n v="8.579661016949153"/>
  </r>
  <r>
    <s v="ID-2324"/>
    <n v="25"/>
    <x v="0"/>
    <n v="34"/>
    <n v="8"/>
    <n v="10660"/>
    <n v="97"/>
    <n v="7"/>
    <n v="40"/>
    <n v="5"/>
    <n v="1"/>
    <n v="1"/>
    <n v="55"/>
    <n v="171.85499999999999"/>
    <n v="0"/>
    <n v="2"/>
    <x v="0"/>
    <n v="1.6121482176360225"/>
  </r>
  <r>
    <s v="ID-2325"/>
    <n v="17"/>
    <x v="0"/>
    <n v="34"/>
    <n v="1"/>
    <n v="6043"/>
    <n v="102"/>
    <n v="23"/>
    <n v="22"/>
    <n v="2"/>
    <n v="1"/>
    <n v="1"/>
    <n v="25"/>
    <n v="380.02499999999998"/>
    <n v="0"/>
    <n v="2"/>
    <x v="0"/>
    <n v="6.2886811186496763"/>
  </r>
  <r>
    <s v="ID-2326"/>
    <n v="5"/>
    <x v="0"/>
    <n v="32"/>
    <n v="1"/>
    <n v="3065"/>
    <n v="26"/>
    <n v="7"/>
    <n v="12"/>
    <n v="3"/>
    <n v="1"/>
    <n v="1"/>
    <n v="30"/>
    <n v="151.63999999999999"/>
    <n v="0"/>
    <n v="0"/>
    <x v="0"/>
    <n v="4.9474714518760194"/>
  </r>
  <r>
    <s v="ID-2327"/>
    <n v="13"/>
    <x v="1"/>
    <n v="33"/>
    <n v="0"/>
    <n v="3215"/>
    <n v="45"/>
    <n v="7"/>
    <n v="14"/>
    <n v="3"/>
    <n v="1"/>
    <n v="2"/>
    <n v="30"/>
    <n v="158.4"/>
    <n v="1"/>
    <n v="5"/>
    <x v="1"/>
    <n v="4.9269051321928465"/>
  </r>
  <r>
    <s v="ID-2328"/>
    <n v="13"/>
    <x v="1"/>
    <n v="34"/>
    <n v="0"/>
    <n v="2493"/>
    <n v="48"/>
    <n v="31"/>
    <n v="29"/>
    <n v="3"/>
    <n v="1"/>
    <n v="2"/>
    <n v="30"/>
    <n v="225.64"/>
    <n v="1"/>
    <n v="5"/>
    <x v="1"/>
    <n v="9.0509426393902928"/>
  </r>
  <r>
    <s v="ID-2329"/>
    <n v="5"/>
    <x v="0"/>
    <n v="34"/>
    <n v="0"/>
    <n v="305"/>
    <n v="6"/>
    <n v="7"/>
    <n v="2"/>
    <n v="3"/>
    <n v="1"/>
    <n v="2"/>
    <n v="30"/>
    <n v="40.44"/>
    <n v="1"/>
    <n v="1"/>
    <x v="0"/>
    <n v="13.259016393442622"/>
  </r>
  <r>
    <s v="ID-2330"/>
    <n v="5"/>
    <x v="0"/>
    <n v="34"/>
    <n v="1"/>
    <n v="1893"/>
    <n v="29"/>
    <n v="7"/>
    <n v="4"/>
    <n v="4"/>
    <n v="1"/>
    <n v="1"/>
    <n v="45"/>
    <n v="65.55"/>
    <n v="0"/>
    <n v="0"/>
    <x v="0"/>
    <n v="3.4627575277337557"/>
  </r>
  <r>
    <s v="ID-2331"/>
    <n v="7"/>
    <x v="0"/>
    <n v="31"/>
    <n v="1"/>
    <n v="7010"/>
    <n v="101"/>
    <n v="11"/>
    <n v="20"/>
    <n v="5"/>
    <n v="1"/>
    <n v="1"/>
    <n v="55"/>
    <n v="123.16500000000001"/>
    <n v="0"/>
    <n v="0"/>
    <x v="0"/>
    <n v="1.7569900142653354"/>
  </r>
  <r>
    <s v="ID-2332"/>
    <n v="5"/>
    <x v="0"/>
    <n v="34"/>
    <n v="0"/>
    <n v="305"/>
    <n v="6"/>
    <n v="7"/>
    <n v="2"/>
    <n v="4"/>
    <n v="1"/>
    <n v="2"/>
    <n v="45"/>
    <n v="25.274999999999999"/>
    <n v="1"/>
    <n v="1"/>
    <x v="0"/>
    <n v="8.2868852459016384"/>
  </r>
  <r>
    <s v="ID-2333"/>
    <n v="5"/>
    <x v="0"/>
    <n v="34"/>
    <n v="1"/>
    <n v="305"/>
    <n v="6"/>
    <n v="7"/>
    <n v="2"/>
    <n v="5"/>
    <n v="1"/>
    <n v="1"/>
    <n v="55"/>
    <n v="15.164999999999999"/>
    <n v="0"/>
    <n v="0"/>
    <x v="0"/>
    <n v="4.9721311475409831"/>
  </r>
  <r>
    <s v="ID-2334"/>
    <n v="29"/>
    <x v="0"/>
    <n v="29"/>
    <n v="3"/>
    <n v="16300"/>
    <n v="242"/>
    <n v="7"/>
    <n v="78"/>
    <n v="2"/>
    <n v="1"/>
    <n v="1"/>
    <n v="25"/>
    <n v="775.89"/>
    <n v="0"/>
    <n v="5"/>
    <x v="1"/>
    <n v="4.7600613496932516"/>
  </r>
  <r>
    <s v="ID-2335"/>
    <n v="10"/>
    <x v="0"/>
    <n v="32"/>
    <n v="3"/>
    <n v="7190"/>
    <n v="120"/>
    <n v="268"/>
    <n v="31"/>
    <n v="3"/>
    <n v="2"/>
    <n v="1"/>
    <n v="30"/>
    <n v="1364.4"/>
    <n v="0"/>
    <n v="0"/>
    <x v="0"/>
    <n v="18.976356050069544"/>
  </r>
  <r>
    <s v="ID-2336"/>
    <n v="6"/>
    <x v="0"/>
    <n v="34"/>
    <n v="1"/>
    <n v="3943"/>
    <n v="86"/>
    <n v="7"/>
    <n v="26"/>
    <n v="3"/>
    <n v="1"/>
    <n v="1"/>
    <n v="30"/>
    <n v="189.16"/>
    <n v="0"/>
    <n v="0"/>
    <x v="0"/>
    <n v="4.7973624144052751"/>
  </r>
  <r>
    <s v="ID-2337"/>
    <n v="7"/>
    <x v="0"/>
    <n v="33"/>
    <n v="0"/>
    <n v="1890"/>
    <n v="48"/>
    <n v="35"/>
    <n v="18"/>
    <n v="3"/>
    <n v="1"/>
    <n v="2"/>
    <n v="30"/>
    <n v="217.52"/>
    <n v="0"/>
    <n v="1"/>
    <x v="0"/>
    <n v="11.50899470899471"/>
  </r>
  <r>
    <s v="ID-2338"/>
    <n v="10"/>
    <x v="0"/>
    <n v="34"/>
    <n v="1"/>
    <n v="3005"/>
    <n v="57"/>
    <n v="172"/>
    <n v="21"/>
    <n v="2"/>
    <n v="1"/>
    <n v="1"/>
    <n v="25"/>
    <n v="911.79"/>
    <n v="0"/>
    <n v="0"/>
    <x v="0"/>
    <n v="30.342429284525789"/>
  </r>
  <r>
    <s v="ID-2339"/>
    <n v="8"/>
    <x v="0"/>
    <n v="25"/>
    <n v="1"/>
    <n v="1540"/>
    <n v="40"/>
    <n v="190"/>
    <n v="9"/>
    <n v="3"/>
    <n v="2"/>
    <n v="1"/>
    <n v="30"/>
    <n v="823.2"/>
    <n v="0"/>
    <n v="0"/>
    <x v="0"/>
    <n v="53.454545454545453"/>
  </r>
  <r>
    <s v="ID-2340"/>
    <n v="8"/>
    <x v="0"/>
    <n v="24"/>
    <n v="1"/>
    <n v="1793"/>
    <n v="43"/>
    <n v="27"/>
    <n v="66"/>
    <n v="4"/>
    <n v="1"/>
    <n v="1"/>
    <n v="45"/>
    <n v="113.4"/>
    <n v="0"/>
    <n v="1"/>
    <x v="0"/>
    <n v="6.3245956497490248"/>
  </r>
  <r>
    <s v="ID-2341"/>
    <n v="15"/>
    <x v="0"/>
    <n v="25"/>
    <n v="0"/>
    <n v="925"/>
    <n v="29"/>
    <n v="7"/>
    <n v="5"/>
    <n v="3"/>
    <n v="1"/>
    <n v="2"/>
    <n v="30"/>
    <n v="66.16"/>
    <n v="0"/>
    <n v="3"/>
    <x v="1"/>
    <n v="7.1524324324324322"/>
  </r>
  <r>
    <s v="ID-2342"/>
    <n v="5"/>
    <x v="0"/>
    <n v="24"/>
    <n v="0"/>
    <n v="305"/>
    <n v="6"/>
    <n v="18"/>
    <n v="2"/>
    <n v="4"/>
    <n v="1"/>
    <n v="2"/>
    <n v="45"/>
    <n v="52.774999999999999"/>
    <n v="0"/>
    <n v="1"/>
    <x v="0"/>
    <n v="17.303278688524589"/>
  </r>
  <r>
    <s v="ID-2343"/>
    <n v="14"/>
    <x v="0"/>
    <n v="23"/>
    <n v="1"/>
    <n v="1450"/>
    <n v="36"/>
    <n v="16"/>
    <n v="11"/>
    <n v="2"/>
    <n v="1"/>
    <n v="1"/>
    <n v="25"/>
    <n v="138.87"/>
    <n v="0"/>
    <n v="2"/>
    <x v="0"/>
    <n v="9.5772413793103439"/>
  </r>
  <r>
    <s v="ID-2344"/>
    <n v="6"/>
    <x v="0"/>
    <n v="23"/>
    <n v="1"/>
    <n v="3450"/>
    <n v="65"/>
    <n v="7"/>
    <n v="21"/>
    <n v="3"/>
    <n v="1"/>
    <n v="1"/>
    <n v="30"/>
    <n v="168.6"/>
    <n v="0"/>
    <n v="0"/>
    <x v="0"/>
    <n v="4.8869565217391306"/>
  </r>
  <r>
    <s v="ID-2345"/>
    <n v="6"/>
    <x v="0"/>
    <n v="16"/>
    <n v="1"/>
    <n v="1920"/>
    <n v="30"/>
    <n v="25"/>
    <n v="12"/>
    <n v="2"/>
    <n v="1"/>
    <n v="1"/>
    <n v="25"/>
    <n v="200.25"/>
    <n v="0"/>
    <n v="0"/>
    <x v="0"/>
    <n v="10.4296875"/>
  </r>
  <r>
    <s v="ID-2346"/>
    <n v="20"/>
    <x v="0"/>
    <n v="15"/>
    <n v="1"/>
    <n v="6618"/>
    <n v="145"/>
    <n v="82"/>
    <n v="40"/>
    <n v="2"/>
    <n v="2"/>
    <n v="1"/>
    <n v="25"/>
    <n v="673.33500000000004"/>
    <n v="0"/>
    <n v="4"/>
    <x v="1"/>
    <n v="10.17429737080689"/>
  </r>
  <r>
    <s v="ID-2347"/>
    <n v="16"/>
    <x v="0"/>
    <n v="13"/>
    <n v="1"/>
    <n v="9158"/>
    <n v="175"/>
    <n v="70"/>
    <n v="38"/>
    <n v="5"/>
    <n v="1"/>
    <n v="1"/>
    <n v="55"/>
    <n v="244.995"/>
    <n v="0"/>
    <n v="4"/>
    <x v="1"/>
    <n v="2.6752020091723083"/>
  </r>
  <r>
    <s v="ID-2348"/>
    <n v="12"/>
    <x v="0"/>
    <n v="14"/>
    <n v="3"/>
    <n v="3078"/>
    <n v="49"/>
    <n v="28"/>
    <n v="17"/>
    <n v="3"/>
    <n v="1"/>
    <n v="1"/>
    <n v="30"/>
    <n v="237.08"/>
    <n v="0"/>
    <n v="2"/>
    <x v="0"/>
    <n v="7.7024041585445095"/>
  </r>
  <r>
    <s v="ID-2349"/>
    <n v="6"/>
    <x v="0"/>
    <n v="7"/>
    <n v="1"/>
    <n v="4615"/>
    <n v="44"/>
    <n v="212"/>
    <n v="8"/>
    <n v="3"/>
    <n v="1"/>
    <n v="1"/>
    <n v="30"/>
    <n v="1034.3599999999999"/>
    <n v="0"/>
    <n v="0"/>
    <x v="0"/>
    <n v="22.413001083423616"/>
  </r>
  <r>
    <s v="ID-2350"/>
    <n v="7"/>
    <x v="1"/>
    <n v="7"/>
    <n v="1"/>
    <n v="1713"/>
    <n v="23"/>
    <n v="7"/>
    <n v="5"/>
    <n v="3"/>
    <n v="1"/>
    <n v="1"/>
    <n v="30"/>
    <n v="97.44"/>
    <n v="1"/>
    <n v="2"/>
    <x v="0"/>
    <n v="5.6882661996497372"/>
  </r>
  <r>
    <s v="ID-2351"/>
    <n v="18"/>
    <x v="0"/>
    <n v="46"/>
    <n v="2"/>
    <n v="4935"/>
    <n v="87"/>
    <n v="27"/>
    <n v="25"/>
    <n v="3"/>
    <n v="1"/>
    <n v="1"/>
    <n v="30"/>
    <n v="308.88"/>
    <n v="0"/>
    <n v="2"/>
    <x v="0"/>
    <n v="6.2589665653495441"/>
  </r>
  <r>
    <s v="ID-2352"/>
    <n v="10"/>
    <x v="0"/>
    <n v="47"/>
    <n v="0"/>
    <n v="883"/>
    <n v="21"/>
    <n v="29"/>
    <n v="12"/>
    <n v="3"/>
    <n v="1"/>
    <n v="2"/>
    <n v="30"/>
    <n v="152.16"/>
    <n v="0"/>
    <n v="1"/>
    <x v="0"/>
    <n v="17.232163080407702"/>
  </r>
  <r>
    <s v="ID-2353"/>
    <n v="20"/>
    <x v="0"/>
    <n v="45"/>
    <n v="2"/>
    <n v="3018"/>
    <n v="76"/>
    <n v="381"/>
    <n v="32"/>
    <n v="3"/>
    <n v="1"/>
    <n v="1"/>
    <n v="30"/>
    <n v="1647.76"/>
    <n v="0"/>
    <n v="2"/>
    <x v="0"/>
    <n v="54.597746852220006"/>
  </r>
  <r>
    <s v="ID-2354"/>
    <n v="20"/>
    <x v="0"/>
    <n v="46"/>
    <n v="2"/>
    <n v="4763"/>
    <n v="82"/>
    <n v="23"/>
    <n v="43"/>
    <n v="1"/>
    <n v="1"/>
    <n v="1"/>
    <n v="15"/>
    <n v="392.97500000000002"/>
    <n v="0"/>
    <n v="2"/>
    <x v="0"/>
    <n v="8.2505773672055422"/>
  </r>
  <r>
    <s v="ID-2355"/>
    <n v="13"/>
    <x v="0"/>
    <n v="46"/>
    <n v="2"/>
    <n v="2958"/>
    <n v="74"/>
    <n v="24"/>
    <n v="41"/>
    <n v="2"/>
    <n v="1"/>
    <n v="1"/>
    <n v="25"/>
    <n v="244.44"/>
    <n v="0"/>
    <n v="2"/>
    <x v="0"/>
    <n v="8.263691683569979"/>
  </r>
  <r>
    <s v="ID-2356"/>
    <n v="21"/>
    <x v="0"/>
    <n v="46"/>
    <n v="3"/>
    <n v="4340"/>
    <n v="98"/>
    <n v="54"/>
    <n v="36"/>
    <n v="3"/>
    <n v="1"/>
    <n v="1"/>
    <n v="30"/>
    <n v="393.52"/>
    <n v="0"/>
    <n v="2"/>
    <x v="0"/>
    <n v="9.0672811059907836"/>
  </r>
  <r>
    <s v="ID-2357"/>
    <n v="14"/>
    <x v="0"/>
    <n v="46"/>
    <n v="2"/>
    <n v="2925"/>
    <n v="55"/>
    <n v="307"/>
    <n v="26"/>
    <n v="4"/>
    <n v="1"/>
    <n v="1"/>
    <n v="45"/>
    <n v="842"/>
    <n v="0"/>
    <n v="2"/>
    <x v="0"/>
    <n v="28.786324786324784"/>
  </r>
  <r>
    <s v="ID-2358"/>
    <n v="23"/>
    <x v="0"/>
    <n v="45"/>
    <n v="4"/>
    <n v="9680"/>
    <n v="137"/>
    <n v="166"/>
    <n v="51"/>
    <n v="3"/>
    <n v="1"/>
    <n v="1"/>
    <n v="30"/>
    <n v="1056.68"/>
    <n v="0"/>
    <n v="3"/>
    <x v="1"/>
    <n v="10.91611570247934"/>
  </r>
  <r>
    <s v="ID-2359"/>
    <n v="17"/>
    <x v="0"/>
    <n v="46"/>
    <n v="2"/>
    <n v="14338"/>
    <n v="185"/>
    <n v="22"/>
    <n v="52"/>
    <n v="3"/>
    <n v="1"/>
    <n v="1"/>
    <n v="30"/>
    <n v="668.92"/>
    <n v="0"/>
    <n v="5"/>
    <x v="1"/>
    <n v="4.6653647649602457"/>
  </r>
  <r>
    <s v="ID-2360"/>
    <n v="17"/>
    <x v="0"/>
    <n v="46"/>
    <n v="3"/>
    <n v="5080"/>
    <n v="99"/>
    <n v="24"/>
    <n v="33"/>
    <n v="4"/>
    <n v="1"/>
    <n v="1"/>
    <n v="45"/>
    <n v="189.47499999999999"/>
    <n v="0"/>
    <n v="2"/>
    <x v="0"/>
    <n v="3.7298228346456694"/>
  </r>
  <r>
    <s v="ID-2361"/>
    <n v="16"/>
    <x v="0"/>
    <n v="46"/>
    <n v="2"/>
    <n v="6483"/>
    <n v="111"/>
    <n v="29"/>
    <n v="20"/>
    <n v="3"/>
    <n v="1"/>
    <n v="1"/>
    <n v="30"/>
    <n v="379.76"/>
    <n v="0"/>
    <n v="2"/>
    <x v="0"/>
    <n v="5.8577818910997994"/>
  </r>
  <r>
    <s v="ID-2362"/>
    <n v="19"/>
    <x v="0"/>
    <n v="46"/>
    <n v="0"/>
    <n v="2803"/>
    <n v="70"/>
    <n v="30"/>
    <n v="25"/>
    <n v="4"/>
    <n v="1"/>
    <n v="2"/>
    <n v="45"/>
    <n v="146.82499999999999"/>
    <n v="0"/>
    <n v="3"/>
    <x v="1"/>
    <n v="5.2381377095968604"/>
  </r>
  <r>
    <s v="ID-2363"/>
    <n v="35"/>
    <x v="0"/>
    <n v="46"/>
    <n v="5"/>
    <n v="15705"/>
    <n v="241"/>
    <n v="76"/>
    <n v="40"/>
    <n v="3"/>
    <n v="1"/>
    <n v="1"/>
    <n v="30"/>
    <n v="941.84"/>
    <n v="0"/>
    <n v="4"/>
    <x v="1"/>
    <n v="5.9970709964979312"/>
  </r>
  <r>
    <s v="ID-2364"/>
    <n v="14"/>
    <x v="0"/>
    <n v="46"/>
    <n v="3"/>
    <n v="3660"/>
    <n v="43"/>
    <n v="505"/>
    <n v="16"/>
    <n v="4"/>
    <n v="1"/>
    <n v="1"/>
    <n v="45"/>
    <n v="1355.075"/>
    <n v="0"/>
    <n v="2"/>
    <x v="0"/>
    <n v="37.023907103825138"/>
  </r>
  <r>
    <s v="ID-2365"/>
    <n v="19"/>
    <x v="0"/>
    <n v="45"/>
    <n v="2"/>
    <n v="16050"/>
    <n v="198"/>
    <n v="172"/>
    <n v="38"/>
    <n v="2"/>
    <n v="1"/>
    <n v="1"/>
    <n v="25"/>
    <n v="1505.16"/>
    <n v="0"/>
    <n v="4"/>
    <x v="1"/>
    <n v="9.3779439252336445"/>
  </r>
  <r>
    <s v="ID-2366"/>
    <n v="13"/>
    <x v="0"/>
    <n v="45"/>
    <n v="3"/>
    <n v="7065"/>
    <n v="102"/>
    <n v="208"/>
    <n v="34"/>
    <n v="4"/>
    <n v="1"/>
    <n v="1"/>
    <n v="45"/>
    <n v="699.17499999999995"/>
    <n v="0"/>
    <n v="2"/>
    <x v="0"/>
    <n v="9.8963198867657454"/>
  </r>
  <r>
    <s v="ID-2367"/>
    <n v="10"/>
    <x v="0"/>
    <n v="45"/>
    <n v="0"/>
    <n v="1440"/>
    <n v="30"/>
    <n v="22"/>
    <n v="19"/>
    <n v="3"/>
    <n v="1"/>
    <n v="2"/>
    <n v="30"/>
    <n v="146.80000000000001"/>
    <n v="0"/>
    <n v="1"/>
    <x v="0"/>
    <n v="10.194444444444445"/>
  </r>
  <r>
    <s v="ID-2368"/>
    <n v="12"/>
    <x v="0"/>
    <n v="46"/>
    <n v="0"/>
    <n v="1275"/>
    <n v="30"/>
    <n v="35"/>
    <n v="16"/>
    <n v="3"/>
    <n v="1"/>
    <n v="2"/>
    <n v="30"/>
    <n v="192.2"/>
    <n v="0"/>
    <n v="3"/>
    <x v="1"/>
    <n v="15.074509803921568"/>
  </r>
  <r>
    <s v="ID-2369"/>
    <n v="10"/>
    <x v="0"/>
    <n v="45"/>
    <n v="0"/>
    <n v="565"/>
    <n v="16"/>
    <n v="22"/>
    <n v="8"/>
    <n v="3"/>
    <n v="1"/>
    <n v="2"/>
    <n v="30"/>
    <n v="111.24"/>
    <n v="1"/>
    <n v="1"/>
    <x v="0"/>
    <n v="19.688495575221239"/>
  </r>
  <r>
    <s v="ID-2370"/>
    <n v="13"/>
    <x v="0"/>
    <n v="45"/>
    <n v="2"/>
    <n v="8073"/>
    <n v="143"/>
    <n v="406"/>
    <n v="51"/>
    <n v="3"/>
    <n v="1"/>
    <n v="1"/>
    <n v="30"/>
    <n v="1952.64"/>
    <n v="0"/>
    <n v="5"/>
    <x v="1"/>
    <n v="24.187290969899667"/>
  </r>
  <r>
    <s v="ID-2371"/>
    <n v="17"/>
    <x v="0"/>
    <n v="45"/>
    <n v="3"/>
    <n v="12030"/>
    <n v="170"/>
    <n v="33"/>
    <n v="55"/>
    <n v="4"/>
    <n v="1"/>
    <n v="1"/>
    <n v="45"/>
    <n v="387.5"/>
    <n v="0"/>
    <n v="5"/>
    <x v="1"/>
    <n v="3.2211138819617622"/>
  </r>
  <r>
    <s v="ID-2372"/>
    <n v="18"/>
    <x v="0"/>
    <n v="45"/>
    <n v="3"/>
    <n v="7283"/>
    <n v="91"/>
    <n v="130"/>
    <n v="45"/>
    <n v="2"/>
    <n v="1"/>
    <n v="1"/>
    <n v="25"/>
    <n v="916.83"/>
    <n v="0"/>
    <n v="2"/>
    <x v="0"/>
    <n v="12.588631058629687"/>
  </r>
  <r>
    <s v="ID-2373"/>
    <n v="33"/>
    <x v="1"/>
    <n v="41"/>
    <n v="0"/>
    <n v="1520"/>
    <n v="63"/>
    <n v="38"/>
    <n v="25"/>
    <n v="3"/>
    <n v="1"/>
    <n v="2"/>
    <n v="30"/>
    <n v="215.32"/>
    <n v="1"/>
    <n v="5"/>
    <x v="1"/>
    <n v="14.16578947368421"/>
  </r>
  <r>
    <s v="ID-2374"/>
    <n v="31"/>
    <x v="0"/>
    <n v="44"/>
    <n v="10"/>
    <n v="11000"/>
    <n v="109"/>
    <n v="23"/>
    <n v="50"/>
    <n v="5"/>
    <n v="1"/>
    <n v="1"/>
    <n v="55"/>
    <n v="201.13499999999999"/>
    <n v="0"/>
    <n v="3"/>
    <x v="1"/>
    <n v="1.8285"/>
  </r>
  <r>
    <s v="ID-2375"/>
    <n v="23"/>
    <x v="0"/>
    <n v="44"/>
    <n v="3"/>
    <n v="6383"/>
    <n v="114"/>
    <n v="48"/>
    <n v="32"/>
    <n v="3"/>
    <n v="1"/>
    <n v="1"/>
    <n v="30"/>
    <n v="451.88"/>
    <n v="0"/>
    <n v="2"/>
    <x v="0"/>
    <n v="7.0794297352342159"/>
  </r>
  <r>
    <s v="ID-2376"/>
    <n v="11"/>
    <x v="0"/>
    <n v="42"/>
    <n v="2"/>
    <n v="3405"/>
    <n v="38"/>
    <n v="22"/>
    <n v="22"/>
    <n v="4"/>
    <n v="1"/>
    <n v="1"/>
    <n v="45"/>
    <n v="141.07499999999999"/>
    <n v="0"/>
    <n v="2"/>
    <x v="0"/>
    <n v="4.1431718061674001"/>
  </r>
  <r>
    <s v="ID-2377"/>
    <n v="19"/>
    <x v="1"/>
    <n v="43"/>
    <n v="0"/>
    <n v="3555"/>
    <n v="57"/>
    <n v="31"/>
    <n v="24"/>
    <n v="3"/>
    <n v="1"/>
    <n v="2"/>
    <n v="30"/>
    <n v="268.48"/>
    <n v="1"/>
    <n v="5"/>
    <x v="1"/>
    <n v="7.5521800281293956"/>
  </r>
  <r>
    <s v="ID-2378"/>
    <n v="19"/>
    <x v="1"/>
    <n v="44"/>
    <n v="0"/>
    <n v="2833"/>
    <n v="60"/>
    <n v="56"/>
    <n v="39"/>
    <n v="4"/>
    <n v="1"/>
    <n v="2"/>
    <n v="45"/>
    <n v="212.32499999999999"/>
    <n v="1"/>
    <n v="5"/>
    <x v="1"/>
    <n v="7.4947052594422869"/>
  </r>
  <r>
    <s v="ID-2379"/>
    <n v="10"/>
    <x v="0"/>
    <n v="44"/>
    <n v="0"/>
    <n v="698"/>
    <n v="18"/>
    <n v="22"/>
    <n v="10"/>
    <n v="3"/>
    <n v="1"/>
    <n v="2"/>
    <n v="30"/>
    <n v="116.64"/>
    <n v="1"/>
    <n v="1"/>
    <x v="0"/>
    <n v="16.710601719197708"/>
  </r>
  <r>
    <s v="ID-2380"/>
    <n v="11"/>
    <x v="0"/>
    <n v="44"/>
    <n v="2"/>
    <n v="2233"/>
    <n v="41"/>
    <n v="22"/>
    <n v="14"/>
    <n v="4"/>
    <n v="1"/>
    <n v="1"/>
    <n v="45"/>
    <n v="111.85"/>
    <n v="0"/>
    <n v="2"/>
    <x v="0"/>
    <n v="5.0089565606806978"/>
  </r>
  <r>
    <s v="ID-2381"/>
    <n v="13"/>
    <x v="0"/>
    <n v="41"/>
    <n v="3"/>
    <n v="7350"/>
    <n v="113"/>
    <n v="36"/>
    <n v="30"/>
    <n v="5"/>
    <n v="1"/>
    <n v="1"/>
    <n v="55"/>
    <n v="165.94499999999999"/>
    <n v="0"/>
    <n v="2"/>
    <x v="0"/>
    <n v="2.2577551020408162"/>
  </r>
  <r>
    <s v="ID-2382"/>
    <n v="10"/>
    <x v="1"/>
    <n v="44"/>
    <n v="0"/>
    <n v="1193"/>
    <n v="23"/>
    <n v="31"/>
    <n v="12"/>
    <n v="4"/>
    <n v="1"/>
    <n v="2"/>
    <n v="45"/>
    <n v="107.9"/>
    <n v="1"/>
    <n v="3"/>
    <x v="1"/>
    <n v="9.0444258172673937"/>
  </r>
  <r>
    <s v="ID-2383"/>
    <n v="10"/>
    <x v="0"/>
    <n v="44"/>
    <n v="3"/>
    <n v="903"/>
    <n v="20"/>
    <n v="26"/>
    <n v="10"/>
    <n v="5"/>
    <n v="1"/>
    <n v="1"/>
    <n v="55"/>
    <n v="52.844999999999999"/>
    <n v="0"/>
    <n v="0"/>
    <x v="0"/>
    <n v="5.8521594684385381"/>
  </r>
  <r>
    <s v="ID-2384"/>
    <n v="35"/>
    <x v="0"/>
    <n v="39"/>
    <n v="5"/>
    <n v="16640"/>
    <n v="254"/>
    <n v="22"/>
    <n v="88"/>
    <n v="2"/>
    <n v="2"/>
    <n v="1"/>
    <n v="25"/>
    <n v="859.23"/>
    <n v="0"/>
    <n v="5"/>
    <x v="1"/>
    <n v="5.1636418269230777"/>
  </r>
  <r>
    <s v="ID-2385"/>
    <n v="16"/>
    <x v="1"/>
    <n v="42"/>
    <n v="5"/>
    <n v="7530"/>
    <n v="132"/>
    <n v="293"/>
    <n v="41"/>
    <n v="3"/>
    <n v="2"/>
    <n v="1"/>
    <n v="30"/>
    <n v="1478.48"/>
    <n v="0"/>
    <n v="4"/>
    <x v="1"/>
    <n v="19.634528552456839"/>
  </r>
  <r>
    <s v="ID-2386"/>
    <n v="12"/>
    <x v="0"/>
    <n v="44"/>
    <n v="2"/>
    <n v="4283"/>
    <n v="98"/>
    <n v="24"/>
    <n v="36"/>
    <n v="3"/>
    <n v="1"/>
    <n v="1"/>
    <n v="30"/>
    <n v="271.24"/>
    <n v="0"/>
    <n v="2"/>
    <x v="0"/>
    <n v="6.3329441979920613"/>
  </r>
  <r>
    <s v="ID-2387"/>
    <n v="13"/>
    <x v="0"/>
    <n v="43"/>
    <n v="0"/>
    <n v="2230"/>
    <n v="60"/>
    <n v="60"/>
    <n v="28"/>
    <n v="4"/>
    <n v="1"/>
    <n v="2"/>
    <n v="45"/>
    <n v="207.25"/>
    <n v="0"/>
    <n v="3"/>
    <x v="1"/>
    <n v="9.2937219730941703"/>
  </r>
  <r>
    <s v="ID-2388"/>
    <n v="16"/>
    <x v="0"/>
    <n v="44"/>
    <n v="2"/>
    <n v="3345"/>
    <n v="69"/>
    <n v="197"/>
    <n v="31"/>
    <n v="2"/>
    <n v="1"/>
    <n v="1"/>
    <n v="25"/>
    <n v="1040.1300000000001"/>
    <n v="0"/>
    <n v="2"/>
    <x v="0"/>
    <n v="31.095067264573995"/>
  </r>
  <r>
    <s v="ID-2389"/>
    <n v="14"/>
    <x v="0"/>
    <n v="35"/>
    <n v="3"/>
    <n v="1880"/>
    <n v="52"/>
    <n v="215"/>
    <n v="19"/>
    <n v="3"/>
    <n v="2"/>
    <n v="1"/>
    <n v="30"/>
    <n v="937.28"/>
    <n v="0"/>
    <n v="2"/>
    <x v="0"/>
    <n v="49.855319148936168"/>
  </r>
  <r>
    <s v="ID-2390"/>
    <n v="14"/>
    <x v="0"/>
    <n v="34"/>
    <n v="2"/>
    <n v="2133"/>
    <n v="55"/>
    <n v="52"/>
    <n v="76"/>
    <n v="5"/>
    <n v="1"/>
    <n v="1"/>
    <n v="55"/>
    <n v="110.82"/>
    <n v="0"/>
    <n v="3"/>
    <x v="1"/>
    <n v="5.195499296765119"/>
  </r>
  <r>
    <s v="ID-2391"/>
    <n v="21"/>
    <x v="0"/>
    <n v="35"/>
    <n v="0"/>
    <n v="1265"/>
    <n v="41"/>
    <n v="32"/>
    <n v="15"/>
    <n v="3"/>
    <n v="1"/>
    <n v="2"/>
    <n v="30"/>
    <n v="180.24"/>
    <n v="0"/>
    <n v="3"/>
    <x v="1"/>
    <n v="14.248221343873519"/>
  </r>
  <r>
    <s v="ID-2392"/>
    <n v="10"/>
    <x v="0"/>
    <n v="34"/>
    <n v="0"/>
    <n v="1390"/>
    <n v="26"/>
    <n v="43"/>
    <n v="11"/>
    <n v="4"/>
    <n v="1"/>
    <n v="2"/>
    <n v="45"/>
    <n v="142.9"/>
    <n v="0"/>
    <n v="1"/>
    <x v="0"/>
    <n v="10.280575539568346"/>
  </r>
  <r>
    <s v="ID-2393"/>
    <n v="20"/>
    <x v="0"/>
    <n v="33"/>
    <n v="2"/>
    <n v="1790"/>
    <n v="48"/>
    <n v="41"/>
    <n v="21"/>
    <n v="2"/>
    <n v="1"/>
    <n v="1"/>
    <n v="25"/>
    <n v="267.20999999999998"/>
    <n v="0"/>
    <n v="2"/>
    <x v="0"/>
    <n v="14.927932960893852"/>
  </r>
  <r>
    <s v="ID-2394"/>
    <n v="12"/>
    <x v="0"/>
    <n v="33"/>
    <n v="2"/>
    <n v="3790"/>
    <n v="77"/>
    <n v="30"/>
    <n v="31"/>
    <n v="4"/>
    <n v="1"/>
    <n v="1"/>
    <n v="45"/>
    <n v="171.67500000000001"/>
    <n v="0"/>
    <n v="2"/>
    <x v="0"/>
    <n v="4.5296833773087073"/>
  </r>
  <r>
    <s v="ID-2395"/>
    <n v="12"/>
    <x v="0"/>
    <n v="26"/>
    <n v="2"/>
    <n v="2260"/>
    <n v="42"/>
    <n v="50"/>
    <n v="22"/>
    <n v="3"/>
    <n v="1"/>
    <n v="1"/>
    <n v="30"/>
    <n v="292.08"/>
    <n v="0"/>
    <n v="2"/>
    <x v="0"/>
    <n v="12.923893805309733"/>
  </r>
  <r>
    <s v="ID-2396"/>
    <n v="26"/>
    <x v="0"/>
    <n v="25"/>
    <n v="3"/>
    <n v="6958"/>
    <n v="157"/>
    <n v="107"/>
    <n v="50"/>
    <n v="2"/>
    <n v="2"/>
    <n v="1"/>
    <n v="25"/>
    <n v="801.67499999999995"/>
    <n v="0"/>
    <n v="5"/>
    <x v="1"/>
    <n v="11.521629778672031"/>
  </r>
  <r>
    <s v="ID-2397"/>
    <n v="22"/>
    <x v="0"/>
    <n v="23"/>
    <n v="2"/>
    <n v="9498"/>
    <n v="187"/>
    <n v="95"/>
    <n v="48"/>
    <n v="5"/>
    <n v="1"/>
    <n v="1"/>
    <n v="55"/>
    <n v="287.77499999999998"/>
    <n v="0"/>
    <n v="5"/>
    <x v="1"/>
    <n v="3.0298483891345542"/>
  </r>
  <r>
    <s v="ID-2398"/>
    <n v="18"/>
    <x v="0"/>
    <n v="24"/>
    <n v="5"/>
    <n v="3418"/>
    <n v="61"/>
    <n v="53"/>
    <n v="27"/>
    <n v="4"/>
    <n v="2"/>
    <n v="1"/>
    <n v="45"/>
    <n v="219.47499999999999"/>
    <n v="0"/>
    <n v="2"/>
    <x v="0"/>
    <n v="6.4211527208894088"/>
  </r>
  <r>
    <s v="ID-2399"/>
    <n v="12"/>
    <x v="0"/>
    <n v="17"/>
    <n v="3"/>
    <n v="4955"/>
    <n v="56"/>
    <n v="237"/>
    <n v="18"/>
    <n v="3"/>
    <n v="1"/>
    <n v="1"/>
    <n v="30"/>
    <n v="1148.44"/>
    <n v="0"/>
    <n v="2"/>
    <x v="0"/>
    <n v="23.177396569122099"/>
  </r>
  <r>
    <s v="ID-2400"/>
    <n v="13"/>
    <x v="0"/>
    <n v="17"/>
    <n v="3"/>
    <n v="2053"/>
    <n v="35"/>
    <n v="22"/>
    <n v="15"/>
    <n v="3"/>
    <n v="1"/>
    <n v="1"/>
    <n v="30"/>
    <n v="171.52"/>
    <n v="1"/>
    <n v="2"/>
    <x v="0"/>
    <n v="8.3546030199707744"/>
  </r>
  <r>
    <s v="ID-2401"/>
    <n v="8"/>
    <x v="0"/>
    <n v="34"/>
    <n v="1"/>
    <n v="4415"/>
    <n v="67"/>
    <n v="7"/>
    <n v="13"/>
    <n v="3"/>
    <n v="1"/>
    <n v="1"/>
    <n v="30"/>
    <n v="207.28"/>
    <n v="0"/>
    <n v="0"/>
    <x v="0"/>
    <n v="4.6949037372593434"/>
  </r>
  <r>
    <s v="ID-2402"/>
    <n v="5"/>
    <x v="0"/>
    <n v="35"/>
    <n v="0"/>
    <n v="305"/>
    <n v="6"/>
    <n v="7"/>
    <n v="2"/>
    <n v="2"/>
    <n v="1"/>
    <n v="2"/>
    <n v="25"/>
    <n v="45.494999999999997"/>
    <n v="0"/>
    <n v="1"/>
    <x v="0"/>
    <n v="14.916393442622949"/>
  </r>
  <r>
    <s v="ID-2403"/>
    <n v="10"/>
    <x v="0"/>
    <n v="33"/>
    <n v="1"/>
    <n v="2498"/>
    <n v="56"/>
    <n v="351"/>
    <n v="20"/>
    <n v="3"/>
    <n v="1"/>
    <n v="1"/>
    <n v="30"/>
    <n v="1506.16"/>
    <n v="0"/>
    <n v="0"/>
    <x v="0"/>
    <n v="60.294635708566858"/>
  </r>
  <r>
    <s v="ID-2404"/>
    <n v="10"/>
    <x v="0"/>
    <n v="34"/>
    <n v="1"/>
    <n v="4243"/>
    <n v="62"/>
    <n v="7"/>
    <n v="31"/>
    <n v="2"/>
    <n v="1"/>
    <n v="1"/>
    <n v="25"/>
    <n v="225.22499999999999"/>
    <n v="0"/>
    <n v="0"/>
    <x v="0"/>
    <n v="5.3081546075889694"/>
  </r>
  <r>
    <s v="ID-2405"/>
    <n v="5"/>
    <x v="0"/>
    <n v="34"/>
    <n v="1"/>
    <n v="2438"/>
    <n v="54"/>
    <n v="7"/>
    <n v="29"/>
    <n v="1"/>
    <n v="1"/>
    <n v="1"/>
    <n v="15"/>
    <n v="175.56"/>
    <n v="0"/>
    <n v="0"/>
    <x v="0"/>
    <n v="7.2009844134536509"/>
  </r>
  <r>
    <s v="ID-2406"/>
    <n v="11"/>
    <x v="0"/>
    <n v="34"/>
    <n v="1"/>
    <n v="3820"/>
    <n v="78"/>
    <n v="24"/>
    <n v="24"/>
    <n v="3"/>
    <n v="1"/>
    <n v="1"/>
    <n v="30"/>
    <n v="251.92"/>
    <n v="0"/>
    <n v="2"/>
    <x v="0"/>
    <n v="6.5947643979057586"/>
  </r>
  <r>
    <s v="ID-2407"/>
    <n v="5"/>
    <x v="0"/>
    <n v="34"/>
    <n v="1"/>
    <n v="2405"/>
    <n v="35"/>
    <n v="277"/>
    <n v="14"/>
    <n v="3"/>
    <n v="1"/>
    <n v="1"/>
    <n v="30"/>
    <n v="1205.5999999999999"/>
    <n v="0"/>
    <n v="0"/>
    <x v="0"/>
    <n v="50.128898128898122"/>
  </r>
  <r>
    <s v="ID-2408"/>
    <n v="13"/>
    <x v="0"/>
    <n v="33"/>
    <n v="2"/>
    <n v="9160"/>
    <n v="117"/>
    <n v="136"/>
    <n v="39"/>
    <n v="3"/>
    <n v="1"/>
    <n v="1"/>
    <n v="30"/>
    <n v="915.08"/>
    <n v="0"/>
    <n v="2"/>
    <x v="0"/>
    <n v="9.98995633187773"/>
  </r>
  <r>
    <s v="ID-2409"/>
    <n v="7"/>
    <x v="0"/>
    <n v="34"/>
    <n v="1"/>
    <n v="13818"/>
    <n v="165"/>
    <n v="7"/>
    <n v="40"/>
    <n v="3"/>
    <n v="1"/>
    <n v="1"/>
    <n v="30"/>
    <n v="587.32000000000005"/>
    <n v="0"/>
    <n v="2"/>
    <x v="0"/>
    <n v="4.250398031553047"/>
  </r>
  <r>
    <s v="ID-2410"/>
    <n v="7"/>
    <x v="0"/>
    <n v="34"/>
    <n v="1"/>
    <n v="4560"/>
    <n v="79"/>
    <n v="7"/>
    <n v="21"/>
    <n v="3"/>
    <n v="1"/>
    <n v="1"/>
    <n v="30"/>
    <n v="213.56"/>
    <n v="0"/>
    <n v="0"/>
    <x v="0"/>
    <n v="4.6833333333333327"/>
  </r>
  <r>
    <s v="ID-2411"/>
    <n v="6"/>
    <x v="0"/>
    <n v="34"/>
    <n v="1"/>
    <n v="5963"/>
    <n v="91"/>
    <n v="7"/>
    <n v="8"/>
    <n v="3"/>
    <n v="1"/>
    <n v="1"/>
    <n v="30"/>
    <n v="270.16000000000003"/>
    <n v="0"/>
    <n v="0"/>
    <x v="0"/>
    <n v="4.5306053999664604"/>
  </r>
  <r>
    <s v="ID-2412"/>
    <n v="9"/>
    <x v="0"/>
    <n v="34"/>
    <n v="0"/>
    <n v="2283"/>
    <n v="50"/>
    <n v="7"/>
    <n v="13"/>
    <n v="3"/>
    <n v="1"/>
    <n v="2"/>
    <n v="30"/>
    <n v="121.32"/>
    <n v="0"/>
    <n v="1"/>
    <x v="0"/>
    <n v="5.3140604467805517"/>
  </r>
  <r>
    <s v="ID-2413"/>
    <n v="25"/>
    <x v="0"/>
    <n v="34"/>
    <n v="3"/>
    <n v="15185"/>
    <n v="221"/>
    <n v="46"/>
    <n v="28"/>
    <n v="3"/>
    <n v="1"/>
    <n v="1"/>
    <n v="30"/>
    <n v="800.24"/>
    <n v="0"/>
    <n v="4"/>
    <x v="1"/>
    <n v="5.2699374382614419"/>
  </r>
  <r>
    <s v="ID-2414"/>
    <n v="5"/>
    <x v="0"/>
    <n v="34"/>
    <n v="1"/>
    <n v="3140"/>
    <n v="23"/>
    <n v="475"/>
    <n v="4"/>
    <n v="3"/>
    <n v="1"/>
    <n v="1"/>
    <n v="30"/>
    <n v="2026.52"/>
    <n v="0"/>
    <n v="0"/>
    <x v="0"/>
    <n v="64.538853503184711"/>
  </r>
  <r>
    <s v="ID-2415"/>
    <n v="9"/>
    <x v="0"/>
    <n v="33"/>
    <n v="1"/>
    <n v="15530"/>
    <n v="178"/>
    <n v="142"/>
    <n v="26"/>
    <n v="2"/>
    <n v="1"/>
    <n v="1"/>
    <n v="25"/>
    <n v="1345.86"/>
    <n v="0"/>
    <n v="2"/>
    <x v="0"/>
    <n v="8.6661944623309708"/>
  </r>
  <r>
    <s v="ID-2416"/>
    <n v="5"/>
    <x v="0"/>
    <n v="33"/>
    <n v="1"/>
    <n v="6545"/>
    <n v="82"/>
    <n v="178"/>
    <n v="22"/>
    <n v="3"/>
    <n v="1"/>
    <n v="1"/>
    <n v="30"/>
    <n v="977.08"/>
    <n v="0"/>
    <n v="0"/>
    <x v="0"/>
    <n v="14.92864782276547"/>
  </r>
  <r>
    <s v="ID-2417"/>
    <n v="5"/>
    <x v="0"/>
    <n v="33"/>
    <n v="0"/>
    <n v="920"/>
    <n v="10"/>
    <n v="7"/>
    <n v="7"/>
    <n v="2"/>
    <n v="1"/>
    <n v="2"/>
    <n v="25"/>
    <n v="73.349999999999994"/>
    <n v="0"/>
    <n v="1"/>
    <x v="0"/>
    <n v="7.9728260869565206"/>
  </r>
  <r>
    <s v="ID-2418"/>
    <n v="5"/>
    <x v="0"/>
    <n v="34"/>
    <n v="0"/>
    <n v="755"/>
    <n v="10"/>
    <n v="7"/>
    <n v="4"/>
    <n v="3"/>
    <n v="1"/>
    <n v="2"/>
    <n v="30"/>
    <n v="58.6"/>
    <n v="0"/>
    <n v="1"/>
    <x v="0"/>
    <n v="7.7615894039735096"/>
  </r>
  <r>
    <s v="ID-2419"/>
    <n v="5"/>
    <x v="0"/>
    <n v="33"/>
    <n v="0"/>
    <n v="305"/>
    <n v="6"/>
    <n v="7"/>
    <n v="2"/>
    <n v="2"/>
    <n v="1"/>
    <n v="2"/>
    <n v="25"/>
    <n v="45.494999999999997"/>
    <n v="1"/>
    <n v="1"/>
    <x v="0"/>
    <n v="14.916393442622949"/>
  </r>
  <r>
    <s v="ID-2420"/>
    <n v="5"/>
    <x v="0"/>
    <n v="33"/>
    <n v="1"/>
    <n v="7553"/>
    <n v="123"/>
    <n v="376"/>
    <n v="39"/>
    <n v="2"/>
    <n v="1"/>
    <n v="1"/>
    <n v="25"/>
    <n v="2037.42"/>
    <n v="0"/>
    <n v="0"/>
    <x v="0"/>
    <n v="26.974976830398518"/>
  </r>
  <r>
    <s v="ID-2421"/>
    <n v="7"/>
    <x v="0"/>
    <n v="33"/>
    <n v="1"/>
    <n v="11510"/>
    <n v="150"/>
    <n v="7"/>
    <n v="43"/>
    <n v="4"/>
    <n v="1"/>
    <n v="1"/>
    <n v="45"/>
    <n v="309"/>
    <n v="0"/>
    <n v="2"/>
    <x v="0"/>
    <n v="2.6846220677671591"/>
  </r>
  <r>
    <s v="ID-2422"/>
    <n v="8"/>
    <x v="0"/>
    <n v="33"/>
    <n v="1"/>
    <n v="6763"/>
    <n v="71"/>
    <n v="100"/>
    <n v="33"/>
    <n v="2"/>
    <n v="1"/>
    <n v="1"/>
    <n v="25"/>
    <n v="757.53"/>
    <n v="0"/>
    <n v="0"/>
    <x v="0"/>
    <n v="11.201094188969392"/>
  </r>
  <r>
    <s v="ID-2423"/>
    <n v="23"/>
    <x v="0"/>
    <n v="29"/>
    <n v="0"/>
    <n v="1000"/>
    <n v="43"/>
    <n v="8"/>
    <n v="13"/>
    <n v="2"/>
    <n v="1"/>
    <n v="2"/>
    <n v="25"/>
    <n v="82.935000000000002"/>
    <n v="1"/>
    <n v="3"/>
    <x v="1"/>
    <n v="8.2935000000000016"/>
  </r>
  <r>
    <s v="ID-2424"/>
    <n v="21"/>
    <x v="0"/>
    <n v="32"/>
    <n v="8"/>
    <n v="10480"/>
    <n v="89"/>
    <n v="7"/>
    <n v="38"/>
    <n v="5"/>
    <n v="1"/>
    <n v="1"/>
    <n v="55"/>
    <n v="169.035"/>
    <n v="0"/>
    <n v="2"/>
    <x v="0"/>
    <n v="1.612929389312977"/>
  </r>
  <r>
    <s v="ID-2425"/>
    <n v="13"/>
    <x v="0"/>
    <n v="32"/>
    <n v="1"/>
    <n v="5863"/>
    <n v="94"/>
    <n v="18"/>
    <n v="20"/>
    <n v="2"/>
    <n v="1"/>
    <n v="1"/>
    <n v="25"/>
    <n v="349.065"/>
    <n v="1"/>
    <n v="2"/>
    <x v="0"/>
    <n v="5.9536926488145996"/>
  </r>
  <r>
    <s v="ID-2426"/>
    <n v="5"/>
    <x v="0"/>
    <n v="30"/>
    <n v="1"/>
    <n v="2885"/>
    <n v="18"/>
    <n v="7"/>
    <n v="10"/>
    <n v="3"/>
    <n v="1"/>
    <n v="1"/>
    <n v="30"/>
    <n v="144.12"/>
    <n v="0"/>
    <n v="0"/>
    <x v="0"/>
    <n v="4.9954939341421145"/>
  </r>
  <r>
    <s v="ID-2427"/>
    <n v="9"/>
    <x v="0"/>
    <n v="31"/>
    <n v="0"/>
    <n v="3035"/>
    <n v="37"/>
    <n v="7"/>
    <n v="12"/>
    <n v="3"/>
    <n v="1"/>
    <n v="2"/>
    <n v="30"/>
    <n v="150.88"/>
    <n v="1"/>
    <n v="1"/>
    <x v="0"/>
    <n v="4.9713344316309724"/>
  </r>
  <r>
    <s v="ID-2428"/>
    <n v="9"/>
    <x v="1"/>
    <n v="32"/>
    <n v="0"/>
    <n v="2313"/>
    <n v="40"/>
    <n v="26"/>
    <n v="27"/>
    <n v="3"/>
    <n v="1"/>
    <n v="2"/>
    <n v="30"/>
    <n v="198.12"/>
    <n v="1"/>
    <n v="3"/>
    <x v="1"/>
    <n v="8.5654993514915692"/>
  </r>
  <r>
    <s v="ID-2429"/>
    <n v="5"/>
    <x v="0"/>
    <n v="32"/>
    <n v="0"/>
    <n v="305"/>
    <n v="6"/>
    <n v="7"/>
    <n v="2"/>
    <n v="3"/>
    <n v="1"/>
    <n v="2"/>
    <n v="30"/>
    <n v="40.44"/>
    <n v="1"/>
    <n v="1"/>
    <x v="0"/>
    <n v="13.259016393442622"/>
  </r>
  <r>
    <s v="ID-2430"/>
    <n v="5"/>
    <x v="0"/>
    <n v="32"/>
    <n v="1"/>
    <n v="305"/>
    <n v="6"/>
    <n v="7"/>
    <n v="2"/>
    <n v="3"/>
    <n v="1"/>
    <n v="1"/>
    <n v="30"/>
    <n v="40.44"/>
    <n v="0"/>
    <n v="0"/>
    <x v="0"/>
    <n v="13.259016393442622"/>
  </r>
  <r>
    <s v="ID-2431"/>
    <n v="5"/>
    <x v="0"/>
    <n v="29"/>
    <n v="1"/>
    <n v="6830"/>
    <n v="93"/>
    <n v="7"/>
    <n v="18"/>
    <n v="5"/>
    <n v="1"/>
    <n v="1"/>
    <n v="55"/>
    <n v="114.345"/>
    <n v="0"/>
    <n v="0"/>
    <x v="0"/>
    <n v="1.6741581259150804"/>
  </r>
  <r>
    <s v="ID-2432"/>
    <n v="5"/>
    <x v="0"/>
    <n v="32"/>
    <n v="0"/>
    <n v="305"/>
    <n v="6"/>
    <n v="7"/>
    <n v="2"/>
    <n v="4"/>
    <n v="1"/>
    <n v="2"/>
    <n v="45"/>
    <n v="25.274999999999999"/>
    <n v="1"/>
    <n v="1"/>
    <x v="0"/>
    <n v="8.2868852459016384"/>
  </r>
  <r>
    <s v="ID-2433"/>
    <n v="5"/>
    <x v="0"/>
    <n v="32"/>
    <n v="1"/>
    <n v="305"/>
    <n v="6"/>
    <n v="7"/>
    <n v="2"/>
    <n v="5"/>
    <n v="1"/>
    <n v="1"/>
    <n v="55"/>
    <n v="15.164999999999999"/>
    <n v="1"/>
    <n v="0"/>
    <x v="0"/>
    <n v="4.9721311475409831"/>
  </r>
  <r>
    <s v="ID-2434"/>
    <n v="25"/>
    <x v="0"/>
    <n v="27"/>
    <n v="3"/>
    <n v="16120"/>
    <n v="234"/>
    <n v="7"/>
    <n v="76"/>
    <n v="2"/>
    <n v="1"/>
    <n v="1"/>
    <n v="25"/>
    <n v="767.43"/>
    <n v="0"/>
    <n v="5"/>
    <x v="1"/>
    <n v="4.7607320099255581"/>
  </r>
  <r>
    <s v="ID-2435"/>
    <n v="6"/>
    <x v="0"/>
    <n v="30"/>
    <n v="3"/>
    <n v="7010"/>
    <n v="112"/>
    <n v="263"/>
    <n v="29"/>
    <n v="2"/>
    <n v="2"/>
    <n v="1"/>
    <n v="25"/>
    <n v="1503.99"/>
    <n v="0"/>
    <n v="0"/>
    <x v="0"/>
    <n v="21.454921540656205"/>
  </r>
  <r>
    <s v="ID-2436"/>
    <n v="5"/>
    <x v="0"/>
    <n v="32"/>
    <n v="1"/>
    <n v="3763"/>
    <n v="78"/>
    <n v="7"/>
    <n v="24"/>
    <n v="2"/>
    <n v="1"/>
    <n v="1"/>
    <n v="25"/>
    <n v="204.345"/>
    <n v="0"/>
    <n v="0"/>
    <x v="0"/>
    <n v="5.4303747010364072"/>
  </r>
  <r>
    <s v="ID-2437"/>
    <n v="5"/>
    <x v="0"/>
    <n v="31"/>
    <n v="0"/>
    <n v="1710"/>
    <n v="40"/>
    <n v="30"/>
    <n v="16"/>
    <n v="3"/>
    <n v="1"/>
    <n v="2"/>
    <n v="30"/>
    <n v="190"/>
    <n v="0"/>
    <n v="1"/>
    <x v="0"/>
    <n v="11.111111111111111"/>
  </r>
  <r>
    <s v="ID-2438"/>
    <n v="6"/>
    <x v="0"/>
    <n v="32"/>
    <n v="1"/>
    <n v="2825"/>
    <n v="49"/>
    <n v="167"/>
    <n v="19"/>
    <n v="2"/>
    <n v="1"/>
    <n v="1"/>
    <n v="25"/>
    <n v="880.83"/>
    <n v="0"/>
    <n v="0"/>
    <x v="0"/>
    <n v="31.17982300884956"/>
  </r>
  <r>
    <s v="ID-2439"/>
    <n v="5"/>
    <x v="0"/>
    <n v="23"/>
    <n v="1"/>
    <n v="1360"/>
    <n v="32"/>
    <n v="185"/>
    <n v="7"/>
    <n v="2"/>
    <n v="2"/>
    <n v="1"/>
    <n v="25"/>
    <n v="895.14"/>
    <n v="0"/>
    <n v="0"/>
    <x v="0"/>
    <n v="65.819117647058818"/>
  </r>
  <r>
    <s v="ID-2440"/>
    <n v="5"/>
    <x v="0"/>
    <n v="22"/>
    <n v="1"/>
    <n v="1613"/>
    <n v="35"/>
    <n v="22"/>
    <n v="64"/>
    <n v="4"/>
    <n v="1"/>
    <n v="1"/>
    <n v="45"/>
    <n v="96.2"/>
    <n v="0"/>
    <n v="1"/>
    <x v="0"/>
    <n v="5.9640421574705522"/>
  </r>
  <r>
    <s v="ID-2441"/>
    <n v="11"/>
    <x v="0"/>
    <n v="23"/>
    <n v="0"/>
    <n v="745"/>
    <n v="21"/>
    <n v="7"/>
    <n v="3"/>
    <n v="2"/>
    <n v="1"/>
    <n v="2"/>
    <n v="25"/>
    <n v="65.97"/>
    <n v="0"/>
    <n v="3"/>
    <x v="1"/>
    <n v="8.8550335570469798"/>
  </r>
  <r>
    <s v="ID-2442"/>
    <n v="5"/>
    <x v="0"/>
    <n v="22"/>
    <n v="0"/>
    <n v="305"/>
    <n v="6"/>
    <n v="13"/>
    <n v="2"/>
    <n v="4"/>
    <n v="1"/>
    <n v="2"/>
    <n v="45"/>
    <n v="40.274999999999999"/>
    <n v="0"/>
    <n v="1"/>
    <x v="0"/>
    <n v="13.204918032786885"/>
  </r>
  <r>
    <s v="ID-2443"/>
    <n v="10"/>
    <x v="0"/>
    <n v="21"/>
    <n v="1"/>
    <n v="1270"/>
    <n v="28"/>
    <n v="11"/>
    <n v="9"/>
    <n v="2"/>
    <n v="1"/>
    <n v="1"/>
    <n v="25"/>
    <n v="107.91"/>
    <n v="0"/>
    <n v="0"/>
    <x v="0"/>
    <n v="8.4968503937007878"/>
  </r>
  <r>
    <s v="ID-2444"/>
    <n v="5"/>
    <x v="0"/>
    <n v="21"/>
    <n v="1"/>
    <n v="3270"/>
    <n v="57"/>
    <n v="7"/>
    <n v="19"/>
    <n v="3"/>
    <n v="1"/>
    <n v="1"/>
    <n v="30"/>
    <n v="161.08000000000001"/>
    <n v="0"/>
    <n v="0"/>
    <x v="0"/>
    <n v="4.9259938837920494"/>
  </r>
  <r>
    <s v="ID-2445"/>
    <n v="5"/>
    <x v="0"/>
    <n v="14"/>
    <n v="1"/>
    <n v="1740"/>
    <n v="22"/>
    <n v="20"/>
    <n v="10"/>
    <n v="2"/>
    <n v="1"/>
    <n v="1"/>
    <n v="25"/>
    <n v="169.29"/>
    <n v="0"/>
    <n v="0"/>
    <x v="0"/>
    <n v="9.7293103448275851"/>
  </r>
  <r>
    <s v="ID-2446"/>
    <n v="16"/>
    <x v="0"/>
    <n v="13"/>
    <n v="1"/>
    <n v="6438"/>
    <n v="137"/>
    <n v="77"/>
    <n v="38"/>
    <n v="2"/>
    <n v="2"/>
    <n v="1"/>
    <n v="25"/>
    <n v="642.375"/>
    <n v="0"/>
    <n v="2"/>
    <x v="0"/>
    <n v="9.9778657968313151"/>
  </r>
  <r>
    <s v="ID-2447"/>
    <n v="12"/>
    <x v="0"/>
    <n v="11"/>
    <n v="1"/>
    <n v="8978"/>
    <n v="167"/>
    <n v="65"/>
    <n v="36"/>
    <n v="4"/>
    <n v="1"/>
    <n v="1"/>
    <n v="45"/>
    <n v="391.125"/>
    <n v="0"/>
    <n v="4"/>
    <x v="1"/>
    <n v="4.3564825128090883"/>
  </r>
  <r>
    <s v="ID-2448"/>
    <n v="8"/>
    <x v="0"/>
    <n v="12"/>
    <n v="3"/>
    <n v="2898"/>
    <n v="41"/>
    <n v="23"/>
    <n v="15"/>
    <n v="3"/>
    <n v="1"/>
    <n v="1"/>
    <n v="30"/>
    <n v="209.56"/>
    <n v="0"/>
    <n v="0"/>
    <x v="0"/>
    <n v="7.2311939268461005"/>
  </r>
  <r>
    <s v="ID-2449"/>
    <n v="5"/>
    <x v="0"/>
    <n v="5"/>
    <n v="1"/>
    <n v="4435"/>
    <n v="36"/>
    <n v="207"/>
    <n v="6"/>
    <n v="3"/>
    <n v="1"/>
    <n v="1"/>
    <n v="30"/>
    <n v="1006.84"/>
    <n v="0"/>
    <n v="0"/>
    <x v="0"/>
    <n v="22.702142051860204"/>
  </r>
  <r>
    <s v="ID-2450"/>
    <n v="5"/>
    <x v="1"/>
    <n v="5"/>
    <n v="0"/>
    <n v="1533"/>
    <n v="15"/>
    <n v="7"/>
    <n v="3"/>
    <n v="3"/>
    <n v="1"/>
    <n v="1"/>
    <n v="30"/>
    <n v="89.92"/>
    <n v="1"/>
    <n v="3"/>
    <x v="1"/>
    <n v="5.8656229615133721"/>
  </r>
  <r>
    <s v="ID-2451"/>
    <n v="15"/>
    <x v="0"/>
    <n v="43"/>
    <n v="1"/>
    <n v="4855"/>
    <n v="85"/>
    <n v="23"/>
    <n v="24"/>
    <n v="3"/>
    <n v="1"/>
    <n v="1"/>
    <n v="30"/>
    <n v="289.60000000000002"/>
    <n v="0"/>
    <n v="2"/>
    <x v="0"/>
    <n v="5.9649845520082394"/>
  </r>
  <r>
    <s v="ID-2452"/>
    <n v="7"/>
    <x v="0"/>
    <n v="44"/>
    <n v="0"/>
    <n v="803"/>
    <n v="19"/>
    <n v="25"/>
    <n v="11"/>
    <n v="3"/>
    <n v="1"/>
    <n v="2"/>
    <n v="30"/>
    <n v="132.88"/>
    <n v="0"/>
    <n v="1"/>
    <x v="0"/>
    <n v="16.547945205479451"/>
  </r>
  <r>
    <s v="ID-2453"/>
    <n v="17"/>
    <x v="0"/>
    <n v="42"/>
    <n v="1"/>
    <n v="2938"/>
    <n v="74"/>
    <n v="377"/>
    <n v="31"/>
    <n v="3"/>
    <n v="1"/>
    <n v="1"/>
    <n v="30"/>
    <n v="1628.48"/>
    <n v="0"/>
    <n v="2"/>
    <x v="0"/>
    <n v="55.428182437031992"/>
  </r>
  <r>
    <s v="ID-2454"/>
    <n v="17"/>
    <x v="0"/>
    <n v="43"/>
    <n v="1"/>
    <n v="4683"/>
    <n v="80"/>
    <n v="19"/>
    <n v="42"/>
    <n v="1"/>
    <n v="1"/>
    <n v="1"/>
    <n v="15"/>
    <n v="366.46499999999997"/>
    <n v="0"/>
    <n v="2"/>
    <x v="0"/>
    <n v="7.8254324151185131"/>
  </r>
  <r>
    <s v="ID-2455"/>
    <n v="10"/>
    <x v="0"/>
    <n v="43"/>
    <n v="1"/>
    <n v="2878"/>
    <n v="72"/>
    <n v="20"/>
    <n v="40"/>
    <n v="2"/>
    <n v="1"/>
    <n v="1"/>
    <n v="25"/>
    <n v="222.75"/>
    <n v="0"/>
    <n v="0"/>
    <x v="0"/>
    <n v="7.7397498262682412"/>
  </r>
  <r>
    <s v="ID-2456"/>
    <n v="18"/>
    <x v="0"/>
    <n v="43"/>
    <n v="2"/>
    <n v="4260"/>
    <n v="96"/>
    <n v="50"/>
    <n v="35"/>
    <n v="3"/>
    <n v="1"/>
    <n v="1"/>
    <n v="30"/>
    <n v="374.24"/>
    <n v="0"/>
    <n v="2"/>
    <x v="0"/>
    <n v="8.7849765258215964"/>
  </r>
  <r>
    <s v="ID-2457"/>
    <n v="11"/>
    <x v="0"/>
    <n v="43"/>
    <n v="1"/>
    <n v="2845"/>
    <n v="53"/>
    <n v="303"/>
    <n v="25"/>
    <n v="3"/>
    <n v="1"/>
    <n v="1"/>
    <n v="30"/>
    <n v="1327.92"/>
    <n v="0"/>
    <n v="2"/>
    <x v="0"/>
    <n v="46.675571177504395"/>
  </r>
  <r>
    <s v="ID-2458"/>
    <n v="20"/>
    <x v="0"/>
    <n v="42"/>
    <n v="3"/>
    <n v="9600"/>
    <n v="135"/>
    <n v="162"/>
    <n v="50"/>
    <n v="3"/>
    <n v="1"/>
    <n v="1"/>
    <n v="30"/>
    <n v="1037.4000000000001"/>
    <n v="0"/>
    <n v="3"/>
    <x v="1"/>
    <n v="10.80625"/>
  </r>
  <r>
    <s v="ID-2459"/>
    <n v="14"/>
    <x v="0"/>
    <n v="43"/>
    <n v="1"/>
    <n v="14258"/>
    <n v="183"/>
    <n v="18"/>
    <n v="51"/>
    <n v="3"/>
    <n v="1"/>
    <n v="1"/>
    <n v="30"/>
    <n v="649.64"/>
    <n v="0"/>
    <n v="5"/>
    <x v="1"/>
    <n v="4.556319259363165"/>
  </r>
  <r>
    <s v="ID-2460"/>
    <n v="14"/>
    <x v="0"/>
    <n v="43"/>
    <n v="2"/>
    <n v="5000"/>
    <n v="97"/>
    <n v="20"/>
    <n v="32"/>
    <n v="3"/>
    <n v="1"/>
    <n v="1"/>
    <n v="30"/>
    <n v="283.88"/>
    <n v="0"/>
    <n v="2"/>
    <x v="0"/>
    <n v="5.6776"/>
  </r>
  <r>
    <s v="ID-2461"/>
    <n v="13"/>
    <x v="0"/>
    <n v="43"/>
    <n v="1"/>
    <n v="6403"/>
    <n v="109"/>
    <n v="25"/>
    <n v="19"/>
    <n v="3"/>
    <n v="1"/>
    <n v="1"/>
    <n v="30"/>
    <n v="360.48"/>
    <n v="0"/>
    <n v="2"/>
    <x v="0"/>
    <n v="5.629861002655006"/>
  </r>
  <r>
    <s v="ID-2462"/>
    <n v="16"/>
    <x v="1"/>
    <n v="43"/>
    <n v="0"/>
    <n v="2723"/>
    <n v="68"/>
    <n v="26"/>
    <n v="24"/>
    <n v="3"/>
    <n v="1"/>
    <n v="2"/>
    <n v="30"/>
    <n v="215.64"/>
    <n v="0"/>
    <n v="5"/>
    <x v="1"/>
    <n v="7.9192067572530291"/>
  </r>
  <r>
    <s v="ID-2463"/>
    <n v="32"/>
    <x v="0"/>
    <n v="43"/>
    <n v="4"/>
    <n v="15625"/>
    <n v="239"/>
    <n v="72"/>
    <n v="39"/>
    <n v="3"/>
    <n v="1"/>
    <n v="1"/>
    <n v="30"/>
    <n v="922.56"/>
    <n v="0"/>
    <n v="4"/>
    <x v="1"/>
    <n v="5.9043839999999994"/>
  </r>
  <r>
    <s v="ID-2464"/>
    <n v="11"/>
    <x v="0"/>
    <n v="43"/>
    <n v="2"/>
    <n v="3580"/>
    <n v="41"/>
    <n v="501"/>
    <n v="15"/>
    <n v="3"/>
    <n v="1"/>
    <n v="1"/>
    <n v="30"/>
    <n v="2148.84"/>
    <n v="0"/>
    <n v="2"/>
    <x v="0"/>
    <n v="60.023463687150844"/>
  </r>
  <r>
    <s v="ID-2465"/>
    <n v="16"/>
    <x v="0"/>
    <n v="42"/>
    <n v="1"/>
    <n v="15970"/>
    <n v="196"/>
    <n v="168"/>
    <n v="37"/>
    <n v="2"/>
    <n v="1"/>
    <n v="1"/>
    <n v="25"/>
    <n v="1483.47"/>
    <n v="0"/>
    <n v="4"/>
    <x v="1"/>
    <n v="9.2891045710707587"/>
  </r>
  <r>
    <s v="ID-2466"/>
    <n v="10"/>
    <x v="0"/>
    <n v="42"/>
    <n v="2"/>
    <n v="6985"/>
    <n v="100"/>
    <n v="204"/>
    <n v="33"/>
    <n v="3"/>
    <n v="1"/>
    <n v="1"/>
    <n v="30"/>
    <n v="1099.4000000000001"/>
    <n v="0"/>
    <n v="0"/>
    <x v="0"/>
    <n v="15.739441660701505"/>
  </r>
  <r>
    <s v="ID-2467"/>
    <n v="7"/>
    <x v="0"/>
    <n v="42"/>
    <n v="0"/>
    <n v="1360"/>
    <n v="28"/>
    <n v="18"/>
    <n v="18"/>
    <n v="2"/>
    <n v="1"/>
    <n v="2"/>
    <n v="25"/>
    <n v="143.46"/>
    <n v="0"/>
    <n v="1"/>
    <x v="0"/>
    <n v="10.548529411764706"/>
  </r>
  <r>
    <s v="ID-2468"/>
    <n v="9"/>
    <x v="0"/>
    <n v="43"/>
    <n v="0"/>
    <n v="1195"/>
    <n v="28"/>
    <n v="31"/>
    <n v="15"/>
    <n v="3"/>
    <n v="1"/>
    <n v="2"/>
    <n v="30"/>
    <n v="172.92"/>
    <n v="0"/>
    <n v="1"/>
    <x v="0"/>
    <n v="14.470292887029288"/>
  </r>
  <r>
    <s v="ID-2469"/>
    <n v="7"/>
    <x v="0"/>
    <n v="42"/>
    <n v="0"/>
    <n v="485"/>
    <n v="14"/>
    <n v="18"/>
    <n v="7"/>
    <n v="2"/>
    <n v="1"/>
    <n v="2"/>
    <n v="25"/>
    <n v="103.455"/>
    <n v="1"/>
    <n v="1"/>
    <x v="0"/>
    <n v="21.330927835051547"/>
  </r>
  <r>
    <s v="ID-2470"/>
    <n v="10"/>
    <x v="0"/>
    <n v="42"/>
    <n v="1"/>
    <n v="7993"/>
    <n v="141"/>
    <n v="402"/>
    <n v="50"/>
    <n v="3"/>
    <n v="1"/>
    <n v="1"/>
    <n v="30"/>
    <n v="1933.36"/>
    <n v="0"/>
    <n v="3"/>
    <x v="1"/>
    <n v="24.188164644063555"/>
  </r>
  <r>
    <s v="ID-2471"/>
    <n v="14"/>
    <x v="0"/>
    <n v="42"/>
    <n v="2"/>
    <n v="11950"/>
    <n v="168"/>
    <n v="29"/>
    <n v="54"/>
    <n v="4"/>
    <n v="1"/>
    <n v="1"/>
    <n v="45"/>
    <n v="375.45"/>
    <n v="0"/>
    <n v="5"/>
    <x v="1"/>
    <n v="3.1418410041841005"/>
  </r>
  <r>
    <s v="ID-2472"/>
    <n v="15"/>
    <x v="0"/>
    <n v="42"/>
    <n v="2"/>
    <n v="7203"/>
    <n v="89"/>
    <n v="126"/>
    <n v="44"/>
    <n v="2"/>
    <n v="1"/>
    <n v="1"/>
    <n v="25"/>
    <n v="895.14"/>
    <n v="0"/>
    <n v="2"/>
    <x v="0"/>
    <n v="12.427321949187837"/>
  </r>
  <r>
    <s v="ID-2473"/>
    <n v="30"/>
    <x v="0"/>
    <n v="38"/>
    <n v="0"/>
    <n v="1440"/>
    <n v="61"/>
    <n v="34"/>
    <n v="24"/>
    <n v="3"/>
    <n v="1"/>
    <n v="2"/>
    <n v="30"/>
    <n v="196.04"/>
    <n v="1"/>
    <n v="3"/>
    <x v="1"/>
    <n v="13.613888888888889"/>
  </r>
  <r>
    <s v="ID-2474"/>
    <n v="28"/>
    <x v="0"/>
    <n v="41"/>
    <n v="9"/>
    <n v="10920"/>
    <n v="107"/>
    <n v="19"/>
    <n v="49"/>
    <n v="5"/>
    <n v="2"/>
    <n v="1"/>
    <n v="55"/>
    <n v="193.905"/>
    <n v="0"/>
    <n v="3"/>
    <x v="1"/>
    <n v="1.7756868131868133"/>
  </r>
  <r>
    <s v="ID-2475"/>
    <n v="20"/>
    <x v="0"/>
    <n v="41"/>
    <n v="2"/>
    <n v="6303"/>
    <n v="112"/>
    <n v="44"/>
    <n v="31"/>
    <n v="2"/>
    <n v="1"/>
    <n v="1"/>
    <n v="25"/>
    <n v="486.67500000000001"/>
    <n v="0"/>
    <n v="2"/>
    <x v="0"/>
    <n v="7.7213231794383637"/>
  </r>
  <r>
    <s v="ID-2476"/>
    <n v="8"/>
    <x v="0"/>
    <n v="39"/>
    <n v="1"/>
    <n v="3325"/>
    <n v="36"/>
    <n v="18"/>
    <n v="21"/>
    <n v="3"/>
    <n v="1"/>
    <n v="1"/>
    <n v="30"/>
    <n v="206.44"/>
    <n v="0"/>
    <n v="0"/>
    <x v="0"/>
    <n v="6.2087218045112778"/>
  </r>
  <r>
    <s v="ID-2477"/>
    <n v="16"/>
    <x v="1"/>
    <n v="40"/>
    <n v="0"/>
    <n v="3475"/>
    <n v="55"/>
    <n v="27"/>
    <n v="23"/>
    <n v="3"/>
    <n v="1"/>
    <n v="2"/>
    <n v="30"/>
    <n v="249.2"/>
    <n v="1"/>
    <n v="5"/>
    <x v="1"/>
    <n v="7.1712230215827333"/>
  </r>
  <r>
    <s v="ID-2478"/>
    <n v="16"/>
    <x v="1"/>
    <n v="41"/>
    <n v="0"/>
    <n v="2753"/>
    <n v="58"/>
    <n v="52"/>
    <n v="38"/>
    <n v="4"/>
    <n v="1"/>
    <n v="2"/>
    <n v="45"/>
    <n v="200.27500000000001"/>
    <n v="1"/>
    <n v="5"/>
    <x v="1"/>
    <n v="7.274791136941519"/>
  </r>
  <r>
    <s v="ID-2479"/>
    <n v="7"/>
    <x v="1"/>
    <n v="41"/>
    <n v="0"/>
    <n v="618"/>
    <n v="16"/>
    <n v="18"/>
    <n v="9"/>
    <n v="3"/>
    <n v="1"/>
    <n v="2"/>
    <n v="30"/>
    <n v="97.36"/>
    <n v="1"/>
    <n v="3"/>
    <x v="1"/>
    <n v="15.754045307443365"/>
  </r>
  <r>
    <s v="ID-2480"/>
    <n v="8"/>
    <x v="0"/>
    <n v="41"/>
    <n v="1"/>
    <n v="2153"/>
    <n v="39"/>
    <n v="18"/>
    <n v="13"/>
    <n v="4"/>
    <n v="1"/>
    <n v="1"/>
    <n v="45"/>
    <n v="99.8"/>
    <n v="0"/>
    <n v="0"/>
    <x v="0"/>
    <n v="4.6353924756154203"/>
  </r>
  <r>
    <s v="ID-2481"/>
    <n v="10"/>
    <x v="0"/>
    <n v="38"/>
    <n v="2"/>
    <n v="7270"/>
    <n v="111"/>
    <n v="32"/>
    <n v="29"/>
    <n v="5"/>
    <n v="1"/>
    <n v="1"/>
    <n v="55"/>
    <n v="158.715"/>
    <n v="0"/>
    <n v="0"/>
    <x v="0"/>
    <n v="2.1831499312242091"/>
  </r>
  <r>
    <s v="ID-2482"/>
    <n v="7"/>
    <x v="0"/>
    <n v="41"/>
    <n v="0"/>
    <n v="1113"/>
    <n v="21"/>
    <n v="27"/>
    <n v="11"/>
    <n v="4"/>
    <n v="1"/>
    <n v="2"/>
    <n v="45"/>
    <n v="95.85"/>
    <n v="1"/>
    <n v="1"/>
    <x v="0"/>
    <n v="8.611859838274933"/>
  </r>
  <r>
    <s v="ID-2483"/>
    <n v="7"/>
    <x v="0"/>
    <n v="41"/>
    <n v="2"/>
    <n v="823"/>
    <n v="18"/>
    <n v="22"/>
    <n v="9"/>
    <n v="5"/>
    <n v="1"/>
    <n v="1"/>
    <n v="55"/>
    <n v="45.615000000000002"/>
    <n v="0"/>
    <n v="0"/>
    <x v="0"/>
    <n v="5.5425273390036454"/>
  </r>
  <r>
    <s v="ID-2484"/>
    <n v="32"/>
    <x v="1"/>
    <n v="36"/>
    <n v="4"/>
    <n v="16560"/>
    <n v="252"/>
    <n v="18"/>
    <n v="87"/>
    <n v="2"/>
    <n v="2"/>
    <n v="1"/>
    <n v="25"/>
    <n v="837.54"/>
    <n v="0"/>
    <n v="7"/>
    <x v="2"/>
    <n v="5.0576086956521733"/>
  </r>
  <r>
    <s v="ID-2485"/>
    <n v="13"/>
    <x v="0"/>
    <n v="39"/>
    <n v="4"/>
    <n v="7450"/>
    <n v="130"/>
    <n v="289"/>
    <n v="40"/>
    <n v="3"/>
    <n v="2"/>
    <n v="1"/>
    <n v="30"/>
    <n v="1459.2"/>
    <n v="0"/>
    <n v="2"/>
    <x v="0"/>
    <n v="19.586577181208053"/>
  </r>
  <r>
    <s v="ID-2486"/>
    <n v="9"/>
    <x v="0"/>
    <n v="41"/>
    <n v="1"/>
    <n v="4203"/>
    <n v="96"/>
    <n v="20"/>
    <n v="35"/>
    <n v="3"/>
    <n v="1"/>
    <n v="1"/>
    <n v="30"/>
    <n v="251.96"/>
    <n v="0"/>
    <n v="0"/>
    <x v="0"/>
    <n v="5.9947656435879138"/>
  </r>
  <r>
    <s v="ID-2487"/>
    <n v="10"/>
    <x v="0"/>
    <n v="40"/>
    <n v="0"/>
    <n v="2150"/>
    <n v="58"/>
    <n v="56"/>
    <n v="27"/>
    <n v="3"/>
    <n v="1"/>
    <n v="2"/>
    <n v="30"/>
    <n v="312.32"/>
    <n v="0"/>
    <n v="1"/>
    <x v="0"/>
    <n v="14.526511627906977"/>
  </r>
  <r>
    <s v="ID-2488"/>
    <n v="13"/>
    <x v="0"/>
    <n v="41"/>
    <n v="1"/>
    <n v="3265"/>
    <n v="67"/>
    <n v="193"/>
    <n v="30"/>
    <n v="2"/>
    <n v="1"/>
    <n v="1"/>
    <n v="25"/>
    <n v="1018.44"/>
    <n v="0"/>
    <n v="2"/>
    <x v="0"/>
    <n v="31.192649310872895"/>
  </r>
  <r>
    <s v="ID-2489"/>
    <n v="11"/>
    <x v="0"/>
    <n v="32"/>
    <n v="2"/>
    <n v="1800"/>
    <n v="50"/>
    <n v="211"/>
    <n v="18"/>
    <n v="3"/>
    <n v="2"/>
    <n v="1"/>
    <n v="30"/>
    <n v="918"/>
    <n v="0"/>
    <n v="2"/>
    <x v="0"/>
    <n v="51"/>
  </r>
  <r>
    <s v="ID-2490"/>
    <n v="11"/>
    <x v="0"/>
    <n v="31"/>
    <n v="1"/>
    <n v="2053"/>
    <n v="53"/>
    <n v="48"/>
    <n v="75"/>
    <n v="5"/>
    <n v="1"/>
    <n v="1"/>
    <n v="55"/>
    <n v="103.59"/>
    <n v="0"/>
    <n v="3"/>
    <x v="1"/>
    <n v="5.0457866536775455"/>
  </r>
  <r>
    <s v="ID-2491"/>
    <n v="18"/>
    <x v="0"/>
    <n v="32"/>
    <n v="0"/>
    <n v="1185"/>
    <n v="39"/>
    <n v="28"/>
    <n v="14"/>
    <n v="3"/>
    <n v="1"/>
    <n v="2"/>
    <n v="30"/>
    <n v="160.96"/>
    <n v="0"/>
    <n v="3"/>
    <x v="1"/>
    <n v="13.583122362869199"/>
  </r>
  <r>
    <s v="ID-2492"/>
    <n v="7"/>
    <x v="0"/>
    <n v="31"/>
    <n v="0"/>
    <n v="1310"/>
    <n v="24"/>
    <n v="39"/>
    <n v="10"/>
    <n v="4"/>
    <n v="1"/>
    <n v="2"/>
    <n v="45"/>
    <n v="130.85"/>
    <n v="0"/>
    <n v="1"/>
    <x v="0"/>
    <n v="9.9885496183206115"/>
  </r>
  <r>
    <s v="ID-2493"/>
    <n v="17"/>
    <x v="0"/>
    <n v="30"/>
    <n v="1"/>
    <n v="1710"/>
    <n v="46"/>
    <n v="37"/>
    <n v="20"/>
    <n v="2"/>
    <n v="1"/>
    <n v="1"/>
    <n v="25"/>
    <n v="245.52"/>
    <n v="0"/>
    <n v="2"/>
    <x v="0"/>
    <n v="14.357894736842105"/>
  </r>
  <r>
    <s v="ID-2494"/>
    <n v="9"/>
    <x v="0"/>
    <n v="30"/>
    <n v="1"/>
    <n v="3710"/>
    <n v="75"/>
    <n v="26"/>
    <n v="30"/>
    <n v="3"/>
    <n v="1"/>
    <n v="1"/>
    <n v="30"/>
    <n v="255.4"/>
    <n v="0"/>
    <n v="0"/>
    <x v="0"/>
    <n v="6.8840970350404316"/>
  </r>
  <r>
    <s v="ID-2495"/>
    <n v="9"/>
    <x v="0"/>
    <n v="23"/>
    <n v="1"/>
    <n v="2180"/>
    <n v="40"/>
    <n v="46"/>
    <n v="21"/>
    <n v="3"/>
    <n v="1"/>
    <n v="1"/>
    <n v="30"/>
    <n v="272.8"/>
    <n v="0"/>
    <n v="0"/>
    <x v="0"/>
    <n v="12.513761467889909"/>
  </r>
  <r>
    <s v="ID-2496"/>
    <n v="23"/>
    <x v="0"/>
    <n v="22"/>
    <n v="2"/>
    <n v="6878"/>
    <n v="155"/>
    <n v="103"/>
    <n v="49"/>
    <n v="2"/>
    <n v="2"/>
    <n v="1"/>
    <n v="25"/>
    <n v="779.98500000000001"/>
    <n v="0"/>
    <n v="5"/>
    <x v="1"/>
    <n v="11.340287874382089"/>
  </r>
  <r>
    <s v="ID-2497"/>
    <n v="19"/>
    <x v="0"/>
    <n v="20"/>
    <n v="1"/>
    <n v="9418"/>
    <n v="185"/>
    <n v="91"/>
    <n v="47"/>
    <n v="5"/>
    <n v="1"/>
    <n v="1"/>
    <n v="55"/>
    <n v="280.54500000000002"/>
    <n v="0"/>
    <n v="4"/>
    <x v="1"/>
    <n v="2.9788171586324061"/>
  </r>
  <r>
    <s v="ID-2498"/>
    <n v="15"/>
    <x v="0"/>
    <n v="21"/>
    <n v="4"/>
    <n v="3338"/>
    <n v="59"/>
    <n v="49"/>
    <n v="26"/>
    <n v="3"/>
    <n v="1"/>
    <n v="1"/>
    <n v="30"/>
    <n v="331.88"/>
    <n v="0"/>
    <n v="2"/>
    <x v="0"/>
    <n v="9.942480527261834"/>
  </r>
  <r>
    <s v="ID-2499"/>
    <n v="9"/>
    <x v="0"/>
    <n v="14"/>
    <n v="2"/>
    <n v="4875"/>
    <n v="54"/>
    <n v="233"/>
    <n v="17"/>
    <n v="3"/>
    <n v="1"/>
    <n v="1"/>
    <n v="30"/>
    <n v="1129.1600000000001"/>
    <n v="0"/>
    <n v="0"/>
    <x v="0"/>
    <n v="23.162256410256411"/>
  </r>
  <r>
    <s v="ID-2500"/>
    <n v="10"/>
    <x v="0"/>
    <n v="14"/>
    <n v="2"/>
    <n v="1973"/>
    <n v="33"/>
    <n v="18"/>
    <n v="14"/>
    <n v="3"/>
    <n v="1"/>
    <n v="1"/>
    <n v="30"/>
    <n v="152.24"/>
    <n v="1"/>
    <n v="0"/>
    <x v="0"/>
    <n v="7.7161682716675113"/>
  </r>
  <r>
    <s v="ID-2501"/>
    <n v="11"/>
    <x v="0"/>
    <n v="37"/>
    <n v="1"/>
    <n v="4495"/>
    <n v="69"/>
    <n v="7"/>
    <n v="14"/>
    <n v="3"/>
    <n v="1"/>
    <n v="1"/>
    <n v="30"/>
    <n v="210.56"/>
    <n v="0"/>
    <n v="2"/>
    <x v="0"/>
    <n v="4.6843159065628477"/>
  </r>
  <r>
    <s v="ID-2502"/>
    <n v="5"/>
    <x v="0"/>
    <n v="38"/>
    <n v="0"/>
    <n v="305"/>
    <n v="6"/>
    <n v="7"/>
    <n v="2"/>
    <n v="3"/>
    <n v="1"/>
    <n v="2"/>
    <n v="30"/>
    <n v="40.44"/>
    <n v="0"/>
    <n v="1"/>
    <x v="0"/>
    <n v="13.259016393442622"/>
  </r>
  <r>
    <s v="ID-2503"/>
    <n v="13"/>
    <x v="0"/>
    <n v="36"/>
    <n v="1"/>
    <n v="2578"/>
    <n v="58"/>
    <n v="355"/>
    <n v="21"/>
    <n v="3"/>
    <n v="1"/>
    <n v="1"/>
    <n v="30"/>
    <n v="1525.44"/>
    <n v="0"/>
    <n v="2"/>
    <x v="0"/>
    <n v="59.171450737005436"/>
  </r>
  <r>
    <s v="ID-2504"/>
    <n v="13"/>
    <x v="0"/>
    <n v="37"/>
    <n v="1"/>
    <n v="4323"/>
    <n v="64"/>
    <n v="7"/>
    <n v="32"/>
    <n v="1"/>
    <n v="1"/>
    <n v="1"/>
    <n v="15"/>
    <n v="279.78500000000003"/>
    <n v="0"/>
    <n v="2"/>
    <x v="0"/>
    <n v="6.4720101781170492"/>
  </r>
  <r>
    <s v="ID-2505"/>
    <n v="6"/>
    <x v="0"/>
    <n v="37"/>
    <n v="1"/>
    <n v="2518"/>
    <n v="56"/>
    <n v="7"/>
    <n v="30"/>
    <n v="2"/>
    <n v="1"/>
    <n v="1"/>
    <n v="25"/>
    <n v="147.33000000000001"/>
    <n v="0"/>
    <n v="0"/>
    <x v="0"/>
    <n v="5.8510722795869743"/>
  </r>
  <r>
    <s v="ID-2506"/>
    <n v="14"/>
    <x v="0"/>
    <n v="37"/>
    <n v="2"/>
    <n v="3900"/>
    <n v="80"/>
    <n v="28"/>
    <n v="25"/>
    <n v="3"/>
    <n v="1"/>
    <n v="1"/>
    <n v="30"/>
    <n v="271.2"/>
    <n v="0"/>
    <n v="2"/>
    <x v="0"/>
    <n v="6.9538461538461531"/>
  </r>
  <r>
    <s v="ID-2507"/>
    <n v="7"/>
    <x v="0"/>
    <n v="37"/>
    <n v="1"/>
    <n v="2485"/>
    <n v="37"/>
    <n v="281"/>
    <n v="15"/>
    <n v="3"/>
    <n v="1"/>
    <n v="1"/>
    <n v="30"/>
    <n v="1224.8800000000001"/>
    <n v="0"/>
    <n v="0"/>
    <x v="0"/>
    <n v="49.290945674044266"/>
  </r>
  <r>
    <s v="ID-2508"/>
    <n v="16"/>
    <x v="0"/>
    <n v="36"/>
    <n v="3"/>
    <n v="9240"/>
    <n v="119"/>
    <n v="140"/>
    <n v="40"/>
    <n v="3"/>
    <n v="1"/>
    <n v="1"/>
    <n v="30"/>
    <n v="934.36"/>
    <n v="0"/>
    <n v="2"/>
    <x v="0"/>
    <n v="10.112121212121213"/>
  </r>
  <r>
    <s v="ID-2509"/>
    <n v="10"/>
    <x v="0"/>
    <n v="37"/>
    <n v="1"/>
    <n v="13898"/>
    <n v="167"/>
    <n v="7"/>
    <n v="41"/>
    <n v="3"/>
    <n v="1"/>
    <n v="1"/>
    <n v="30"/>
    <n v="590.6"/>
    <n v="0"/>
    <n v="2"/>
    <x v="0"/>
    <n v="4.249532306806735"/>
  </r>
  <r>
    <s v="ID-2510"/>
    <n v="10"/>
    <x v="0"/>
    <n v="37"/>
    <n v="2"/>
    <n v="4640"/>
    <n v="81"/>
    <n v="7"/>
    <n v="22"/>
    <n v="3"/>
    <n v="1"/>
    <n v="1"/>
    <n v="30"/>
    <n v="216.84"/>
    <n v="0"/>
    <n v="0"/>
    <x v="0"/>
    <n v="4.6732758620689658"/>
  </r>
  <r>
    <s v="ID-2511"/>
    <n v="9"/>
    <x v="0"/>
    <n v="37"/>
    <n v="1"/>
    <n v="6043"/>
    <n v="93"/>
    <n v="7"/>
    <n v="9"/>
    <n v="3"/>
    <n v="1"/>
    <n v="1"/>
    <n v="30"/>
    <n v="273.44"/>
    <n v="0"/>
    <n v="0"/>
    <x v="0"/>
    <n v="4.5249048485851402"/>
  </r>
  <r>
    <s v="ID-2512"/>
    <n v="12"/>
    <x v="0"/>
    <n v="37"/>
    <n v="0"/>
    <n v="2363"/>
    <n v="52"/>
    <n v="7"/>
    <n v="14"/>
    <n v="3"/>
    <n v="1"/>
    <n v="2"/>
    <n v="30"/>
    <n v="124.6"/>
    <n v="0"/>
    <n v="3"/>
    <x v="1"/>
    <n v="5.2729581041049505"/>
  </r>
  <r>
    <s v="ID-2513"/>
    <n v="28"/>
    <x v="0"/>
    <n v="37"/>
    <n v="4"/>
    <n v="15265"/>
    <n v="223"/>
    <n v="50"/>
    <n v="29"/>
    <n v="3"/>
    <n v="2"/>
    <n v="1"/>
    <n v="30"/>
    <n v="819.52"/>
    <n v="0"/>
    <n v="4"/>
    <x v="1"/>
    <n v="5.3686210284965608"/>
  </r>
  <r>
    <s v="ID-2514"/>
    <n v="7"/>
    <x v="0"/>
    <n v="37"/>
    <n v="2"/>
    <n v="3220"/>
    <n v="25"/>
    <n v="479"/>
    <n v="5"/>
    <n v="3"/>
    <n v="1"/>
    <n v="1"/>
    <n v="30"/>
    <n v="2045.8"/>
    <n v="0"/>
    <n v="0"/>
    <x v="0"/>
    <n v="63.534161490683225"/>
  </r>
  <r>
    <s v="ID-2515"/>
    <n v="12"/>
    <x v="0"/>
    <n v="36"/>
    <n v="1"/>
    <n v="15610"/>
    <n v="180"/>
    <n v="146"/>
    <n v="27"/>
    <n v="2"/>
    <n v="1"/>
    <n v="1"/>
    <n v="25"/>
    <n v="1367.55"/>
    <n v="0"/>
    <n v="4"/>
    <x v="1"/>
    <n v="8.7607303010890458"/>
  </r>
  <r>
    <s v="ID-2516"/>
    <n v="6"/>
    <x v="0"/>
    <n v="36"/>
    <n v="2"/>
    <n v="6625"/>
    <n v="84"/>
    <n v="182"/>
    <n v="23"/>
    <n v="3"/>
    <n v="1"/>
    <n v="1"/>
    <n v="30"/>
    <n v="996.36"/>
    <n v="0"/>
    <n v="0"/>
    <x v="0"/>
    <n v="15.039396226415095"/>
  </r>
  <r>
    <s v="ID-2517"/>
    <n v="5"/>
    <x v="0"/>
    <n v="36"/>
    <n v="0"/>
    <n v="1000"/>
    <n v="12"/>
    <n v="7"/>
    <n v="8"/>
    <n v="2"/>
    <n v="1"/>
    <n v="2"/>
    <n v="25"/>
    <n v="77.040000000000006"/>
    <n v="0"/>
    <n v="1"/>
    <x v="0"/>
    <n v="7.7040000000000015"/>
  </r>
  <r>
    <s v="ID-2518"/>
    <n v="5"/>
    <x v="0"/>
    <n v="37"/>
    <n v="0"/>
    <n v="835"/>
    <n v="12"/>
    <n v="9"/>
    <n v="5"/>
    <n v="3"/>
    <n v="1"/>
    <n v="2"/>
    <n v="30"/>
    <n v="69.88"/>
    <n v="0"/>
    <n v="1"/>
    <x v="0"/>
    <n v="8.3688622754491018"/>
  </r>
  <r>
    <s v="ID-2519"/>
    <n v="5"/>
    <x v="0"/>
    <n v="36"/>
    <n v="0"/>
    <n v="305"/>
    <n v="6"/>
    <n v="7"/>
    <n v="2"/>
    <n v="2"/>
    <n v="1"/>
    <n v="2"/>
    <n v="25"/>
    <n v="45.494999999999997"/>
    <n v="1"/>
    <n v="1"/>
    <x v="0"/>
    <n v="14.916393442622949"/>
  </r>
  <r>
    <s v="ID-2520"/>
    <n v="6"/>
    <x v="0"/>
    <n v="36"/>
    <n v="1"/>
    <n v="7633"/>
    <n v="125"/>
    <n v="380"/>
    <n v="40"/>
    <n v="3"/>
    <n v="1"/>
    <n v="1"/>
    <n v="30"/>
    <n v="1830.32"/>
    <n v="0"/>
    <n v="0"/>
    <x v="0"/>
    <n v="23.979038385955718"/>
  </r>
  <r>
    <s v="ID-2521"/>
    <n v="10"/>
    <x v="0"/>
    <n v="36"/>
    <n v="2"/>
    <n v="11590"/>
    <n v="152"/>
    <n v="7"/>
    <n v="44"/>
    <n v="4"/>
    <n v="1"/>
    <n v="1"/>
    <n v="45"/>
    <n v="311.05"/>
    <n v="0"/>
    <n v="2"/>
    <x v="0"/>
    <n v="2.6837791199309753"/>
  </r>
  <r>
    <s v="ID-2522"/>
    <n v="11"/>
    <x v="0"/>
    <n v="36"/>
    <n v="2"/>
    <n v="6843"/>
    <n v="73"/>
    <n v="104"/>
    <n v="34"/>
    <n v="2"/>
    <n v="1"/>
    <n v="1"/>
    <n v="25"/>
    <n v="779.22"/>
    <n v="0"/>
    <n v="2"/>
    <x v="0"/>
    <n v="11.387110916264795"/>
  </r>
  <r>
    <s v="ID-2523"/>
    <n v="26"/>
    <x v="1"/>
    <n v="32"/>
    <n v="0"/>
    <n v="1080"/>
    <n v="45"/>
    <n v="12"/>
    <n v="14"/>
    <n v="3"/>
    <n v="1"/>
    <n v="2"/>
    <n v="30"/>
    <n v="93"/>
    <n v="1"/>
    <n v="5"/>
    <x v="1"/>
    <n v="8.6111111111111107"/>
  </r>
  <r>
    <s v="ID-2524"/>
    <n v="24"/>
    <x v="0"/>
    <n v="35"/>
    <n v="9"/>
    <n v="10560"/>
    <n v="91"/>
    <n v="7"/>
    <n v="39"/>
    <n v="5"/>
    <n v="1"/>
    <n v="1"/>
    <n v="55"/>
    <n v="170.26499999999999"/>
    <n v="0"/>
    <n v="2"/>
    <x v="0"/>
    <n v="1.6123579545454545"/>
  </r>
  <r>
    <s v="ID-2525"/>
    <n v="16"/>
    <x v="0"/>
    <n v="35"/>
    <n v="2"/>
    <n v="5943"/>
    <n v="96"/>
    <n v="22"/>
    <n v="21"/>
    <n v="2"/>
    <n v="1"/>
    <n v="1"/>
    <n v="25"/>
    <n v="370.755"/>
    <n v="1"/>
    <n v="2"/>
    <x v="0"/>
    <n v="6.2385159010600706"/>
  </r>
  <r>
    <s v="ID-2526"/>
    <n v="5"/>
    <x v="0"/>
    <n v="33"/>
    <n v="1"/>
    <n v="2965"/>
    <n v="20"/>
    <n v="7"/>
    <n v="11"/>
    <n v="3"/>
    <n v="1"/>
    <n v="1"/>
    <n v="30"/>
    <n v="147.4"/>
    <n v="0"/>
    <n v="0"/>
    <x v="0"/>
    <n v="4.9713322091062402"/>
  </r>
  <r>
    <s v="ID-2527"/>
    <n v="12"/>
    <x v="1"/>
    <n v="34"/>
    <n v="0"/>
    <n v="3115"/>
    <n v="39"/>
    <n v="7"/>
    <n v="13"/>
    <n v="3"/>
    <n v="1"/>
    <n v="2"/>
    <n v="30"/>
    <n v="154.16"/>
    <n v="1"/>
    <n v="5"/>
    <x v="1"/>
    <n v="4.9489566613162115"/>
  </r>
  <r>
    <s v="ID-2528"/>
    <n v="12"/>
    <x v="0"/>
    <n v="35"/>
    <n v="0"/>
    <n v="2393"/>
    <n v="42"/>
    <n v="30"/>
    <n v="28"/>
    <n v="4"/>
    <n v="1"/>
    <n v="2"/>
    <n v="45"/>
    <n v="135.875"/>
    <n v="1"/>
    <n v="3"/>
    <x v="1"/>
    <n v="5.6780192227329707"/>
  </r>
  <r>
    <s v="ID-2529"/>
    <n v="5"/>
    <x v="1"/>
    <n v="35"/>
    <n v="0"/>
    <n v="305"/>
    <n v="6"/>
    <n v="7"/>
    <n v="2"/>
    <n v="3"/>
    <n v="1"/>
    <n v="2"/>
    <n v="30"/>
    <n v="40.44"/>
    <n v="1"/>
    <n v="3"/>
    <x v="1"/>
    <n v="13.259016393442622"/>
  </r>
  <r>
    <s v="ID-2530"/>
    <n v="5"/>
    <x v="0"/>
    <n v="35"/>
    <n v="1"/>
    <n v="1793"/>
    <n v="23"/>
    <n v="7"/>
    <n v="3"/>
    <n v="4"/>
    <n v="1"/>
    <n v="1"/>
    <n v="45"/>
    <n v="62.9"/>
    <n v="0"/>
    <n v="0"/>
    <x v="0"/>
    <n v="3.5080870050195201"/>
  </r>
  <r>
    <s v="ID-2531"/>
    <n v="6"/>
    <x v="0"/>
    <n v="32"/>
    <n v="2"/>
    <n v="6910"/>
    <n v="95"/>
    <n v="10"/>
    <n v="19"/>
    <n v="5"/>
    <n v="1"/>
    <n v="1"/>
    <n v="55"/>
    <n v="120.075"/>
    <n v="0"/>
    <n v="0"/>
    <x v="0"/>
    <n v="1.737698986975398"/>
  </r>
  <r>
    <s v="ID-2532"/>
    <n v="5"/>
    <x v="0"/>
    <n v="35"/>
    <n v="0"/>
    <n v="305"/>
    <n v="6"/>
    <n v="7"/>
    <n v="2"/>
    <n v="4"/>
    <n v="1"/>
    <n v="2"/>
    <n v="45"/>
    <n v="25.274999999999999"/>
    <n v="1"/>
    <n v="1"/>
    <x v="0"/>
    <n v="8.2868852459016384"/>
  </r>
  <r>
    <s v="ID-2533"/>
    <n v="5"/>
    <x v="0"/>
    <n v="35"/>
    <n v="1"/>
    <n v="305"/>
    <n v="6"/>
    <n v="7"/>
    <n v="2"/>
    <n v="5"/>
    <n v="1"/>
    <n v="1"/>
    <n v="55"/>
    <n v="15.164999999999999"/>
    <n v="0"/>
    <n v="0"/>
    <x v="0"/>
    <n v="4.9721311475409831"/>
  </r>
  <r>
    <s v="ID-2534"/>
    <n v="28"/>
    <x v="0"/>
    <n v="30"/>
    <n v="4"/>
    <n v="16200"/>
    <n v="236"/>
    <n v="7"/>
    <n v="77"/>
    <n v="2"/>
    <n v="2"/>
    <n v="1"/>
    <n v="25"/>
    <n v="771.12"/>
    <n v="0"/>
    <n v="5"/>
    <x v="1"/>
    <n v="4.7600000000000007"/>
  </r>
  <r>
    <s v="ID-2535"/>
    <n v="9"/>
    <x v="0"/>
    <n v="33"/>
    <n v="4"/>
    <n v="7090"/>
    <n v="114"/>
    <n v="267"/>
    <n v="30"/>
    <n v="3"/>
    <n v="2"/>
    <n v="1"/>
    <n v="30"/>
    <n v="1356.16"/>
    <n v="0"/>
    <n v="0"/>
    <x v="0"/>
    <n v="19.127785613540198"/>
  </r>
  <r>
    <s v="ID-2536"/>
    <n v="5"/>
    <x v="0"/>
    <n v="35"/>
    <n v="1"/>
    <n v="3843"/>
    <n v="80"/>
    <n v="7"/>
    <n v="25"/>
    <n v="3"/>
    <n v="1"/>
    <n v="1"/>
    <n v="30"/>
    <n v="184.92"/>
    <n v="0"/>
    <n v="0"/>
    <x v="0"/>
    <n v="4.8118657298985168"/>
  </r>
  <r>
    <s v="ID-2537"/>
    <n v="6"/>
    <x v="0"/>
    <n v="34"/>
    <n v="0"/>
    <n v="1790"/>
    <n v="42"/>
    <n v="34"/>
    <n v="17"/>
    <n v="3"/>
    <n v="1"/>
    <n v="2"/>
    <n v="30"/>
    <n v="209.28"/>
    <n v="0"/>
    <n v="1"/>
    <x v="0"/>
    <n v="11.691620111731844"/>
  </r>
  <r>
    <s v="ID-2538"/>
    <n v="9"/>
    <x v="0"/>
    <n v="35"/>
    <n v="1"/>
    <n v="2905"/>
    <n v="51"/>
    <n v="171"/>
    <n v="20"/>
    <n v="2"/>
    <n v="1"/>
    <n v="1"/>
    <n v="25"/>
    <n v="902.52"/>
    <n v="0"/>
    <n v="0"/>
    <x v="0"/>
    <n v="31.067814113597247"/>
  </r>
  <r>
    <s v="ID-2539"/>
    <n v="7"/>
    <x v="0"/>
    <n v="26"/>
    <n v="2"/>
    <n v="1440"/>
    <n v="34"/>
    <n v="189"/>
    <n v="8"/>
    <n v="3"/>
    <n v="2"/>
    <n v="1"/>
    <n v="30"/>
    <n v="814.96"/>
    <n v="0"/>
    <n v="0"/>
    <x v="0"/>
    <n v="56.594444444444449"/>
  </r>
  <r>
    <s v="ID-2540"/>
    <n v="7"/>
    <x v="0"/>
    <n v="25"/>
    <n v="1"/>
    <n v="1693"/>
    <n v="37"/>
    <n v="26"/>
    <n v="65"/>
    <n v="5"/>
    <n v="1"/>
    <n v="1"/>
    <n v="55"/>
    <n v="64.95"/>
    <n v="0"/>
    <n v="1"/>
    <x v="0"/>
    <n v="3.8363851151801533"/>
  </r>
  <r>
    <s v="ID-2541"/>
    <n v="14"/>
    <x v="0"/>
    <n v="26"/>
    <n v="0"/>
    <n v="825"/>
    <n v="23"/>
    <n v="7"/>
    <n v="4"/>
    <n v="3"/>
    <n v="1"/>
    <n v="2"/>
    <n v="30"/>
    <n v="61.92"/>
    <n v="0"/>
    <n v="3"/>
    <x v="1"/>
    <n v="7.5054545454545458"/>
  </r>
  <r>
    <s v="ID-2542"/>
    <n v="5"/>
    <x v="0"/>
    <n v="25"/>
    <n v="0"/>
    <n v="305"/>
    <n v="6"/>
    <n v="17"/>
    <n v="2"/>
    <n v="4"/>
    <n v="1"/>
    <n v="2"/>
    <n v="45"/>
    <n v="50.274999999999999"/>
    <n v="0"/>
    <n v="1"/>
    <x v="0"/>
    <n v="16.483606557377048"/>
  </r>
  <r>
    <s v="ID-2543"/>
    <n v="13"/>
    <x v="0"/>
    <n v="24"/>
    <n v="1"/>
    <n v="1350"/>
    <n v="30"/>
    <n v="15"/>
    <n v="10"/>
    <n v="2"/>
    <n v="1"/>
    <n v="1"/>
    <n v="25"/>
    <n v="129.6"/>
    <n v="0"/>
    <n v="2"/>
    <x v="0"/>
    <n v="9.6"/>
  </r>
  <r>
    <s v="ID-2544"/>
    <n v="5"/>
    <x v="0"/>
    <n v="24"/>
    <n v="1"/>
    <n v="3350"/>
    <n v="59"/>
    <n v="7"/>
    <n v="20"/>
    <n v="3"/>
    <n v="1"/>
    <n v="1"/>
    <n v="30"/>
    <n v="164.36"/>
    <n v="0"/>
    <n v="0"/>
    <x v="0"/>
    <n v="4.9062686567164189"/>
  </r>
  <r>
    <s v="ID-2545"/>
    <n v="5"/>
    <x v="0"/>
    <n v="17"/>
    <n v="1"/>
    <n v="1820"/>
    <n v="24"/>
    <n v="24"/>
    <n v="11"/>
    <n v="3"/>
    <n v="1"/>
    <n v="1"/>
    <n v="30"/>
    <n v="169.76"/>
    <n v="0"/>
    <n v="0"/>
    <x v="0"/>
    <n v="9.3274725274725281"/>
  </r>
  <r>
    <s v="ID-2546"/>
    <n v="19"/>
    <x v="0"/>
    <n v="16"/>
    <n v="2"/>
    <n v="6518"/>
    <n v="139"/>
    <n v="81"/>
    <n v="39"/>
    <n v="2"/>
    <n v="2"/>
    <n v="1"/>
    <n v="25"/>
    <n v="664.06500000000005"/>
    <n v="0"/>
    <n v="4"/>
    <x v="1"/>
    <n v="10.188171218165081"/>
  </r>
  <r>
    <s v="ID-2547"/>
    <n v="15"/>
    <x v="0"/>
    <n v="14"/>
    <n v="1"/>
    <n v="9058"/>
    <n v="169"/>
    <n v="69"/>
    <n v="37"/>
    <n v="5"/>
    <n v="1"/>
    <n v="1"/>
    <n v="55"/>
    <n v="241.905"/>
    <n v="0"/>
    <n v="4"/>
    <x v="1"/>
    <n v="2.6706226540075071"/>
  </r>
  <r>
    <s v="ID-2548"/>
    <n v="11"/>
    <x v="0"/>
    <n v="15"/>
    <n v="4"/>
    <n v="2978"/>
    <n v="43"/>
    <n v="27"/>
    <n v="16"/>
    <n v="3"/>
    <n v="1"/>
    <n v="1"/>
    <n v="30"/>
    <n v="228.84"/>
    <n v="0"/>
    <n v="2"/>
    <x v="0"/>
    <n v="7.6843519140362666"/>
  </r>
  <r>
    <s v="ID-2549"/>
    <n v="5"/>
    <x v="0"/>
    <n v="8"/>
    <n v="2"/>
    <n v="4515"/>
    <n v="38"/>
    <n v="211"/>
    <n v="7"/>
    <n v="3"/>
    <n v="1"/>
    <n v="1"/>
    <n v="30"/>
    <n v="1026.1199999999999"/>
    <n v="0"/>
    <n v="0"/>
    <x v="0"/>
    <n v="22.726910299003318"/>
  </r>
  <r>
    <s v="ID-2550"/>
    <n v="6"/>
    <x v="1"/>
    <n v="8"/>
    <n v="2"/>
    <n v="1613"/>
    <n v="17"/>
    <n v="7"/>
    <n v="4"/>
    <n v="3"/>
    <n v="1"/>
    <n v="1"/>
    <n v="30"/>
    <n v="93.2"/>
    <n v="1"/>
    <n v="2"/>
    <x v="0"/>
    <n v="5.7780533168009924"/>
  </r>
  <r>
    <s v="ID-2551"/>
    <n v="17"/>
    <x v="0"/>
    <n v="40"/>
    <n v="3"/>
    <n v="5275"/>
    <n v="87"/>
    <n v="33"/>
    <n v="34"/>
    <n v="3"/>
    <n v="1"/>
    <n v="1"/>
    <n v="30"/>
    <n v="346.48"/>
    <n v="0"/>
    <n v="2"/>
    <x v="0"/>
    <n v="6.5683412322274881"/>
  </r>
  <r>
    <s v="ID-2552"/>
    <n v="9"/>
    <x v="0"/>
    <n v="41"/>
    <n v="0"/>
    <n v="1223"/>
    <n v="21"/>
    <n v="35"/>
    <n v="21"/>
    <n v="3"/>
    <n v="1"/>
    <n v="2"/>
    <n v="30"/>
    <n v="189.76"/>
    <n v="0"/>
    <n v="1"/>
    <x v="0"/>
    <n v="15.515944399018805"/>
  </r>
  <r>
    <s v="ID-2553"/>
    <n v="19"/>
    <x v="0"/>
    <n v="39"/>
    <n v="3"/>
    <n v="3358"/>
    <n v="76"/>
    <n v="387"/>
    <n v="41"/>
    <n v="3"/>
    <n v="1"/>
    <n v="1"/>
    <n v="30"/>
    <n v="1685.36"/>
    <n v="0"/>
    <n v="2"/>
    <x v="0"/>
    <n v="50.189398451459198"/>
  </r>
  <r>
    <s v="ID-2554"/>
    <n v="19"/>
    <x v="0"/>
    <n v="40"/>
    <n v="3"/>
    <n v="5103"/>
    <n v="82"/>
    <n v="29"/>
    <n v="52"/>
    <n v="1"/>
    <n v="1"/>
    <n v="1"/>
    <n v="15"/>
    <n v="444.67500000000001"/>
    <n v="0"/>
    <n v="3"/>
    <x v="1"/>
    <n v="8.7139917695473255"/>
  </r>
  <r>
    <s v="ID-2555"/>
    <n v="12"/>
    <x v="0"/>
    <n v="40"/>
    <n v="3"/>
    <n v="3298"/>
    <n v="74"/>
    <n v="30"/>
    <n v="50"/>
    <n v="2"/>
    <n v="1"/>
    <n v="1"/>
    <n v="25"/>
    <n v="286.74"/>
    <n v="0"/>
    <n v="3"/>
    <x v="1"/>
    <n v="8.6943602183141309"/>
  </r>
  <r>
    <s v="ID-2556"/>
    <n v="20"/>
    <x v="0"/>
    <n v="40"/>
    <n v="4"/>
    <n v="4680"/>
    <n v="98"/>
    <n v="60"/>
    <n v="45"/>
    <n v="3"/>
    <n v="1"/>
    <n v="1"/>
    <n v="30"/>
    <n v="431.12"/>
    <n v="0"/>
    <n v="2"/>
    <x v="0"/>
    <n v="9.211965811965813"/>
  </r>
  <r>
    <s v="ID-2557"/>
    <n v="13"/>
    <x v="0"/>
    <n v="40"/>
    <n v="3"/>
    <n v="3265"/>
    <n v="55"/>
    <n v="313"/>
    <n v="35"/>
    <n v="4"/>
    <n v="1"/>
    <n v="1"/>
    <n v="45"/>
    <n v="865.5"/>
    <n v="0"/>
    <n v="2"/>
    <x v="0"/>
    <n v="26.50842266462481"/>
  </r>
  <r>
    <s v="ID-2558"/>
    <n v="22"/>
    <x v="1"/>
    <n v="39"/>
    <n v="5"/>
    <n v="10020"/>
    <n v="137"/>
    <n v="172"/>
    <n v="60"/>
    <n v="3"/>
    <n v="1"/>
    <n v="1"/>
    <n v="30"/>
    <n v="1094.28"/>
    <n v="0"/>
    <n v="5"/>
    <x v="1"/>
    <n v="10.920958083832335"/>
  </r>
  <r>
    <s v="ID-2559"/>
    <n v="16"/>
    <x v="0"/>
    <n v="40"/>
    <n v="3"/>
    <n v="14678"/>
    <n v="185"/>
    <n v="28"/>
    <n v="61"/>
    <n v="3"/>
    <n v="1"/>
    <n v="1"/>
    <n v="30"/>
    <n v="706.52"/>
    <n v="0"/>
    <n v="5"/>
    <x v="1"/>
    <n v="4.8134623245673795"/>
  </r>
  <r>
    <s v="ID-2560"/>
    <n v="16"/>
    <x v="0"/>
    <n v="40"/>
    <n v="4"/>
    <n v="5420"/>
    <n v="99"/>
    <n v="30"/>
    <n v="42"/>
    <n v="3"/>
    <n v="1"/>
    <n v="1"/>
    <n v="30"/>
    <n v="340.76"/>
    <n v="0"/>
    <n v="2"/>
    <x v="0"/>
    <n v="6.2870848708487079"/>
  </r>
  <r>
    <s v="ID-2561"/>
    <n v="15"/>
    <x v="0"/>
    <n v="40"/>
    <n v="3"/>
    <n v="6823"/>
    <n v="111"/>
    <n v="35"/>
    <n v="29"/>
    <n v="3"/>
    <n v="1"/>
    <n v="1"/>
    <n v="30"/>
    <n v="417.36"/>
    <n v="0"/>
    <n v="2"/>
    <x v="0"/>
    <n v="6.1169573501392351"/>
  </r>
  <r>
    <s v="ID-2562"/>
    <n v="18"/>
    <x v="0"/>
    <n v="40"/>
    <n v="0"/>
    <n v="3143"/>
    <n v="70"/>
    <n v="36"/>
    <n v="34"/>
    <n v="3"/>
    <n v="1"/>
    <n v="2"/>
    <n v="30"/>
    <n v="272.52"/>
    <n v="0"/>
    <n v="3"/>
    <x v="1"/>
    <n v="8.6706967865097031"/>
  </r>
  <r>
    <s v="ID-2563"/>
    <n v="34"/>
    <x v="1"/>
    <n v="40"/>
    <n v="6"/>
    <n v="16045"/>
    <n v="241"/>
    <n v="82"/>
    <n v="49"/>
    <n v="3"/>
    <n v="2"/>
    <n v="1"/>
    <n v="30"/>
    <n v="979.44"/>
    <n v="0"/>
    <n v="7"/>
    <x v="2"/>
    <n v="6.1043315674665006"/>
  </r>
  <r>
    <s v="ID-2564"/>
    <n v="13"/>
    <x v="0"/>
    <n v="40"/>
    <n v="4"/>
    <n v="4000"/>
    <n v="43"/>
    <n v="511"/>
    <n v="25"/>
    <n v="4"/>
    <n v="1"/>
    <n v="1"/>
    <n v="45"/>
    <n v="1378.575"/>
    <n v="0"/>
    <n v="2"/>
    <x v="0"/>
    <n v="34.464375000000004"/>
  </r>
  <r>
    <s v="ID-2565"/>
    <n v="18"/>
    <x v="0"/>
    <n v="39"/>
    <n v="3"/>
    <n v="16390"/>
    <n v="198"/>
    <n v="178"/>
    <n v="47"/>
    <n v="2"/>
    <n v="1"/>
    <n v="1"/>
    <n v="25"/>
    <n v="1547.46"/>
    <n v="0"/>
    <n v="4"/>
    <x v="1"/>
    <n v="9.4414887126296509"/>
  </r>
  <r>
    <s v="ID-2566"/>
    <n v="12"/>
    <x v="0"/>
    <n v="39"/>
    <n v="4"/>
    <n v="7405"/>
    <n v="102"/>
    <n v="214"/>
    <n v="43"/>
    <n v="3"/>
    <n v="1"/>
    <n v="1"/>
    <n v="30"/>
    <n v="1156.28"/>
    <n v="0"/>
    <n v="2"/>
    <x v="0"/>
    <n v="15.614854827819041"/>
  </r>
  <r>
    <s v="ID-2567"/>
    <n v="9"/>
    <x v="0"/>
    <n v="39"/>
    <n v="0"/>
    <n v="1780"/>
    <n v="30"/>
    <n v="28"/>
    <n v="28"/>
    <n v="2"/>
    <n v="1"/>
    <n v="2"/>
    <n v="25"/>
    <n v="207.45"/>
    <n v="0"/>
    <n v="1"/>
    <x v="0"/>
    <n v="11.654494382022472"/>
  </r>
  <r>
    <s v="ID-2568"/>
    <n v="11"/>
    <x v="0"/>
    <n v="40"/>
    <n v="0"/>
    <n v="1615"/>
    <n v="30"/>
    <n v="41"/>
    <n v="25"/>
    <n v="3"/>
    <n v="1"/>
    <n v="2"/>
    <n v="30"/>
    <n v="229.8"/>
    <n v="0"/>
    <n v="3"/>
    <x v="1"/>
    <n v="14.229102167182663"/>
  </r>
  <r>
    <s v="ID-2569"/>
    <n v="9"/>
    <x v="1"/>
    <n v="39"/>
    <n v="0"/>
    <n v="905"/>
    <n v="16"/>
    <n v="28"/>
    <n v="17"/>
    <n v="2"/>
    <n v="1"/>
    <n v="2"/>
    <n v="25"/>
    <n v="167.44499999999999"/>
    <n v="1"/>
    <n v="3"/>
    <x v="1"/>
    <n v="18.502209944751378"/>
  </r>
  <r>
    <s v="ID-2570"/>
    <n v="12"/>
    <x v="0"/>
    <n v="39"/>
    <n v="3"/>
    <n v="8413"/>
    <n v="143"/>
    <n v="412"/>
    <n v="60"/>
    <n v="3"/>
    <n v="1"/>
    <n v="1"/>
    <n v="30"/>
    <n v="1990.24"/>
    <n v="0"/>
    <n v="5"/>
    <x v="1"/>
    <n v="23.656721740164034"/>
  </r>
  <r>
    <s v="ID-2571"/>
    <n v="16"/>
    <x v="0"/>
    <n v="39"/>
    <n v="4"/>
    <n v="12370"/>
    <n v="170"/>
    <n v="39"/>
    <n v="64"/>
    <n v="4"/>
    <n v="1"/>
    <n v="1"/>
    <n v="45"/>
    <n v="411"/>
    <n v="0"/>
    <n v="5"/>
    <x v="1"/>
    <n v="3.3225545675020207"/>
  </r>
  <r>
    <s v="ID-2572"/>
    <n v="17"/>
    <x v="0"/>
    <n v="39"/>
    <n v="4"/>
    <n v="7623"/>
    <n v="91"/>
    <n v="136"/>
    <n v="54"/>
    <n v="2"/>
    <n v="2"/>
    <n v="1"/>
    <n v="25"/>
    <n v="959.13"/>
    <n v="0"/>
    <n v="3"/>
    <x v="1"/>
    <n v="12.582054309327036"/>
  </r>
  <r>
    <s v="ID-2573"/>
    <n v="32"/>
    <x v="1"/>
    <n v="35"/>
    <n v="0"/>
    <n v="1860"/>
    <n v="63"/>
    <n v="44"/>
    <n v="34"/>
    <n v="3"/>
    <n v="1"/>
    <n v="2"/>
    <n v="30"/>
    <n v="252.92"/>
    <n v="1"/>
    <n v="5"/>
    <x v="1"/>
    <n v="13.597849462365591"/>
  </r>
  <r>
    <s v="ID-2574"/>
    <n v="30"/>
    <x v="0"/>
    <n v="38"/>
    <n v="1"/>
    <n v="11340"/>
    <n v="109"/>
    <n v="29"/>
    <n v="59"/>
    <n v="5"/>
    <n v="1"/>
    <n v="1"/>
    <n v="55"/>
    <n v="215.23500000000001"/>
    <n v="0"/>
    <n v="3"/>
    <x v="1"/>
    <n v="1.8980158730158732"/>
  </r>
  <r>
    <s v="ID-2575"/>
    <n v="22"/>
    <x v="0"/>
    <n v="38"/>
    <n v="4"/>
    <n v="6723"/>
    <n v="114"/>
    <n v="54"/>
    <n v="41"/>
    <n v="3"/>
    <n v="1"/>
    <n v="1"/>
    <n v="30"/>
    <n v="489.48"/>
    <n v="0"/>
    <n v="2"/>
    <x v="0"/>
    <n v="7.2806782686300764"/>
  </r>
  <r>
    <s v="ID-2576"/>
    <n v="10"/>
    <x v="0"/>
    <n v="36"/>
    <n v="3"/>
    <n v="3745"/>
    <n v="38"/>
    <n v="28"/>
    <n v="31"/>
    <n v="3"/>
    <n v="1"/>
    <n v="1"/>
    <n v="30"/>
    <n v="263.32"/>
    <n v="0"/>
    <n v="0"/>
    <x v="0"/>
    <n v="7.0312416555407209"/>
  </r>
  <r>
    <s v="ID-2577"/>
    <n v="18"/>
    <x v="1"/>
    <n v="37"/>
    <n v="0"/>
    <n v="3895"/>
    <n v="57"/>
    <n v="37"/>
    <n v="33"/>
    <n v="3"/>
    <n v="1"/>
    <n v="2"/>
    <n v="30"/>
    <n v="306.08"/>
    <n v="1"/>
    <n v="5"/>
    <x v="1"/>
    <n v="7.8582798459563534"/>
  </r>
  <r>
    <s v="ID-2578"/>
    <n v="18"/>
    <x v="0"/>
    <n v="38"/>
    <n v="0"/>
    <n v="3173"/>
    <n v="60"/>
    <n v="62"/>
    <n v="48"/>
    <n v="4"/>
    <n v="1"/>
    <n v="2"/>
    <n v="45"/>
    <n v="235.82499999999999"/>
    <n v="1"/>
    <n v="4"/>
    <x v="1"/>
    <n v="7.4322407815947056"/>
  </r>
  <r>
    <s v="ID-2579"/>
    <n v="9"/>
    <x v="0"/>
    <n v="38"/>
    <n v="0"/>
    <n v="1038"/>
    <n v="18"/>
    <n v="28"/>
    <n v="19"/>
    <n v="3"/>
    <n v="1"/>
    <n v="2"/>
    <n v="30"/>
    <n v="154.24"/>
    <n v="1"/>
    <n v="1"/>
    <x v="0"/>
    <n v="14.859344894026977"/>
  </r>
  <r>
    <s v="ID-2580"/>
    <n v="10"/>
    <x v="0"/>
    <n v="38"/>
    <n v="3"/>
    <n v="2573"/>
    <n v="41"/>
    <n v="28"/>
    <n v="23"/>
    <n v="4"/>
    <n v="1"/>
    <n v="1"/>
    <n v="45"/>
    <n v="135.35"/>
    <n v="0"/>
    <n v="0"/>
    <x v="0"/>
    <n v="5.2603964244073067"/>
  </r>
  <r>
    <s v="ID-2581"/>
    <n v="12"/>
    <x v="0"/>
    <n v="35"/>
    <n v="4"/>
    <n v="7690"/>
    <n v="113"/>
    <n v="42"/>
    <n v="39"/>
    <n v="5"/>
    <n v="1"/>
    <n v="1"/>
    <n v="55"/>
    <n v="180.04499999999999"/>
    <n v="0"/>
    <n v="2"/>
    <x v="0"/>
    <n v="2.3412873862158645"/>
  </r>
  <r>
    <s v="ID-2582"/>
    <n v="9"/>
    <x v="0"/>
    <n v="38"/>
    <n v="0"/>
    <n v="1533"/>
    <n v="23"/>
    <n v="37"/>
    <n v="21"/>
    <n v="4"/>
    <n v="1"/>
    <n v="2"/>
    <n v="45"/>
    <n v="131.4"/>
    <n v="1"/>
    <n v="1"/>
    <x v="0"/>
    <n v="8.5714285714285712"/>
  </r>
  <r>
    <s v="ID-2583"/>
    <n v="9"/>
    <x v="0"/>
    <n v="38"/>
    <n v="4"/>
    <n v="1243"/>
    <n v="20"/>
    <n v="32"/>
    <n v="19"/>
    <n v="5"/>
    <n v="1"/>
    <n v="1"/>
    <n v="55"/>
    <n v="66.944999999999993"/>
    <n v="0"/>
    <n v="0"/>
    <x v="0"/>
    <n v="5.3857602574416727"/>
  </r>
  <r>
    <s v="ID-2584"/>
    <n v="34"/>
    <x v="0"/>
    <n v="33"/>
    <n v="6"/>
    <n v="16980"/>
    <n v="254"/>
    <n v="28"/>
    <n v="97"/>
    <n v="2"/>
    <n v="2"/>
    <n v="1"/>
    <n v="25"/>
    <n v="901.53"/>
    <n v="0"/>
    <n v="5"/>
    <x v="1"/>
    <n v="5.3093639575971725"/>
  </r>
  <r>
    <s v="ID-2585"/>
    <n v="15"/>
    <x v="0"/>
    <n v="36"/>
    <n v="6"/>
    <n v="7870"/>
    <n v="132"/>
    <n v="299"/>
    <n v="50"/>
    <n v="3"/>
    <n v="2"/>
    <n v="1"/>
    <n v="30"/>
    <n v="1516.08"/>
    <n v="0"/>
    <n v="3"/>
    <x v="1"/>
    <n v="19.264040660736974"/>
  </r>
  <r>
    <s v="ID-2586"/>
    <n v="11"/>
    <x v="0"/>
    <n v="38"/>
    <n v="3"/>
    <n v="4623"/>
    <n v="98"/>
    <n v="30"/>
    <n v="45"/>
    <n v="3"/>
    <n v="1"/>
    <n v="1"/>
    <n v="30"/>
    <n v="308.83999999999997"/>
    <n v="0"/>
    <n v="2"/>
    <x v="0"/>
    <n v="6.6805104910231448"/>
  </r>
  <r>
    <s v="ID-2587"/>
    <n v="12"/>
    <x v="1"/>
    <n v="37"/>
    <n v="0"/>
    <n v="2570"/>
    <n v="60"/>
    <n v="66"/>
    <n v="37"/>
    <n v="4"/>
    <n v="1"/>
    <n v="2"/>
    <n v="45"/>
    <n v="230.75"/>
    <n v="1"/>
    <n v="5"/>
    <x v="1"/>
    <n v="8.9785992217898833"/>
  </r>
  <r>
    <s v="ID-2588"/>
    <n v="15"/>
    <x v="0"/>
    <n v="38"/>
    <n v="3"/>
    <n v="3685"/>
    <n v="69"/>
    <n v="203"/>
    <n v="40"/>
    <n v="2"/>
    <n v="1"/>
    <n v="1"/>
    <n v="25"/>
    <n v="1082.43"/>
    <n v="0"/>
    <n v="2"/>
    <x v="0"/>
    <n v="29.373948439620083"/>
  </r>
  <r>
    <s v="ID-2589"/>
    <n v="13"/>
    <x v="0"/>
    <n v="29"/>
    <n v="4"/>
    <n v="2220"/>
    <n v="52"/>
    <n v="221"/>
    <n v="28"/>
    <n v="3"/>
    <n v="2"/>
    <n v="1"/>
    <n v="30"/>
    <n v="974.88"/>
    <n v="0"/>
    <n v="2"/>
    <x v="0"/>
    <n v="43.913513513513514"/>
  </r>
  <r>
    <s v="ID-2590"/>
    <n v="13"/>
    <x v="0"/>
    <n v="28"/>
    <n v="3"/>
    <n v="2473"/>
    <n v="55"/>
    <n v="58"/>
    <n v="85"/>
    <n v="5"/>
    <n v="1"/>
    <n v="1"/>
    <n v="55"/>
    <n v="124.92"/>
    <n v="0"/>
    <n v="3"/>
    <x v="1"/>
    <n v="5.0513546300040435"/>
  </r>
  <r>
    <s v="ID-2591"/>
    <n v="20"/>
    <x v="0"/>
    <n v="29"/>
    <n v="0"/>
    <n v="1605"/>
    <n v="41"/>
    <n v="38"/>
    <n v="24"/>
    <n v="3"/>
    <n v="1"/>
    <n v="2"/>
    <n v="30"/>
    <n v="217.84"/>
    <n v="0"/>
    <n v="3"/>
    <x v="1"/>
    <n v="13.572585669781931"/>
  </r>
  <r>
    <s v="ID-2592"/>
    <n v="9"/>
    <x v="0"/>
    <n v="28"/>
    <n v="0"/>
    <n v="1730"/>
    <n v="26"/>
    <n v="49"/>
    <n v="20"/>
    <n v="4"/>
    <n v="1"/>
    <n v="2"/>
    <n v="45"/>
    <n v="166.4"/>
    <n v="0"/>
    <n v="1"/>
    <x v="0"/>
    <n v="9.6184971098265901"/>
  </r>
  <r>
    <s v="ID-2593"/>
    <n v="19"/>
    <x v="0"/>
    <n v="27"/>
    <n v="3"/>
    <n v="2130"/>
    <n v="48"/>
    <n v="47"/>
    <n v="30"/>
    <n v="2"/>
    <n v="1"/>
    <n v="1"/>
    <n v="25"/>
    <n v="309.51"/>
    <n v="0"/>
    <n v="2"/>
    <x v="0"/>
    <n v="14.530985915492959"/>
  </r>
  <r>
    <s v="ID-2594"/>
    <n v="11"/>
    <x v="0"/>
    <n v="27"/>
    <n v="3"/>
    <n v="4130"/>
    <n v="77"/>
    <n v="36"/>
    <n v="40"/>
    <n v="3"/>
    <n v="1"/>
    <n v="1"/>
    <n v="30"/>
    <n v="312.27999999999997"/>
    <n v="0"/>
    <n v="2"/>
    <x v="0"/>
    <n v="7.5612590799031469"/>
  </r>
  <r>
    <s v="ID-2595"/>
    <n v="11"/>
    <x v="0"/>
    <n v="20"/>
    <n v="3"/>
    <n v="2600"/>
    <n v="42"/>
    <n v="56"/>
    <n v="31"/>
    <n v="3"/>
    <n v="1"/>
    <n v="1"/>
    <n v="30"/>
    <n v="329.68"/>
    <n v="0"/>
    <n v="2"/>
    <x v="0"/>
    <n v="12.68"/>
  </r>
  <r>
    <s v="ID-2596"/>
    <n v="25"/>
    <x v="0"/>
    <n v="19"/>
    <n v="4"/>
    <n v="7298"/>
    <n v="157"/>
    <n v="113"/>
    <n v="59"/>
    <n v="2"/>
    <n v="2"/>
    <n v="1"/>
    <n v="25"/>
    <n v="843.97500000000002"/>
    <n v="0"/>
    <n v="5"/>
    <x v="1"/>
    <n v="11.564469717730885"/>
  </r>
  <r>
    <s v="ID-2597"/>
    <n v="21"/>
    <x v="0"/>
    <n v="17"/>
    <n v="3"/>
    <n v="9838"/>
    <n v="187"/>
    <n v="101"/>
    <n v="57"/>
    <n v="5"/>
    <n v="1"/>
    <n v="1"/>
    <n v="55"/>
    <n v="301.875"/>
    <n v="0"/>
    <n v="5"/>
    <x v="1"/>
    <n v="3.0684590363895099"/>
  </r>
  <r>
    <s v="ID-2598"/>
    <n v="17"/>
    <x v="0"/>
    <n v="18"/>
    <n v="6"/>
    <n v="3758"/>
    <n v="61"/>
    <n v="59"/>
    <n v="36"/>
    <n v="3"/>
    <n v="2"/>
    <n v="1"/>
    <n v="30"/>
    <n v="388.76"/>
    <n v="0"/>
    <n v="2"/>
    <x v="0"/>
    <n v="10.3448642895157"/>
  </r>
  <r>
    <s v="ID-2599"/>
    <n v="11"/>
    <x v="0"/>
    <n v="11"/>
    <n v="4"/>
    <n v="5295"/>
    <n v="56"/>
    <n v="243"/>
    <n v="27"/>
    <n v="3"/>
    <n v="2"/>
    <n v="1"/>
    <n v="30"/>
    <n v="1186.04"/>
    <n v="0"/>
    <n v="2"/>
    <x v="0"/>
    <n v="22.399244570349385"/>
  </r>
  <r>
    <s v="ID-2600"/>
    <n v="12"/>
    <x v="1"/>
    <n v="11"/>
    <n v="4"/>
    <n v="2393"/>
    <n v="35"/>
    <n v="28"/>
    <n v="24"/>
    <n v="3"/>
    <n v="1"/>
    <n v="1"/>
    <n v="30"/>
    <n v="209.12"/>
    <n v="1"/>
    <n v="4"/>
    <x v="1"/>
    <n v="8.7388215628917667"/>
  </r>
  <r>
    <s v="ID-2601"/>
    <n v="9"/>
    <x v="0"/>
    <n v="40"/>
    <n v="0"/>
    <n v="4075"/>
    <n v="67"/>
    <n v="7"/>
    <n v="4"/>
    <n v="3"/>
    <n v="1"/>
    <n v="1"/>
    <n v="30"/>
    <n v="193.68"/>
    <n v="0"/>
    <n v="1"/>
    <x v="0"/>
    <n v="4.752883435582822"/>
  </r>
  <r>
    <s v="ID-2602"/>
    <n v="5"/>
    <x v="0"/>
    <n v="41"/>
    <n v="0"/>
    <n v="305"/>
    <n v="6"/>
    <n v="7"/>
    <n v="2"/>
    <n v="3"/>
    <n v="1"/>
    <n v="2"/>
    <n v="30"/>
    <n v="40.44"/>
    <n v="0"/>
    <n v="1"/>
    <x v="0"/>
    <n v="13.259016393442622"/>
  </r>
  <r>
    <s v="ID-2603"/>
    <n v="11"/>
    <x v="0"/>
    <n v="39"/>
    <n v="0"/>
    <n v="2158"/>
    <n v="56"/>
    <n v="345"/>
    <n v="11"/>
    <n v="3"/>
    <n v="1"/>
    <n v="1"/>
    <n v="30"/>
    <n v="1468.56"/>
    <n v="0"/>
    <n v="3"/>
    <x v="1"/>
    <n v="68.051899907321584"/>
  </r>
  <r>
    <s v="ID-2604"/>
    <n v="11"/>
    <x v="0"/>
    <n v="40"/>
    <n v="0"/>
    <n v="3903"/>
    <n v="62"/>
    <n v="7"/>
    <n v="22"/>
    <n v="1"/>
    <n v="1"/>
    <n v="1"/>
    <n v="15"/>
    <n v="256.57499999999999"/>
    <n v="0"/>
    <n v="3"/>
    <x v="1"/>
    <n v="6.5737893927747884"/>
  </r>
  <r>
    <s v="ID-2605"/>
    <n v="5"/>
    <x v="0"/>
    <n v="40"/>
    <n v="0"/>
    <n v="2098"/>
    <n v="54"/>
    <n v="7"/>
    <n v="20"/>
    <n v="2"/>
    <n v="1"/>
    <n v="1"/>
    <n v="25"/>
    <n v="128.34"/>
    <n v="0"/>
    <n v="1"/>
    <x v="0"/>
    <n v="6.1172545281220208"/>
  </r>
  <r>
    <s v="ID-2606"/>
    <n v="12"/>
    <x v="0"/>
    <n v="40"/>
    <n v="0"/>
    <n v="3480"/>
    <n v="78"/>
    <n v="18"/>
    <n v="15"/>
    <n v="3"/>
    <n v="1"/>
    <n v="1"/>
    <n v="30"/>
    <n v="214.32"/>
    <n v="0"/>
    <n v="3"/>
    <x v="1"/>
    <n v="6.1586206896551721"/>
  </r>
  <r>
    <s v="ID-2607"/>
    <n v="5"/>
    <x v="0"/>
    <n v="40"/>
    <n v="0"/>
    <n v="2065"/>
    <n v="35"/>
    <n v="271"/>
    <n v="5"/>
    <n v="3"/>
    <n v="1"/>
    <n v="1"/>
    <n v="30"/>
    <n v="1168"/>
    <n v="0"/>
    <n v="1"/>
    <x v="0"/>
    <n v="56.561743341404359"/>
  </r>
  <r>
    <s v="ID-2608"/>
    <n v="14"/>
    <x v="0"/>
    <n v="39"/>
    <n v="1"/>
    <n v="8820"/>
    <n v="117"/>
    <n v="130"/>
    <n v="30"/>
    <n v="3"/>
    <n v="1"/>
    <n v="1"/>
    <n v="30"/>
    <n v="877.48"/>
    <n v="0"/>
    <n v="2"/>
    <x v="0"/>
    <n v="9.9487528344671201"/>
  </r>
  <r>
    <s v="ID-2609"/>
    <n v="8"/>
    <x v="0"/>
    <n v="40"/>
    <n v="0"/>
    <n v="13478"/>
    <n v="165"/>
    <n v="7"/>
    <n v="31"/>
    <n v="3"/>
    <n v="1"/>
    <n v="1"/>
    <n v="30"/>
    <n v="573.72"/>
    <n v="0"/>
    <n v="3"/>
    <x v="1"/>
    <n v="4.2567146460899243"/>
  </r>
  <r>
    <s v="ID-2610"/>
    <n v="8"/>
    <x v="0"/>
    <n v="40"/>
    <n v="0"/>
    <n v="4220"/>
    <n v="79"/>
    <n v="7"/>
    <n v="12"/>
    <n v="3"/>
    <n v="1"/>
    <n v="1"/>
    <n v="30"/>
    <n v="199.96"/>
    <n v="0"/>
    <n v="1"/>
    <x v="0"/>
    <n v="4.7383886255924175"/>
  </r>
  <r>
    <s v="ID-2611"/>
    <n v="7"/>
    <x v="0"/>
    <n v="40"/>
    <n v="1"/>
    <n v="5623"/>
    <n v="91"/>
    <n v="7"/>
    <n v="17"/>
    <n v="3"/>
    <n v="1"/>
    <n v="1"/>
    <n v="30"/>
    <n v="256.56"/>
    <n v="0"/>
    <n v="0"/>
    <x v="0"/>
    <n v="4.5626889560732709"/>
  </r>
  <r>
    <s v="ID-2612"/>
    <n v="10"/>
    <x v="0"/>
    <n v="40"/>
    <n v="0"/>
    <n v="1943"/>
    <n v="50"/>
    <n v="7"/>
    <n v="4"/>
    <n v="3"/>
    <n v="1"/>
    <n v="2"/>
    <n v="30"/>
    <n v="107.72"/>
    <n v="0"/>
    <n v="1"/>
    <x v="0"/>
    <n v="5.5440041173443131"/>
  </r>
  <r>
    <s v="ID-2613"/>
    <n v="26"/>
    <x v="0"/>
    <n v="40"/>
    <n v="2"/>
    <n v="14845"/>
    <n v="221"/>
    <n v="40"/>
    <n v="19"/>
    <n v="3"/>
    <n v="1"/>
    <n v="1"/>
    <n v="30"/>
    <n v="762.64"/>
    <n v="0"/>
    <n v="4"/>
    <x v="1"/>
    <n v="5.1373526439878745"/>
  </r>
  <r>
    <s v="ID-2614"/>
    <n v="5"/>
    <x v="0"/>
    <n v="40"/>
    <n v="1"/>
    <n v="2800"/>
    <n v="23"/>
    <n v="469"/>
    <n v="9"/>
    <n v="3"/>
    <n v="1"/>
    <n v="1"/>
    <n v="30"/>
    <n v="1988.92"/>
    <n v="0"/>
    <n v="0"/>
    <x v="0"/>
    <n v="71.032857142857139"/>
  </r>
  <r>
    <s v="ID-2615"/>
    <n v="10"/>
    <x v="0"/>
    <n v="39"/>
    <n v="0"/>
    <n v="15190"/>
    <n v="178"/>
    <n v="136"/>
    <n v="17"/>
    <n v="2"/>
    <n v="1"/>
    <n v="1"/>
    <n v="25"/>
    <n v="1303.56"/>
    <n v="0"/>
    <n v="3"/>
    <x v="1"/>
    <n v="8.5816984858459513"/>
  </r>
  <r>
    <s v="ID-2616"/>
    <n v="5"/>
    <x v="0"/>
    <n v="39"/>
    <n v="0"/>
    <n v="6205"/>
    <n v="82"/>
    <n v="172"/>
    <n v="13"/>
    <n v="3"/>
    <n v="1"/>
    <n v="1"/>
    <n v="30"/>
    <n v="939.48"/>
    <n v="0"/>
    <n v="1"/>
    <x v="0"/>
    <n v="15.140692989524576"/>
  </r>
  <r>
    <s v="ID-2617"/>
    <n v="5"/>
    <x v="0"/>
    <n v="39"/>
    <n v="0"/>
    <n v="580"/>
    <n v="10"/>
    <n v="7"/>
    <n v="2"/>
    <n v="2"/>
    <n v="1"/>
    <n v="2"/>
    <n v="25"/>
    <n v="58.05"/>
    <n v="0"/>
    <n v="1"/>
    <x v="0"/>
    <n v="10.008620689655173"/>
  </r>
  <r>
    <s v="ID-2618"/>
    <n v="5"/>
    <x v="0"/>
    <n v="40"/>
    <n v="0"/>
    <n v="415"/>
    <n v="10"/>
    <n v="7"/>
    <n v="2"/>
    <n v="3"/>
    <n v="1"/>
    <n v="2"/>
    <n v="30"/>
    <n v="45"/>
    <n v="0"/>
    <n v="1"/>
    <x v="0"/>
    <n v="10.843373493975903"/>
  </r>
  <r>
    <s v="ID-2619"/>
    <n v="5"/>
    <x v="0"/>
    <n v="39"/>
    <n v="0"/>
    <n v="305"/>
    <n v="6"/>
    <n v="7"/>
    <n v="2"/>
    <n v="2"/>
    <n v="1"/>
    <n v="2"/>
    <n v="25"/>
    <n v="45.494999999999997"/>
    <n v="1"/>
    <n v="1"/>
    <x v="0"/>
    <n v="14.916393442622949"/>
  </r>
  <r>
    <s v="ID-2620"/>
    <n v="5"/>
    <x v="0"/>
    <n v="39"/>
    <n v="0"/>
    <n v="7213"/>
    <n v="123"/>
    <n v="370"/>
    <n v="30"/>
    <n v="3"/>
    <n v="1"/>
    <n v="1"/>
    <n v="30"/>
    <n v="1773.44"/>
    <n v="0"/>
    <n v="1"/>
    <x v="0"/>
    <n v="24.586718425065854"/>
  </r>
  <r>
    <s v="ID-2621"/>
    <n v="8"/>
    <x v="0"/>
    <n v="39"/>
    <n v="0"/>
    <n v="11170"/>
    <n v="150"/>
    <n v="7"/>
    <n v="34"/>
    <n v="4"/>
    <n v="1"/>
    <n v="1"/>
    <n v="45"/>
    <n v="300.5"/>
    <n v="0"/>
    <n v="3"/>
    <x v="1"/>
    <n v="2.6902417188898835"/>
  </r>
  <r>
    <s v="ID-2622"/>
    <n v="9"/>
    <x v="0"/>
    <n v="39"/>
    <n v="0"/>
    <n v="6423"/>
    <n v="71"/>
    <n v="94"/>
    <n v="24"/>
    <n v="2"/>
    <n v="1"/>
    <n v="1"/>
    <n v="25"/>
    <n v="715.23"/>
    <n v="0"/>
    <n v="1"/>
    <x v="0"/>
    <n v="11.135450723960766"/>
  </r>
  <r>
    <s v="ID-2623"/>
    <n v="24"/>
    <x v="0"/>
    <n v="35"/>
    <n v="0"/>
    <n v="660"/>
    <n v="43"/>
    <n v="7"/>
    <n v="4"/>
    <n v="3"/>
    <n v="1"/>
    <n v="2"/>
    <n v="30"/>
    <n v="56.12"/>
    <n v="1"/>
    <n v="3"/>
    <x v="1"/>
    <n v="8.5030303030303021"/>
  </r>
  <r>
    <s v="ID-2624"/>
    <n v="22"/>
    <x v="0"/>
    <n v="38"/>
    <n v="7"/>
    <n v="10140"/>
    <n v="89"/>
    <n v="7"/>
    <n v="29"/>
    <n v="5"/>
    <n v="1"/>
    <n v="1"/>
    <n v="55"/>
    <n v="163.935"/>
    <n v="0"/>
    <n v="2"/>
    <x v="0"/>
    <n v="1.616715976331361"/>
  </r>
  <r>
    <s v="ID-2625"/>
    <n v="14"/>
    <x v="0"/>
    <n v="38"/>
    <n v="0"/>
    <n v="5523"/>
    <n v="94"/>
    <n v="12"/>
    <n v="11"/>
    <n v="2"/>
    <n v="1"/>
    <n v="1"/>
    <n v="25"/>
    <n v="306.76499999999999"/>
    <n v="1"/>
    <n v="3"/>
    <x v="1"/>
    <n v="5.5543183052688754"/>
  </r>
  <r>
    <s v="ID-2626"/>
    <n v="5"/>
    <x v="0"/>
    <n v="36"/>
    <n v="1"/>
    <n v="2545"/>
    <n v="18"/>
    <n v="7"/>
    <n v="6"/>
    <n v="3"/>
    <n v="1"/>
    <n v="1"/>
    <n v="30"/>
    <n v="130.52000000000001"/>
    <n v="0"/>
    <n v="0"/>
    <x v="0"/>
    <n v="5.1284872298624755"/>
  </r>
  <r>
    <s v="ID-2627"/>
    <n v="10"/>
    <x v="0"/>
    <n v="37"/>
    <n v="0"/>
    <n v="2695"/>
    <n v="37"/>
    <n v="7"/>
    <n v="3"/>
    <n v="3"/>
    <n v="1"/>
    <n v="2"/>
    <n v="30"/>
    <n v="137.28"/>
    <n v="1"/>
    <n v="1"/>
    <x v="0"/>
    <n v="5.093877551020408"/>
  </r>
  <r>
    <s v="ID-2628"/>
    <n v="10"/>
    <x v="0"/>
    <n v="38"/>
    <n v="0"/>
    <n v="1973"/>
    <n v="40"/>
    <n v="20"/>
    <n v="18"/>
    <n v="3"/>
    <n v="1"/>
    <n v="2"/>
    <n v="30"/>
    <n v="160.52000000000001"/>
    <n v="1"/>
    <n v="1"/>
    <x v="0"/>
    <n v="8.1358337557019773"/>
  </r>
  <r>
    <s v="ID-2629"/>
    <n v="5"/>
    <x v="1"/>
    <n v="38"/>
    <n v="0"/>
    <n v="305"/>
    <n v="6"/>
    <n v="7"/>
    <n v="2"/>
    <n v="3"/>
    <n v="1"/>
    <n v="2"/>
    <n v="30"/>
    <n v="40.44"/>
    <n v="1"/>
    <n v="3"/>
    <x v="1"/>
    <n v="13.259016393442622"/>
  </r>
  <r>
    <s v="ID-2630"/>
    <n v="5"/>
    <x v="0"/>
    <n v="38"/>
    <n v="1"/>
    <n v="1373"/>
    <n v="21"/>
    <n v="7"/>
    <n v="2"/>
    <n v="4"/>
    <n v="1"/>
    <n v="1"/>
    <n v="45"/>
    <n v="52.35"/>
    <n v="0"/>
    <n v="0"/>
    <x v="0"/>
    <n v="3.8128186453022579"/>
  </r>
  <r>
    <s v="ID-2631"/>
    <n v="5"/>
    <x v="0"/>
    <n v="35"/>
    <n v="0"/>
    <n v="6490"/>
    <n v="93"/>
    <n v="7"/>
    <n v="9"/>
    <n v="5"/>
    <n v="1"/>
    <n v="1"/>
    <n v="55"/>
    <n v="109.245"/>
    <n v="0"/>
    <n v="1"/>
    <x v="0"/>
    <n v="1.683281972265023"/>
  </r>
  <r>
    <s v="ID-2632"/>
    <n v="5"/>
    <x v="0"/>
    <n v="38"/>
    <n v="0"/>
    <n v="305"/>
    <n v="6"/>
    <n v="7"/>
    <n v="2"/>
    <n v="4"/>
    <n v="1"/>
    <n v="2"/>
    <n v="45"/>
    <n v="25.274999999999999"/>
    <n v="1"/>
    <n v="1"/>
    <x v="0"/>
    <n v="8.2868852459016384"/>
  </r>
  <r>
    <s v="ID-2633"/>
    <n v="5"/>
    <x v="0"/>
    <n v="38"/>
    <n v="0"/>
    <n v="305"/>
    <n v="6"/>
    <n v="7"/>
    <n v="2"/>
    <n v="5"/>
    <n v="1"/>
    <n v="1"/>
    <n v="55"/>
    <n v="15.164999999999999"/>
    <n v="0"/>
    <n v="1"/>
    <x v="0"/>
    <n v="4.9721311475409831"/>
  </r>
  <r>
    <s v="ID-2634"/>
    <n v="26"/>
    <x v="0"/>
    <n v="33"/>
    <n v="2"/>
    <n v="15780"/>
    <n v="234"/>
    <n v="7"/>
    <n v="67"/>
    <n v="2"/>
    <n v="1"/>
    <n v="1"/>
    <n v="25"/>
    <n v="752.13"/>
    <n v="0"/>
    <n v="5"/>
    <x v="1"/>
    <n v="4.7663498098859316"/>
  </r>
  <r>
    <s v="ID-2635"/>
    <n v="7"/>
    <x v="0"/>
    <n v="36"/>
    <n v="2"/>
    <n v="6670"/>
    <n v="112"/>
    <n v="257"/>
    <n v="20"/>
    <n v="3"/>
    <n v="2"/>
    <n v="1"/>
    <n v="30"/>
    <n v="1299.28"/>
    <n v="0"/>
    <n v="0"/>
    <x v="0"/>
    <n v="19.479460269865069"/>
  </r>
  <r>
    <s v="ID-2636"/>
    <n v="5"/>
    <x v="0"/>
    <n v="38"/>
    <n v="0"/>
    <n v="3423"/>
    <n v="78"/>
    <n v="7"/>
    <n v="15"/>
    <n v="3"/>
    <n v="1"/>
    <n v="1"/>
    <n v="30"/>
    <n v="168.04"/>
    <n v="0"/>
    <n v="1"/>
    <x v="0"/>
    <n v="4.909144025708442"/>
  </r>
  <r>
    <s v="ID-2637"/>
    <n v="5"/>
    <x v="0"/>
    <n v="37"/>
    <n v="0"/>
    <n v="1370"/>
    <n v="40"/>
    <n v="24"/>
    <n v="7"/>
    <n v="3"/>
    <n v="1"/>
    <n v="2"/>
    <n v="30"/>
    <n v="152.4"/>
    <n v="0"/>
    <n v="1"/>
    <x v="0"/>
    <n v="11.124087591240876"/>
  </r>
  <r>
    <s v="ID-2638"/>
    <n v="7"/>
    <x v="0"/>
    <n v="38"/>
    <n v="0"/>
    <n v="2485"/>
    <n v="49"/>
    <n v="161"/>
    <n v="10"/>
    <n v="2"/>
    <n v="1"/>
    <n v="1"/>
    <n v="25"/>
    <n v="838.53"/>
    <n v="0"/>
    <n v="1"/>
    <x v="0"/>
    <n v="33.743661971830988"/>
  </r>
  <r>
    <s v="ID-2639"/>
    <n v="5"/>
    <x v="0"/>
    <n v="29"/>
    <n v="1"/>
    <n v="1020"/>
    <n v="32"/>
    <n v="179"/>
    <n v="2"/>
    <n v="3"/>
    <n v="2"/>
    <n v="1"/>
    <n v="30"/>
    <n v="758.08"/>
    <n v="0"/>
    <n v="0"/>
    <x v="0"/>
    <n v="74.321568627450986"/>
  </r>
  <r>
    <s v="ID-2640"/>
    <n v="5"/>
    <x v="0"/>
    <n v="28"/>
    <n v="0"/>
    <n v="1273"/>
    <n v="35"/>
    <n v="16"/>
    <n v="55"/>
    <n v="4"/>
    <n v="1"/>
    <n v="1"/>
    <n v="45"/>
    <n v="72.7"/>
    <n v="0"/>
    <n v="2"/>
    <x v="0"/>
    <n v="5.7109190887666932"/>
  </r>
  <r>
    <s v="ID-2641"/>
    <n v="12"/>
    <x v="0"/>
    <n v="29"/>
    <n v="0"/>
    <n v="405"/>
    <n v="21"/>
    <n v="7"/>
    <n v="2"/>
    <n v="3"/>
    <n v="1"/>
    <n v="2"/>
    <n v="30"/>
    <n v="45.04"/>
    <n v="0"/>
    <n v="3"/>
    <x v="1"/>
    <n v="11.120987654320988"/>
  </r>
  <r>
    <s v="ID-2642"/>
    <n v="5"/>
    <x v="0"/>
    <n v="28"/>
    <n v="0"/>
    <n v="305"/>
    <n v="6"/>
    <n v="7"/>
    <n v="2"/>
    <n v="4"/>
    <n v="1"/>
    <n v="2"/>
    <n v="45"/>
    <n v="25.274999999999999"/>
    <n v="0"/>
    <n v="1"/>
    <x v="0"/>
    <n v="8.2868852459016384"/>
  </r>
  <r>
    <s v="ID-2643"/>
    <n v="11"/>
    <x v="0"/>
    <n v="27"/>
    <n v="1"/>
    <n v="930"/>
    <n v="28"/>
    <n v="7"/>
    <n v="2"/>
    <n v="2"/>
    <n v="1"/>
    <n v="1"/>
    <n v="25"/>
    <n v="74.61"/>
    <n v="0"/>
    <n v="2"/>
    <x v="0"/>
    <n v="8.0225806451612893"/>
  </r>
  <r>
    <s v="ID-2644"/>
    <n v="5"/>
    <x v="0"/>
    <n v="27"/>
    <n v="0"/>
    <n v="2930"/>
    <n v="57"/>
    <n v="7"/>
    <n v="10"/>
    <n v="3"/>
    <n v="1"/>
    <n v="1"/>
    <n v="30"/>
    <n v="147.47999999999999"/>
    <n v="0"/>
    <n v="1"/>
    <x v="0"/>
    <n v="5.0334470989761089"/>
  </r>
  <r>
    <s v="ID-2645"/>
    <n v="5"/>
    <x v="0"/>
    <n v="20"/>
    <n v="1"/>
    <n v="1400"/>
    <n v="22"/>
    <n v="14"/>
    <n v="2"/>
    <n v="2"/>
    <n v="1"/>
    <n v="1"/>
    <n v="25"/>
    <n v="126.99"/>
    <n v="0"/>
    <n v="0"/>
    <x v="0"/>
    <n v="9.0707142857142848"/>
  </r>
  <r>
    <s v="ID-2646"/>
    <n v="17"/>
    <x v="0"/>
    <n v="19"/>
    <n v="0"/>
    <n v="6098"/>
    <n v="137"/>
    <n v="71"/>
    <n v="29"/>
    <n v="2"/>
    <n v="2"/>
    <n v="1"/>
    <n v="25"/>
    <n v="600.07500000000005"/>
    <n v="0"/>
    <n v="3"/>
    <x v="1"/>
    <n v="9.8405214824532639"/>
  </r>
  <r>
    <s v="ID-2647"/>
    <n v="13"/>
    <x v="0"/>
    <n v="17"/>
    <n v="0"/>
    <n v="8638"/>
    <n v="167"/>
    <n v="59"/>
    <n v="27"/>
    <n v="5"/>
    <n v="1"/>
    <n v="1"/>
    <n v="55"/>
    <n v="220.57499999999999"/>
    <n v="0"/>
    <n v="5"/>
    <x v="1"/>
    <n v="2.5535424866867329"/>
  </r>
  <r>
    <s v="ID-2648"/>
    <n v="9"/>
    <x v="0"/>
    <n v="18"/>
    <n v="2"/>
    <n v="2558"/>
    <n v="41"/>
    <n v="17"/>
    <n v="6"/>
    <n v="3"/>
    <n v="1"/>
    <n v="1"/>
    <n v="30"/>
    <n v="171.96"/>
    <n v="0"/>
    <n v="0"/>
    <x v="0"/>
    <n v="6.7224394057857699"/>
  </r>
  <r>
    <s v="ID-2649"/>
    <n v="5"/>
    <x v="0"/>
    <n v="11"/>
    <n v="1"/>
    <n v="4095"/>
    <n v="36"/>
    <n v="201"/>
    <n v="25"/>
    <n v="3"/>
    <n v="1"/>
    <n v="1"/>
    <n v="30"/>
    <n v="969.24"/>
    <n v="0"/>
    <n v="0"/>
    <x v="0"/>
    <n v="23.66886446886447"/>
  </r>
  <r>
    <s v="ID-2650"/>
    <n v="5"/>
    <x v="1"/>
    <n v="11"/>
    <n v="1"/>
    <n v="1193"/>
    <n v="15"/>
    <n v="7"/>
    <n v="2"/>
    <n v="3"/>
    <n v="1"/>
    <n v="1"/>
    <n v="30"/>
    <n v="76.319999999999993"/>
    <n v="1"/>
    <n v="2"/>
    <x v="0"/>
    <n v="6.3973176865046097"/>
  </r>
  <r>
    <s v="ID-2651"/>
    <n v="13"/>
    <x v="0"/>
    <n v="41"/>
    <n v="2"/>
    <n v="4790"/>
    <n v="83"/>
    <n v="44"/>
    <n v="23"/>
    <n v="3"/>
    <n v="1"/>
    <n v="1"/>
    <n v="30"/>
    <n v="370.92"/>
    <n v="0"/>
    <n v="2"/>
    <x v="0"/>
    <n v="7.7436325678496871"/>
  </r>
  <r>
    <s v="ID-2652"/>
    <n v="5"/>
    <x v="0"/>
    <n v="42"/>
    <n v="0"/>
    <n v="738"/>
    <n v="17"/>
    <n v="46"/>
    <n v="10"/>
    <n v="3"/>
    <n v="1"/>
    <n v="2"/>
    <n v="30"/>
    <n v="214.2"/>
    <n v="0"/>
    <n v="1"/>
    <x v="0"/>
    <n v="29.024390243902438"/>
  </r>
  <r>
    <s v="ID-2653"/>
    <n v="15"/>
    <x v="0"/>
    <n v="40"/>
    <n v="2"/>
    <n v="2873"/>
    <n v="72"/>
    <n v="398"/>
    <n v="30"/>
    <n v="3"/>
    <n v="1"/>
    <n v="1"/>
    <n v="30"/>
    <n v="1709.8"/>
    <n v="0"/>
    <n v="2"/>
    <x v="0"/>
    <n v="59.512704490080061"/>
  </r>
  <r>
    <s v="ID-2654"/>
    <n v="15"/>
    <x v="0"/>
    <n v="41"/>
    <n v="2"/>
    <n v="4618"/>
    <n v="78"/>
    <n v="40"/>
    <n v="41"/>
    <n v="1"/>
    <n v="1"/>
    <n v="1"/>
    <n v="15"/>
    <n v="478.28"/>
    <n v="0"/>
    <n v="2"/>
    <x v="0"/>
    <n v="10.356864443482026"/>
  </r>
  <r>
    <s v="ID-2655"/>
    <n v="8"/>
    <x v="0"/>
    <n v="41"/>
    <n v="2"/>
    <n v="2813"/>
    <n v="70"/>
    <n v="41"/>
    <n v="39"/>
    <n v="2"/>
    <n v="1"/>
    <n v="1"/>
    <n v="25"/>
    <n v="314.23500000000001"/>
    <n v="0"/>
    <n v="0"/>
    <x v="0"/>
    <n v="11.170814077497335"/>
  </r>
  <r>
    <s v="ID-2656"/>
    <n v="16"/>
    <x v="0"/>
    <n v="41"/>
    <n v="3"/>
    <n v="4195"/>
    <n v="94"/>
    <n v="71"/>
    <n v="34"/>
    <n v="3"/>
    <n v="1"/>
    <n v="1"/>
    <n v="30"/>
    <n v="455.56"/>
    <n v="0"/>
    <n v="2"/>
    <x v="0"/>
    <n v="10.859594755661501"/>
  </r>
  <r>
    <s v="ID-2657"/>
    <n v="9"/>
    <x v="0"/>
    <n v="41"/>
    <n v="2"/>
    <n v="2780"/>
    <n v="51"/>
    <n v="324"/>
    <n v="24"/>
    <n v="4"/>
    <n v="1"/>
    <n v="1"/>
    <n v="45"/>
    <n v="880.77499999999998"/>
    <n v="0"/>
    <n v="0"/>
    <x v="0"/>
    <n v="31.682553956834532"/>
  </r>
  <r>
    <s v="ID-2658"/>
    <n v="18"/>
    <x v="0"/>
    <n v="40"/>
    <n v="4"/>
    <n v="9535"/>
    <n v="133"/>
    <n v="183"/>
    <n v="49"/>
    <n v="3"/>
    <n v="1"/>
    <n v="1"/>
    <n v="30"/>
    <n v="1118.72"/>
    <n v="0"/>
    <n v="3"/>
    <x v="1"/>
    <n v="11.732773990561091"/>
  </r>
  <r>
    <s v="ID-2659"/>
    <n v="12"/>
    <x v="0"/>
    <n v="41"/>
    <n v="2"/>
    <n v="14193"/>
    <n v="181"/>
    <n v="39"/>
    <n v="50"/>
    <n v="3"/>
    <n v="1"/>
    <n v="1"/>
    <n v="30"/>
    <n v="730.96"/>
    <n v="0"/>
    <n v="5"/>
    <x v="1"/>
    <n v="5.1501444373987182"/>
  </r>
  <r>
    <s v="ID-2660"/>
    <n v="12"/>
    <x v="0"/>
    <n v="41"/>
    <n v="3"/>
    <n v="4935"/>
    <n v="95"/>
    <n v="41"/>
    <n v="31"/>
    <n v="4"/>
    <n v="1"/>
    <n v="1"/>
    <n v="45"/>
    <n v="228.25"/>
    <n v="0"/>
    <n v="2"/>
    <x v="0"/>
    <n v="4.6251266464032419"/>
  </r>
  <r>
    <s v="ID-2661"/>
    <n v="11"/>
    <x v="0"/>
    <n v="41"/>
    <n v="2"/>
    <n v="6338"/>
    <n v="107"/>
    <n v="46"/>
    <n v="18"/>
    <n v="3"/>
    <n v="1"/>
    <n v="1"/>
    <n v="30"/>
    <n v="441.8"/>
    <n v="0"/>
    <n v="2"/>
    <x v="0"/>
    <n v="6.9706532029031241"/>
  </r>
  <r>
    <s v="ID-2662"/>
    <n v="14"/>
    <x v="1"/>
    <n v="41"/>
    <n v="0"/>
    <n v="2658"/>
    <n v="66"/>
    <n v="47"/>
    <n v="23"/>
    <n v="4"/>
    <n v="1"/>
    <n v="2"/>
    <n v="45"/>
    <n v="185.6"/>
    <n v="0"/>
    <n v="5"/>
    <x v="1"/>
    <n v="6.982693754702785"/>
  </r>
  <r>
    <s v="ID-2663"/>
    <n v="30"/>
    <x v="0"/>
    <n v="41"/>
    <n v="5"/>
    <n v="15560"/>
    <n v="237"/>
    <n v="93"/>
    <n v="38"/>
    <n v="3"/>
    <n v="1"/>
    <n v="1"/>
    <n v="30"/>
    <n v="1003.88"/>
    <n v="0"/>
    <n v="4"/>
    <x v="1"/>
    <n v="6.4516709511568129"/>
  </r>
  <r>
    <s v="ID-2664"/>
    <n v="9"/>
    <x v="0"/>
    <n v="41"/>
    <n v="3"/>
    <n v="3515"/>
    <n v="39"/>
    <n v="522"/>
    <n v="14"/>
    <n v="4"/>
    <n v="1"/>
    <n v="1"/>
    <n v="45"/>
    <n v="1393.85"/>
    <n v="0"/>
    <n v="0"/>
    <x v="0"/>
    <n v="39.654338549075391"/>
  </r>
  <r>
    <s v="ID-2665"/>
    <n v="14"/>
    <x v="0"/>
    <n v="40"/>
    <n v="2"/>
    <n v="15905"/>
    <n v="194"/>
    <n v="189"/>
    <n v="36"/>
    <n v="3"/>
    <n v="1"/>
    <n v="1"/>
    <n v="30"/>
    <n v="1399.96"/>
    <n v="0"/>
    <n v="4"/>
    <x v="1"/>
    <n v="8.8020119459289532"/>
  </r>
  <r>
    <s v="ID-2666"/>
    <n v="8"/>
    <x v="0"/>
    <n v="40"/>
    <n v="3"/>
    <n v="6920"/>
    <n v="98"/>
    <n v="225"/>
    <n v="32"/>
    <n v="4"/>
    <n v="1"/>
    <n v="1"/>
    <n v="45"/>
    <n v="737.95"/>
    <n v="0"/>
    <n v="0"/>
    <x v="0"/>
    <n v="10.664017341040463"/>
  </r>
  <r>
    <s v="ID-2667"/>
    <n v="5"/>
    <x v="0"/>
    <n v="40"/>
    <n v="0"/>
    <n v="1295"/>
    <n v="26"/>
    <n v="39"/>
    <n v="17"/>
    <n v="3"/>
    <n v="1"/>
    <n v="2"/>
    <n v="30"/>
    <n v="208.84"/>
    <n v="0"/>
    <n v="1"/>
    <x v="0"/>
    <n v="16.126640926640924"/>
  </r>
  <r>
    <s v="ID-2668"/>
    <n v="7"/>
    <x v="0"/>
    <n v="41"/>
    <n v="0"/>
    <n v="1130"/>
    <n v="26"/>
    <n v="52"/>
    <n v="14"/>
    <n v="3"/>
    <n v="1"/>
    <n v="2"/>
    <n v="30"/>
    <n v="254.24"/>
    <n v="0"/>
    <n v="1"/>
    <x v="0"/>
    <n v="22.499115044247787"/>
  </r>
  <r>
    <s v="ID-2669"/>
    <n v="5"/>
    <x v="0"/>
    <n v="40"/>
    <n v="0"/>
    <n v="420"/>
    <n v="12"/>
    <n v="39"/>
    <n v="6"/>
    <n v="3"/>
    <n v="1"/>
    <n v="2"/>
    <n v="30"/>
    <n v="173.28"/>
    <n v="1"/>
    <n v="1"/>
    <x v="0"/>
    <n v="41.25714285714286"/>
  </r>
  <r>
    <s v="ID-2670"/>
    <n v="8"/>
    <x v="0"/>
    <n v="40"/>
    <n v="2"/>
    <n v="7928"/>
    <n v="139"/>
    <n v="423"/>
    <n v="49"/>
    <n v="3"/>
    <n v="1"/>
    <n v="1"/>
    <n v="30"/>
    <n v="2014.68"/>
    <n v="0"/>
    <n v="3"/>
    <x v="1"/>
    <n v="25.412209889001009"/>
  </r>
  <r>
    <s v="ID-2671"/>
    <n v="12"/>
    <x v="0"/>
    <n v="40"/>
    <n v="3"/>
    <n v="11885"/>
    <n v="166"/>
    <n v="50"/>
    <n v="53"/>
    <n v="4"/>
    <n v="1"/>
    <n v="1"/>
    <n v="45"/>
    <n v="426.27499999999998"/>
    <n v="0"/>
    <n v="5"/>
    <x v="1"/>
    <n v="3.5866638620109379"/>
  </r>
  <r>
    <s v="ID-2672"/>
    <n v="13"/>
    <x v="0"/>
    <n v="40"/>
    <n v="3"/>
    <n v="7138"/>
    <n v="87"/>
    <n v="147"/>
    <n v="43"/>
    <n v="3"/>
    <n v="1"/>
    <n v="1"/>
    <n v="30"/>
    <n v="877"/>
    <n v="0"/>
    <n v="2"/>
    <x v="0"/>
    <n v="12.286354721210422"/>
  </r>
  <r>
    <s v="ID-2673"/>
    <n v="28"/>
    <x v="1"/>
    <n v="36"/>
    <n v="0"/>
    <n v="1375"/>
    <n v="59"/>
    <n v="55"/>
    <n v="23"/>
    <n v="3"/>
    <n v="1"/>
    <n v="2"/>
    <n v="30"/>
    <n v="277.36"/>
    <n v="1"/>
    <n v="5"/>
    <x v="1"/>
    <n v="20.171636363636363"/>
  </r>
  <r>
    <s v="ID-2674"/>
    <n v="26"/>
    <x v="0"/>
    <n v="39"/>
    <n v="10"/>
    <n v="10855"/>
    <n v="105"/>
    <n v="40"/>
    <n v="48"/>
    <n v="5"/>
    <n v="2"/>
    <n v="1"/>
    <n v="55"/>
    <n v="224.4"/>
    <n v="0"/>
    <n v="3"/>
    <x v="1"/>
    <n v="2.067250115154307"/>
  </r>
  <r>
    <s v="ID-2675"/>
    <n v="18"/>
    <x v="0"/>
    <n v="39"/>
    <n v="3"/>
    <n v="6238"/>
    <n v="110"/>
    <n v="65"/>
    <n v="30"/>
    <n v="3"/>
    <n v="1"/>
    <n v="1"/>
    <n v="30"/>
    <n v="513.91999999999996"/>
    <n v="0"/>
    <n v="2"/>
    <x v="0"/>
    <n v="8.2385379929464566"/>
  </r>
  <r>
    <s v="ID-2676"/>
    <n v="6"/>
    <x v="0"/>
    <n v="37"/>
    <n v="2"/>
    <n v="3260"/>
    <n v="34"/>
    <n v="39"/>
    <n v="20"/>
    <n v="4"/>
    <n v="1"/>
    <n v="1"/>
    <n v="45"/>
    <n v="179.85"/>
    <n v="0"/>
    <n v="0"/>
    <x v="0"/>
    <n v="5.5168711656441713"/>
  </r>
  <r>
    <s v="ID-2677"/>
    <n v="14"/>
    <x v="0"/>
    <n v="38"/>
    <n v="0"/>
    <n v="3410"/>
    <n v="53"/>
    <n v="48"/>
    <n v="22"/>
    <n v="3"/>
    <n v="1"/>
    <n v="2"/>
    <n v="30"/>
    <n v="330.52"/>
    <n v="1"/>
    <n v="3"/>
    <x v="1"/>
    <n v="9.6926686217008804"/>
  </r>
  <r>
    <s v="ID-2678"/>
    <n v="14"/>
    <x v="1"/>
    <n v="39"/>
    <n v="0"/>
    <n v="2688"/>
    <n v="56"/>
    <n v="73"/>
    <n v="37"/>
    <n v="4"/>
    <n v="1"/>
    <n v="2"/>
    <n v="45"/>
    <n v="251.1"/>
    <n v="1"/>
    <n v="5"/>
    <x v="1"/>
    <n v="9.3415178571428577"/>
  </r>
  <r>
    <s v="ID-2679"/>
    <n v="5"/>
    <x v="0"/>
    <n v="39"/>
    <n v="0"/>
    <n v="553"/>
    <n v="14"/>
    <n v="39"/>
    <n v="8"/>
    <n v="3"/>
    <n v="1"/>
    <n v="2"/>
    <n v="30"/>
    <n v="178.68"/>
    <n v="1"/>
    <n v="1"/>
    <x v="0"/>
    <n v="32.311030741410491"/>
  </r>
  <r>
    <s v="ID-2680"/>
    <n v="6"/>
    <x v="0"/>
    <n v="39"/>
    <n v="2"/>
    <n v="2088"/>
    <n v="37"/>
    <n v="39"/>
    <n v="12"/>
    <n v="4"/>
    <n v="1"/>
    <n v="1"/>
    <n v="45"/>
    <n v="150.625"/>
    <n v="0"/>
    <n v="0"/>
    <x v="0"/>
    <n v="7.2138409961685825"/>
  </r>
  <r>
    <s v="ID-2681"/>
    <n v="8"/>
    <x v="0"/>
    <n v="36"/>
    <n v="3"/>
    <n v="7205"/>
    <n v="109"/>
    <n v="53"/>
    <n v="28"/>
    <n v="5"/>
    <n v="1"/>
    <n v="1"/>
    <n v="55"/>
    <n v="189.21"/>
    <n v="0"/>
    <n v="0"/>
    <x v="0"/>
    <n v="2.6260929909784871"/>
  </r>
  <r>
    <s v="ID-2682"/>
    <n v="5"/>
    <x v="0"/>
    <n v="39"/>
    <n v="0"/>
    <n v="1048"/>
    <n v="19"/>
    <n v="48"/>
    <n v="10"/>
    <n v="4"/>
    <n v="1"/>
    <n v="2"/>
    <n v="45"/>
    <n v="146.67500000000001"/>
    <n v="1"/>
    <n v="1"/>
    <x v="0"/>
    <n v="13.995706106870228"/>
  </r>
  <r>
    <s v="ID-2683"/>
    <n v="5"/>
    <x v="0"/>
    <n v="39"/>
    <n v="3"/>
    <n v="758"/>
    <n v="16"/>
    <n v="43"/>
    <n v="8"/>
    <n v="5"/>
    <n v="1"/>
    <n v="1"/>
    <n v="55"/>
    <n v="76.11"/>
    <n v="0"/>
    <n v="0"/>
    <x v="0"/>
    <n v="10.040897097625329"/>
  </r>
  <r>
    <s v="ID-2684"/>
    <n v="30"/>
    <x v="0"/>
    <n v="34"/>
    <n v="5"/>
    <n v="16495"/>
    <n v="250"/>
    <n v="39"/>
    <n v="86"/>
    <n v="2"/>
    <n v="2"/>
    <n v="1"/>
    <n v="25"/>
    <n v="929.02499999999998"/>
    <n v="0"/>
    <n v="5"/>
    <x v="1"/>
    <n v="5.6321612609881786"/>
  </r>
  <r>
    <s v="ID-2685"/>
    <n v="11"/>
    <x v="0"/>
    <n v="37"/>
    <n v="5"/>
    <n v="7385"/>
    <n v="128"/>
    <n v="310"/>
    <n v="39"/>
    <n v="3"/>
    <n v="2"/>
    <n v="1"/>
    <n v="30"/>
    <n v="1540.52"/>
    <n v="0"/>
    <n v="2"/>
    <x v="0"/>
    <n v="20.860121868652673"/>
  </r>
  <r>
    <s v="ID-2686"/>
    <n v="7"/>
    <x v="0"/>
    <n v="39"/>
    <n v="2"/>
    <n v="4138"/>
    <n v="94"/>
    <n v="41"/>
    <n v="34"/>
    <n v="3"/>
    <n v="1"/>
    <n v="1"/>
    <n v="30"/>
    <n v="333.28"/>
    <n v="0"/>
    <n v="0"/>
    <x v="0"/>
    <n v="8.0541324311261473"/>
  </r>
  <r>
    <s v="ID-2687"/>
    <n v="8"/>
    <x v="0"/>
    <n v="38"/>
    <n v="0"/>
    <n v="2085"/>
    <n v="56"/>
    <n v="77"/>
    <n v="26"/>
    <n v="4"/>
    <n v="1"/>
    <n v="2"/>
    <n v="45"/>
    <n v="246.02500000000001"/>
    <n v="0"/>
    <n v="1"/>
    <x v="0"/>
    <n v="11.799760191846524"/>
  </r>
  <r>
    <s v="ID-2688"/>
    <n v="11"/>
    <x v="0"/>
    <n v="39"/>
    <n v="2"/>
    <n v="3200"/>
    <n v="65"/>
    <n v="214"/>
    <n v="29"/>
    <n v="3"/>
    <n v="1"/>
    <n v="1"/>
    <n v="30"/>
    <n v="986.6"/>
    <n v="0"/>
    <n v="2"/>
    <x v="0"/>
    <n v="30.831249999999997"/>
  </r>
  <r>
    <s v="ID-2689"/>
    <n v="9"/>
    <x v="0"/>
    <n v="30"/>
    <n v="3"/>
    <n v="1735"/>
    <n v="48"/>
    <n v="232"/>
    <n v="17"/>
    <n v="3"/>
    <n v="2"/>
    <n v="1"/>
    <n v="30"/>
    <n v="999.32"/>
    <n v="0"/>
    <n v="0"/>
    <x v="0"/>
    <n v="57.59769452449568"/>
  </r>
  <r>
    <s v="ID-2690"/>
    <n v="9"/>
    <x v="0"/>
    <n v="29"/>
    <n v="2"/>
    <n v="1988"/>
    <n v="51"/>
    <n v="69"/>
    <n v="74"/>
    <n v="5"/>
    <n v="1"/>
    <n v="1"/>
    <n v="55"/>
    <n v="134.08500000000001"/>
    <n v="0"/>
    <n v="1"/>
    <x v="0"/>
    <n v="6.7447183098591559"/>
  </r>
  <r>
    <s v="ID-2691"/>
    <n v="16"/>
    <x v="0"/>
    <n v="30"/>
    <n v="0"/>
    <n v="1120"/>
    <n v="37"/>
    <n v="49"/>
    <n v="13"/>
    <n v="3"/>
    <n v="1"/>
    <n v="2"/>
    <n v="30"/>
    <n v="242.28"/>
    <n v="0"/>
    <n v="3"/>
    <x v="1"/>
    <n v="21.63214285714286"/>
  </r>
  <r>
    <s v="ID-2692"/>
    <n v="5"/>
    <x v="0"/>
    <n v="29"/>
    <n v="0"/>
    <n v="1245"/>
    <n v="22"/>
    <n v="60"/>
    <n v="9"/>
    <n v="4"/>
    <n v="1"/>
    <n v="2"/>
    <n v="45"/>
    <n v="181.67500000000001"/>
    <n v="0"/>
    <n v="1"/>
    <x v="0"/>
    <n v="14.59236947791165"/>
  </r>
  <r>
    <s v="ID-2693"/>
    <n v="15"/>
    <x v="0"/>
    <n v="28"/>
    <n v="2"/>
    <n v="1645"/>
    <n v="44"/>
    <n v="58"/>
    <n v="19"/>
    <n v="2"/>
    <n v="1"/>
    <n v="1"/>
    <n v="25"/>
    <n v="337.005"/>
    <n v="0"/>
    <n v="2"/>
    <x v="0"/>
    <n v="20.486626139817631"/>
  </r>
  <r>
    <s v="ID-2694"/>
    <n v="7"/>
    <x v="0"/>
    <n v="28"/>
    <n v="2"/>
    <n v="3645"/>
    <n v="73"/>
    <n v="47"/>
    <n v="29"/>
    <n v="4"/>
    <n v="1"/>
    <n v="1"/>
    <n v="45"/>
    <n v="210.45"/>
    <n v="0"/>
    <n v="0"/>
    <x v="0"/>
    <n v="5.7736625514403288"/>
  </r>
  <r>
    <s v="ID-2695"/>
    <n v="7"/>
    <x v="0"/>
    <n v="21"/>
    <n v="2"/>
    <n v="2115"/>
    <n v="38"/>
    <n v="67"/>
    <n v="20"/>
    <n v="3"/>
    <n v="1"/>
    <n v="1"/>
    <n v="30"/>
    <n v="354.12"/>
    <n v="0"/>
    <n v="0"/>
    <x v="0"/>
    <n v="16.743262411347519"/>
  </r>
  <r>
    <s v="ID-2696"/>
    <n v="21"/>
    <x v="0"/>
    <n v="20"/>
    <n v="3"/>
    <n v="6813"/>
    <n v="153"/>
    <n v="124"/>
    <n v="48"/>
    <n v="2"/>
    <n v="2"/>
    <n v="1"/>
    <n v="25"/>
    <n v="871.47"/>
    <n v="0"/>
    <n v="5"/>
    <x v="1"/>
    <n v="12.791281373844122"/>
  </r>
  <r>
    <s v="ID-2697"/>
    <n v="17"/>
    <x v="0"/>
    <n v="18"/>
    <n v="2"/>
    <n v="9353"/>
    <n v="183"/>
    <n v="112"/>
    <n v="46"/>
    <n v="5"/>
    <n v="1"/>
    <n v="1"/>
    <n v="55"/>
    <n v="311.04000000000002"/>
    <n v="0"/>
    <n v="4"/>
    <x v="1"/>
    <n v="3.3255639901635838"/>
  </r>
  <r>
    <s v="ID-2698"/>
    <n v="13"/>
    <x v="0"/>
    <n v="19"/>
    <n v="5"/>
    <n v="3273"/>
    <n v="57"/>
    <n v="70"/>
    <n v="25"/>
    <n v="4"/>
    <n v="1"/>
    <n v="1"/>
    <n v="45"/>
    <n v="258.25"/>
    <n v="0"/>
    <n v="2"/>
    <x v="0"/>
    <n v="7.8903146959975548"/>
  </r>
  <r>
    <s v="ID-2699"/>
    <n v="7"/>
    <x v="0"/>
    <n v="12"/>
    <n v="3"/>
    <n v="4810"/>
    <n v="52"/>
    <n v="254"/>
    <n v="16"/>
    <n v="3"/>
    <n v="1"/>
    <n v="1"/>
    <n v="30"/>
    <n v="1210.48"/>
    <n v="0"/>
    <n v="0"/>
    <x v="0"/>
    <n v="25.165904365904368"/>
  </r>
  <r>
    <s v="ID-2700"/>
    <n v="8"/>
    <x v="1"/>
    <n v="12"/>
    <n v="3"/>
    <n v="1908"/>
    <n v="31"/>
    <n v="39"/>
    <n v="13"/>
    <n v="3"/>
    <n v="1"/>
    <n v="1"/>
    <n v="30"/>
    <n v="233.56"/>
    <n v="1"/>
    <n v="2"/>
    <x v="0"/>
    <n v="12.241090146750524"/>
  </r>
  <r>
    <s v="ID-2701"/>
    <n v="13"/>
    <x v="0"/>
    <n v="39"/>
    <n v="0"/>
    <n v="4560"/>
    <n v="71"/>
    <n v="7"/>
    <n v="15"/>
    <n v="2"/>
    <n v="1"/>
    <n v="1"/>
    <n v="25"/>
    <n v="239.89500000000001"/>
    <n v="0"/>
    <n v="3"/>
    <x v="1"/>
    <n v="5.2608552631578949"/>
  </r>
  <r>
    <s v="ID-2702"/>
    <n v="5"/>
    <x v="0"/>
    <n v="40"/>
    <n v="0"/>
    <n v="305"/>
    <n v="6"/>
    <n v="7"/>
    <n v="2"/>
    <n v="2"/>
    <n v="1"/>
    <n v="2"/>
    <n v="25"/>
    <n v="45.494999999999997"/>
    <n v="0"/>
    <n v="1"/>
    <x v="0"/>
    <n v="14.916393442622949"/>
  </r>
  <r>
    <s v="ID-2703"/>
    <n v="15"/>
    <x v="0"/>
    <n v="38"/>
    <n v="0"/>
    <n v="2643"/>
    <n v="60"/>
    <n v="334"/>
    <n v="22"/>
    <n v="2"/>
    <n v="1"/>
    <n v="1"/>
    <n v="25"/>
    <n v="1624.635"/>
    <n v="0"/>
    <n v="3"/>
    <x v="1"/>
    <n v="61.469353007945514"/>
  </r>
  <r>
    <s v="ID-2704"/>
    <n v="15"/>
    <x v="0"/>
    <n v="39"/>
    <n v="0"/>
    <n v="4388"/>
    <n v="66"/>
    <n v="7"/>
    <n v="33"/>
    <n v="1"/>
    <n v="1"/>
    <n v="1"/>
    <n v="15"/>
    <n v="283.47000000000003"/>
    <n v="0"/>
    <n v="3"/>
    <x v="1"/>
    <n v="6.4601185050136749"/>
  </r>
  <r>
    <s v="ID-2705"/>
    <n v="8"/>
    <x v="0"/>
    <n v="39"/>
    <n v="0"/>
    <n v="2583"/>
    <n v="58"/>
    <n v="7"/>
    <n v="31"/>
    <n v="1"/>
    <n v="1"/>
    <n v="1"/>
    <n v="15"/>
    <n v="183.755"/>
    <n v="0"/>
    <n v="1"/>
    <x v="0"/>
    <n v="7.1140147115756864"/>
  </r>
  <r>
    <s v="ID-2706"/>
    <n v="16"/>
    <x v="0"/>
    <n v="39"/>
    <n v="1"/>
    <n v="3965"/>
    <n v="82"/>
    <n v="7"/>
    <n v="26"/>
    <n v="3"/>
    <n v="1"/>
    <n v="1"/>
    <n v="30"/>
    <n v="189.88"/>
    <n v="0"/>
    <n v="2"/>
    <x v="0"/>
    <n v="4.7889029003783099"/>
  </r>
  <r>
    <s v="ID-2707"/>
    <n v="9"/>
    <x v="0"/>
    <n v="39"/>
    <n v="0"/>
    <n v="2550"/>
    <n v="39"/>
    <n v="260"/>
    <n v="16"/>
    <n v="3"/>
    <n v="1"/>
    <n v="1"/>
    <n v="30"/>
    <n v="1143.56"/>
    <n v="0"/>
    <n v="1"/>
    <x v="0"/>
    <n v="44.84549019607843"/>
  </r>
  <r>
    <s v="ID-2708"/>
    <n v="18"/>
    <x v="0"/>
    <n v="38"/>
    <n v="2"/>
    <n v="9305"/>
    <n v="121"/>
    <n v="119"/>
    <n v="41"/>
    <n v="3"/>
    <n v="1"/>
    <n v="1"/>
    <n v="30"/>
    <n v="853.04"/>
    <n v="0"/>
    <n v="2"/>
    <x v="0"/>
    <n v="9.1675443310048355"/>
  </r>
  <r>
    <s v="ID-2709"/>
    <n v="12"/>
    <x v="0"/>
    <n v="39"/>
    <n v="0"/>
    <n v="13963"/>
    <n v="169"/>
    <n v="7"/>
    <n v="42"/>
    <n v="3"/>
    <n v="1"/>
    <n v="1"/>
    <n v="30"/>
    <n v="593.28"/>
    <n v="0"/>
    <n v="5"/>
    <x v="1"/>
    <n v="4.2489436367542783"/>
  </r>
  <r>
    <s v="ID-2710"/>
    <n v="12"/>
    <x v="0"/>
    <n v="39"/>
    <n v="1"/>
    <n v="4705"/>
    <n v="83"/>
    <n v="7"/>
    <n v="23"/>
    <n v="3"/>
    <n v="1"/>
    <n v="1"/>
    <n v="30"/>
    <n v="219.52"/>
    <n v="0"/>
    <n v="2"/>
    <x v="0"/>
    <n v="4.6656748140276303"/>
  </r>
  <r>
    <s v="ID-2711"/>
    <n v="11"/>
    <x v="0"/>
    <n v="39"/>
    <n v="0"/>
    <n v="6108"/>
    <n v="95"/>
    <n v="7"/>
    <n v="10"/>
    <n v="2"/>
    <n v="1"/>
    <n v="1"/>
    <n v="25"/>
    <n v="310.63499999999999"/>
    <n v="0"/>
    <n v="3"/>
    <x v="1"/>
    <n v="5.0857072691552059"/>
  </r>
  <r>
    <s v="ID-2712"/>
    <n v="14"/>
    <x v="1"/>
    <n v="39"/>
    <n v="0"/>
    <n v="2428"/>
    <n v="54"/>
    <n v="7"/>
    <n v="15"/>
    <n v="3"/>
    <n v="1"/>
    <n v="2"/>
    <n v="30"/>
    <n v="127.28"/>
    <n v="0"/>
    <n v="5"/>
    <x v="1"/>
    <n v="5.2421746293245466"/>
  </r>
  <r>
    <s v="ID-2713"/>
    <n v="30"/>
    <x v="0"/>
    <n v="39"/>
    <n v="3"/>
    <n v="15330"/>
    <n v="225"/>
    <n v="29"/>
    <n v="30"/>
    <n v="3"/>
    <n v="1"/>
    <n v="1"/>
    <n v="30"/>
    <n v="738.2"/>
    <n v="0"/>
    <n v="4"/>
    <x v="1"/>
    <n v="4.815394651011089"/>
  </r>
  <r>
    <s v="ID-2714"/>
    <n v="9"/>
    <x v="0"/>
    <n v="39"/>
    <n v="1"/>
    <n v="3285"/>
    <n v="27"/>
    <n v="458"/>
    <n v="6"/>
    <n v="3"/>
    <n v="1"/>
    <n v="1"/>
    <n v="30"/>
    <n v="1964.48"/>
    <n v="0"/>
    <n v="0"/>
    <x v="0"/>
    <n v="59.801522070015224"/>
  </r>
  <r>
    <s v="ID-2715"/>
    <n v="14"/>
    <x v="0"/>
    <n v="38"/>
    <n v="0"/>
    <n v="15675"/>
    <n v="182"/>
    <n v="125"/>
    <n v="28"/>
    <n v="2"/>
    <n v="1"/>
    <n v="1"/>
    <n v="25"/>
    <n v="1276.0650000000001"/>
    <n v="0"/>
    <n v="5"/>
    <x v="1"/>
    <n v="8.1407655502392338"/>
  </r>
  <r>
    <s v="ID-2716"/>
    <n v="8"/>
    <x v="0"/>
    <n v="38"/>
    <n v="1"/>
    <n v="6690"/>
    <n v="86"/>
    <n v="161"/>
    <n v="24"/>
    <n v="3"/>
    <n v="1"/>
    <n v="1"/>
    <n v="30"/>
    <n v="915.04"/>
    <n v="0"/>
    <n v="0"/>
    <x v="0"/>
    <n v="13.677727952167412"/>
  </r>
  <r>
    <s v="ID-2717"/>
    <n v="5"/>
    <x v="0"/>
    <n v="38"/>
    <n v="0"/>
    <n v="1065"/>
    <n v="14"/>
    <n v="7"/>
    <n v="9"/>
    <n v="2"/>
    <n v="1"/>
    <n v="2"/>
    <n v="25"/>
    <n v="80.055000000000007"/>
    <n v="0"/>
    <n v="1"/>
    <x v="0"/>
    <n v="7.5169014084507051"/>
  </r>
  <r>
    <s v="ID-2718"/>
    <n v="7"/>
    <x v="0"/>
    <n v="39"/>
    <n v="0"/>
    <n v="900"/>
    <n v="14"/>
    <n v="7"/>
    <n v="6"/>
    <n v="2"/>
    <n v="1"/>
    <n v="2"/>
    <n v="25"/>
    <n v="72.63"/>
    <n v="0"/>
    <n v="1"/>
    <x v="0"/>
    <n v="8.07"/>
  </r>
  <r>
    <s v="ID-2719"/>
    <n v="5"/>
    <x v="0"/>
    <n v="38"/>
    <n v="0"/>
    <n v="305"/>
    <n v="6"/>
    <n v="7"/>
    <n v="2"/>
    <n v="2"/>
    <n v="1"/>
    <n v="2"/>
    <n v="25"/>
    <n v="45.494999999999997"/>
    <n v="1"/>
    <n v="1"/>
    <x v="0"/>
    <n v="14.916393442622949"/>
  </r>
  <r>
    <s v="ID-2720"/>
    <n v="8"/>
    <x v="0"/>
    <n v="38"/>
    <n v="0"/>
    <n v="7698"/>
    <n v="127"/>
    <n v="359"/>
    <n v="41"/>
    <n v="2"/>
    <n v="1"/>
    <n v="1"/>
    <n v="25"/>
    <n v="1967.625"/>
    <n v="0"/>
    <n v="1"/>
    <x v="0"/>
    <n v="25.560210444271242"/>
  </r>
  <r>
    <s v="ID-2721"/>
    <n v="12"/>
    <x v="0"/>
    <n v="38"/>
    <n v="1"/>
    <n v="11655"/>
    <n v="154"/>
    <n v="7"/>
    <n v="45"/>
    <n v="3"/>
    <n v="1"/>
    <n v="1"/>
    <n v="30"/>
    <n v="500.36"/>
    <n v="0"/>
    <n v="4"/>
    <x v="1"/>
    <n v="4.2930930930930931"/>
  </r>
  <r>
    <s v="ID-2722"/>
    <n v="13"/>
    <x v="0"/>
    <n v="38"/>
    <n v="1"/>
    <n v="6908"/>
    <n v="75"/>
    <n v="83"/>
    <n v="35"/>
    <n v="2"/>
    <n v="1"/>
    <n v="1"/>
    <n v="25"/>
    <n v="687.73500000000001"/>
    <n v="0"/>
    <n v="2"/>
    <x v="0"/>
    <n v="9.9556311522872036"/>
  </r>
  <r>
    <s v="ID-2723"/>
    <n v="28"/>
    <x v="1"/>
    <n v="34"/>
    <n v="0"/>
    <n v="1145"/>
    <n v="47"/>
    <n v="7"/>
    <n v="15"/>
    <n v="2"/>
    <n v="1"/>
    <n v="2"/>
    <n v="25"/>
    <n v="85.14"/>
    <n v="1"/>
    <n v="5"/>
    <x v="1"/>
    <n v="7.4358078602620088"/>
  </r>
  <r>
    <s v="ID-2724"/>
    <n v="26"/>
    <x v="0"/>
    <n v="37"/>
    <n v="8"/>
    <n v="10625"/>
    <n v="93"/>
    <n v="7"/>
    <n v="40"/>
    <n v="4"/>
    <n v="1"/>
    <n v="1"/>
    <n v="45"/>
    <n v="285.45"/>
    <n v="0"/>
    <n v="2"/>
    <x v="0"/>
    <n v="2.6865882352941175"/>
  </r>
  <r>
    <s v="ID-2725"/>
    <n v="18"/>
    <x v="0"/>
    <n v="37"/>
    <n v="1"/>
    <n v="6008"/>
    <n v="98"/>
    <n v="7"/>
    <n v="22"/>
    <n v="2"/>
    <n v="1"/>
    <n v="1"/>
    <n v="25"/>
    <n v="306.27"/>
    <n v="1"/>
    <n v="2"/>
    <x v="0"/>
    <n v="5.0977030625832223"/>
  </r>
  <r>
    <s v="ID-2726"/>
    <n v="6"/>
    <x v="0"/>
    <n v="35"/>
    <n v="0"/>
    <n v="3030"/>
    <n v="22"/>
    <n v="7"/>
    <n v="12"/>
    <n v="3"/>
    <n v="1"/>
    <n v="1"/>
    <n v="30"/>
    <n v="150.08000000000001"/>
    <n v="0"/>
    <n v="1"/>
    <x v="0"/>
    <n v="4.9531353135313534"/>
  </r>
  <r>
    <s v="ID-2727"/>
    <n v="14"/>
    <x v="0"/>
    <n v="36"/>
    <n v="0"/>
    <n v="3180"/>
    <n v="41"/>
    <n v="7"/>
    <n v="14"/>
    <n v="3"/>
    <n v="1"/>
    <n v="2"/>
    <n v="30"/>
    <n v="156.84"/>
    <n v="1"/>
    <n v="3"/>
    <x v="1"/>
    <n v="4.9320754716981137"/>
  </r>
  <r>
    <s v="ID-2728"/>
    <n v="14"/>
    <x v="0"/>
    <n v="37"/>
    <n v="0"/>
    <n v="2458"/>
    <n v="44"/>
    <n v="9"/>
    <n v="29"/>
    <n v="3"/>
    <n v="1"/>
    <n v="2"/>
    <n v="30"/>
    <n v="136.08000000000001"/>
    <n v="1"/>
    <n v="3"/>
    <x v="1"/>
    <n v="5.5362082994304318"/>
  </r>
  <r>
    <s v="ID-2729"/>
    <n v="5"/>
    <x v="1"/>
    <n v="37"/>
    <n v="0"/>
    <n v="305"/>
    <n v="6"/>
    <n v="7"/>
    <n v="2"/>
    <n v="3"/>
    <n v="1"/>
    <n v="2"/>
    <n v="30"/>
    <n v="40.44"/>
    <n v="1"/>
    <n v="3"/>
    <x v="1"/>
    <n v="13.259016393442622"/>
  </r>
  <r>
    <s v="ID-2730"/>
    <n v="6"/>
    <x v="0"/>
    <n v="37"/>
    <n v="0"/>
    <n v="1858"/>
    <n v="25"/>
    <n v="7"/>
    <n v="4"/>
    <n v="3"/>
    <n v="1"/>
    <n v="1"/>
    <n v="30"/>
    <n v="103.32"/>
    <n v="0"/>
    <n v="1"/>
    <x v="0"/>
    <n v="5.560818083961248"/>
  </r>
  <r>
    <s v="ID-2731"/>
    <n v="8"/>
    <x v="0"/>
    <n v="34"/>
    <n v="1"/>
    <n v="6975"/>
    <n v="97"/>
    <n v="7"/>
    <n v="20"/>
    <n v="4"/>
    <n v="1"/>
    <n v="1"/>
    <n v="45"/>
    <n v="194.3"/>
    <n v="0"/>
    <n v="0"/>
    <x v="0"/>
    <n v="2.7856630824372761"/>
  </r>
  <r>
    <s v="ID-2732"/>
    <n v="5"/>
    <x v="0"/>
    <n v="37"/>
    <n v="0"/>
    <n v="818"/>
    <n v="7"/>
    <n v="7"/>
    <n v="2"/>
    <n v="4"/>
    <n v="1"/>
    <n v="2"/>
    <n v="45"/>
    <n v="38.125"/>
    <n v="1"/>
    <n v="1"/>
    <x v="0"/>
    <n v="4.6607579462102695"/>
  </r>
  <r>
    <s v="ID-2733"/>
    <n v="5"/>
    <x v="0"/>
    <n v="37"/>
    <n v="1"/>
    <n v="305"/>
    <n v="6"/>
    <n v="7"/>
    <n v="2"/>
    <n v="5"/>
    <n v="1"/>
    <n v="1"/>
    <n v="55"/>
    <n v="15.164999999999999"/>
    <n v="0"/>
    <n v="0"/>
    <x v="0"/>
    <n v="4.9721311475409831"/>
  </r>
  <r>
    <s v="ID-2734"/>
    <n v="30"/>
    <x v="0"/>
    <n v="32"/>
    <n v="3"/>
    <n v="16265"/>
    <n v="238"/>
    <n v="7"/>
    <n v="78"/>
    <n v="2"/>
    <n v="1"/>
    <n v="1"/>
    <n v="25"/>
    <n v="774.13499999999999"/>
    <n v="0"/>
    <n v="5"/>
    <x v="1"/>
    <n v="4.7595142944973867"/>
  </r>
  <r>
    <s v="ID-2735"/>
    <n v="11"/>
    <x v="0"/>
    <n v="35"/>
    <n v="3"/>
    <n v="7155"/>
    <n v="116"/>
    <n v="246"/>
    <n v="31"/>
    <n v="2"/>
    <n v="2"/>
    <n v="1"/>
    <n v="25"/>
    <n v="1434.1949999999999"/>
    <n v="0"/>
    <n v="2"/>
    <x v="0"/>
    <n v="20.044654088050315"/>
  </r>
  <r>
    <s v="ID-2736"/>
    <n v="7"/>
    <x v="0"/>
    <n v="37"/>
    <n v="0"/>
    <n v="3908"/>
    <n v="82"/>
    <n v="7"/>
    <n v="26"/>
    <n v="2"/>
    <n v="1"/>
    <n v="1"/>
    <n v="25"/>
    <n v="211.05"/>
    <n v="0"/>
    <n v="1"/>
    <x v="0"/>
    <n v="5.4004605936540431"/>
  </r>
  <r>
    <s v="ID-2737"/>
    <n v="8"/>
    <x v="0"/>
    <n v="36"/>
    <n v="0"/>
    <n v="1855"/>
    <n v="44"/>
    <n v="13"/>
    <n v="18"/>
    <n v="3"/>
    <n v="1"/>
    <n v="2"/>
    <n v="30"/>
    <n v="127.96"/>
    <n v="0"/>
    <n v="1"/>
    <x v="0"/>
    <n v="6.8981132075471701"/>
  </r>
  <r>
    <s v="ID-2738"/>
    <n v="11"/>
    <x v="0"/>
    <n v="37"/>
    <n v="0"/>
    <n v="2970"/>
    <n v="53"/>
    <n v="150"/>
    <n v="21"/>
    <n v="2"/>
    <n v="1"/>
    <n v="1"/>
    <n v="25"/>
    <n v="811.03499999999997"/>
    <n v="0"/>
    <n v="3"/>
    <x v="1"/>
    <n v="27.307575757575759"/>
  </r>
  <r>
    <s v="ID-2739"/>
    <n v="9"/>
    <x v="0"/>
    <n v="28"/>
    <n v="1"/>
    <n v="1505"/>
    <n v="36"/>
    <n v="168"/>
    <n v="9"/>
    <n v="2"/>
    <n v="2"/>
    <n v="1"/>
    <n v="25"/>
    <n v="825.34500000000003"/>
    <n v="0"/>
    <n v="0"/>
    <x v="0"/>
    <n v="54.840199335548178"/>
  </r>
  <r>
    <s v="ID-2740"/>
    <n v="9"/>
    <x v="0"/>
    <n v="27"/>
    <n v="0"/>
    <n v="1758"/>
    <n v="39"/>
    <n v="7"/>
    <n v="66"/>
    <n v="4"/>
    <n v="1"/>
    <n v="1"/>
    <n v="45"/>
    <n v="62.424999999999997"/>
    <n v="0"/>
    <n v="2"/>
    <x v="0"/>
    <n v="3.5509101251422073"/>
  </r>
  <r>
    <s v="ID-2741"/>
    <n v="16"/>
    <x v="0"/>
    <n v="28"/>
    <n v="0"/>
    <n v="890"/>
    <n v="25"/>
    <n v="7"/>
    <n v="5"/>
    <n v="2"/>
    <n v="1"/>
    <n v="2"/>
    <n v="25"/>
    <n v="72.674999999999997"/>
    <n v="0"/>
    <n v="3"/>
    <x v="1"/>
    <n v="8.1657303370786511"/>
  </r>
  <r>
    <s v="ID-2742"/>
    <n v="5"/>
    <x v="0"/>
    <n v="27"/>
    <n v="0"/>
    <n v="1015"/>
    <n v="10"/>
    <n v="7"/>
    <n v="2"/>
    <n v="4"/>
    <n v="1"/>
    <n v="2"/>
    <n v="45"/>
    <n v="43.125"/>
    <n v="0"/>
    <n v="1"/>
    <x v="0"/>
    <n v="4.2487684729064039"/>
  </r>
  <r>
    <s v="ID-2743"/>
    <n v="15"/>
    <x v="0"/>
    <n v="26"/>
    <n v="0"/>
    <n v="1415"/>
    <n v="32"/>
    <n v="7"/>
    <n v="11"/>
    <n v="2"/>
    <n v="1"/>
    <n v="1"/>
    <n v="25"/>
    <n v="96.614999999999995"/>
    <n v="0"/>
    <n v="3"/>
    <x v="1"/>
    <n v="6.8279151943462884"/>
  </r>
  <r>
    <s v="ID-2744"/>
    <n v="7"/>
    <x v="0"/>
    <n v="26"/>
    <n v="0"/>
    <n v="3415"/>
    <n v="61"/>
    <n v="7"/>
    <n v="21"/>
    <n v="3"/>
    <n v="1"/>
    <n v="1"/>
    <n v="30"/>
    <n v="167.04"/>
    <n v="0"/>
    <n v="1"/>
    <x v="0"/>
    <n v="4.8913616398243045"/>
  </r>
  <r>
    <s v="ID-2745"/>
    <n v="7"/>
    <x v="0"/>
    <n v="19"/>
    <n v="0"/>
    <n v="1885"/>
    <n v="26"/>
    <n v="7"/>
    <n v="12"/>
    <n v="2"/>
    <n v="1"/>
    <n v="1"/>
    <n v="25"/>
    <n v="117.495"/>
    <n v="0"/>
    <n v="1"/>
    <x v="0"/>
    <n v="6.2331564986737407"/>
  </r>
  <r>
    <s v="ID-2746"/>
    <n v="21"/>
    <x v="0"/>
    <n v="18"/>
    <n v="1"/>
    <n v="6583"/>
    <n v="141"/>
    <n v="60"/>
    <n v="40"/>
    <n v="1"/>
    <n v="2"/>
    <n v="1"/>
    <n v="15"/>
    <n v="699.82"/>
    <n v="0"/>
    <n v="4"/>
    <x v="1"/>
    <n v="10.630715479264774"/>
  </r>
  <r>
    <s v="ID-2747"/>
    <n v="17"/>
    <x v="0"/>
    <n v="16"/>
    <n v="0"/>
    <n v="9123"/>
    <n v="171"/>
    <n v="48"/>
    <n v="38"/>
    <n v="4"/>
    <n v="1"/>
    <n v="1"/>
    <n v="45"/>
    <n v="352.35"/>
    <n v="0"/>
    <n v="5"/>
    <x v="1"/>
    <n v="3.8622163761920425"/>
  </r>
  <r>
    <s v="ID-2748"/>
    <n v="13"/>
    <x v="0"/>
    <n v="17"/>
    <n v="3"/>
    <n v="3043"/>
    <n v="45"/>
    <n v="7"/>
    <n v="17"/>
    <n v="3"/>
    <n v="1"/>
    <n v="1"/>
    <n v="30"/>
    <n v="151.52000000000001"/>
    <n v="0"/>
    <n v="2"/>
    <x v="0"/>
    <n v="4.979296746631614"/>
  </r>
  <r>
    <s v="ID-2749"/>
    <n v="7"/>
    <x v="0"/>
    <n v="10"/>
    <n v="1"/>
    <n v="4580"/>
    <n v="40"/>
    <n v="190"/>
    <n v="8"/>
    <n v="3"/>
    <n v="1"/>
    <n v="1"/>
    <n v="30"/>
    <n v="944.8"/>
    <n v="0"/>
    <n v="0"/>
    <x v="0"/>
    <n v="20.628820960698686"/>
  </r>
  <r>
    <s v="ID-2750"/>
    <n v="8"/>
    <x v="0"/>
    <n v="10"/>
    <n v="1"/>
    <n v="1678"/>
    <n v="19"/>
    <n v="7"/>
    <n v="5"/>
    <n v="3"/>
    <n v="1"/>
    <n v="1"/>
    <n v="30"/>
    <n v="95.88"/>
    <n v="1"/>
    <n v="0"/>
    <x v="0"/>
    <n v="5.7139451728247916"/>
  </r>
  <r>
    <s v="ID-2751"/>
    <n v="15"/>
    <x v="0"/>
    <n v="40"/>
    <n v="1"/>
    <n v="4865"/>
    <n v="78"/>
    <n v="21"/>
    <n v="22"/>
    <n v="3"/>
    <n v="1"/>
    <n v="1"/>
    <n v="30"/>
    <n v="281.72000000000003"/>
    <n v="0"/>
    <n v="2"/>
    <x v="0"/>
    <n v="5.7907502569373079"/>
  </r>
  <r>
    <s v="ID-2752"/>
    <n v="7"/>
    <x v="0"/>
    <n v="41"/>
    <n v="0"/>
    <n v="813"/>
    <n v="12"/>
    <n v="23"/>
    <n v="9"/>
    <n v="3"/>
    <n v="1"/>
    <n v="2"/>
    <n v="30"/>
    <n v="125"/>
    <n v="0"/>
    <n v="1"/>
    <x v="0"/>
    <n v="15.375153751537516"/>
  </r>
  <r>
    <s v="ID-2753"/>
    <n v="17"/>
    <x v="0"/>
    <n v="39"/>
    <n v="1"/>
    <n v="2948"/>
    <n v="67"/>
    <n v="375"/>
    <n v="29"/>
    <n v="3"/>
    <n v="1"/>
    <n v="1"/>
    <n v="30"/>
    <n v="1620.6"/>
    <n v="0"/>
    <n v="2"/>
    <x v="0"/>
    <n v="54.972862957937586"/>
  </r>
  <r>
    <s v="ID-2754"/>
    <n v="17"/>
    <x v="0"/>
    <n v="40"/>
    <n v="1"/>
    <n v="4693"/>
    <n v="73"/>
    <n v="17"/>
    <n v="40"/>
    <n v="1"/>
    <n v="1"/>
    <n v="1"/>
    <n v="15"/>
    <n v="355.63"/>
    <n v="0"/>
    <n v="2"/>
    <x v="0"/>
    <n v="7.577881951843171"/>
  </r>
  <r>
    <s v="ID-2755"/>
    <n v="10"/>
    <x v="0"/>
    <n v="40"/>
    <n v="1"/>
    <n v="2888"/>
    <n v="65"/>
    <n v="18"/>
    <n v="38"/>
    <n v="2"/>
    <n v="1"/>
    <n v="1"/>
    <n v="25"/>
    <n v="213.88499999999999"/>
    <n v="0"/>
    <n v="0"/>
    <x v="0"/>
    <n v="7.4059903047091407"/>
  </r>
  <r>
    <s v="ID-2756"/>
    <n v="18"/>
    <x v="0"/>
    <n v="40"/>
    <n v="2"/>
    <n v="4270"/>
    <n v="89"/>
    <n v="48"/>
    <n v="33"/>
    <n v="3"/>
    <n v="1"/>
    <n v="1"/>
    <n v="30"/>
    <n v="366.36"/>
    <n v="0"/>
    <n v="2"/>
    <x v="0"/>
    <n v="8.5798594847775167"/>
  </r>
  <r>
    <s v="ID-2757"/>
    <n v="11"/>
    <x v="0"/>
    <n v="40"/>
    <n v="1"/>
    <n v="2855"/>
    <n v="46"/>
    <n v="301"/>
    <n v="23"/>
    <n v="3"/>
    <n v="1"/>
    <n v="1"/>
    <n v="30"/>
    <n v="1320.04"/>
    <n v="0"/>
    <n v="2"/>
    <x v="0"/>
    <n v="46.236077057793345"/>
  </r>
  <r>
    <s v="ID-2758"/>
    <n v="20"/>
    <x v="0"/>
    <n v="39"/>
    <n v="3"/>
    <n v="9610"/>
    <n v="128"/>
    <n v="160"/>
    <n v="48"/>
    <n v="3"/>
    <n v="1"/>
    <n v="1"/>
    <n v="30"/>
    <n v="1029.52"/>
    <n v="0"/>
    <n v="3"/>
    <x v="1"/>
    <n v="10.713007284079085"/>
  </r>
  <r>
    <s v="ID-2759"/>
    <n v="14"/>
    <x v="0"/>
    <n v="40"/>
    <n v="1"/>
    <n v="14268"/>
    <n v="176"/>
    <n v="16"/>
    <n v="49"/>
    <n v="3"/>
    <n v="1"/>
    <n v="1"/>
    <n v="30"/>
    <n v="641.76"/>
    <n v="0"/>
    <n v="5"/>
    <x v="1"/>
    <n v="4.4978973927670305"/>
  </r>
  <r>
    <s v="ID-2760"/>
    <n v="14"/>
    <x v="0"/>
    <n v="40"/>
    <n v="2"/>
    <n v="5010"/>
    <n v="90"/>
    <n v="18"/>
    <n v="30"/>
    <n v="3"/>
    <n v="1"/>
    <n v="1"/>
    <n v="30"/>
    <n v="276"/>
    <n v="0"/>
    <n v="2"/>
    <x v="0"/>
    <n v="5.5089820359281436"/>
  </r>
  <r>
    <s v="ID-2761"/>
    <n v="13"/>
    <x v="0"/>
    <n v="40"/>
    <n v="1"/>
    <n v="6413"/>
    <n v="102"/>
    <n v="23"/>
    <n v="17"/>
    <n v="3"/>
    <n v="1"/>
    <n v="1"/>
    <n v="30"/>
    <n v="352.6"/>
    <n v="0"/>
    <n v="2"/>
    <x v="0"/>
    <n v="5.4982067675035085"/>
  </r>
  <r>
    <s v="ID-2762"/>
    <n v="16"/>
    <x v="0"/>
    <n v="40"/>
    <n v="0"/>
    <n v="2733"/>
    <n v="61"/>
    <n v="24"/>
    <n v="22"/>
    <n v="3"/>
    <n v="1"/>
    <n v="2"/>
    <n v="30"/>
    <n v="207.76"/>
    <n v="0"/>
    <n v="3"/>
    <x v="1"/>
    <n v="7.601902671057446"/>
  </r>
  <r>
    <s v="ID-2763"/>
    <n v="32"/>
    <x v="1"/>
    <n v="40"/>
    <n v="4"/>
    <n v="15635"/>
    <n v="232"/>
    <n v="70"/>
    <n v="37"/>
    <n v="3"/>
    <n v="1"/>
    <n v="1"/>
    <n v="30"/>
    <n v="914.68"/>
    <n v="0"/>
    <n v="6"/>
    <x v="2"/>
    <n v="5.8502078669651416"/>
  </r>
  <r>
    <s v="ID-2764"/>
    <n v="11"/>
    <x v="0"/>
    <n v="40"/>
    <n v="2"/>
    <n v="3590"/>
    <n v="34"/>
    <n v="499"/>
    <n v="13"/>
    <n v="3"/>
    <n v="1"/>
    <n v="1"/>
    <n v="30"/>
    <n v="2140.96"/>
    <n v="0"/>
    <n v="2"/>
    <x v="0"/>
    <n v="59.63676880222841"/>
  </r>
  <r>
    <s v="ID-2765"/>
    <n v="16"/>
    <x v="0"/>
    <n v="39"/>
    <n v="1"/>
    <n v="15980"/>
    <n v="189"/>
    <n v="166"/>
    <n v="35"/>
    <n v="2"/>
    <n v="1"/>
    <n v="1"/>
    <n v="25"/>
    <n v="1474.605"/>
    <n v="0"/>
    <n v="4"/>
    <x v="1"/>
    <n v="9.2278160200250312"/>
  </r>
  <r>
    <s v="ID-2766"/>
    <n v="10"/>
    <x v="0"/>
    <n v="39"/>
    <n v="2"/>
    <n v="6995"/>
    <n v="93"/>
    <n v="202"/>
    <n v="31"/>
    <n v="3"/>
    <n v="1"/>
    <n v="1"/>
    <n v="30"/>
    <n v="1091.52"/>
    <n v="0"/>
    <n v="0"/>
    <x v="0"/>
    <n v="15.604288777698356"/>
  </r>
  <r>
    <s v="ID-2767"/>
    <n v="7"/>
    <x v="0"/>
    <n v="39"/>
    <n v="0"/>
    <n v="1370"/>
    <n v="21"/>
    <n v="16"/>
    <n v="16"/>
    <n v="2"/>
    <n v="1"/>
    <n v="2"/>
    <n v="25"/>
    <n v="134.595"/>
    <n v="0"/>
    <n v="1"/>
    <x v="0"/>
    <n v="9.8244525547445249"/>
  </r>
  <r>
    <s v="ID-2768"/>
    <n v="9"/>
    <x v="0"/>
    <n v="40"/>
    <n v="0"/>
    <n v="1205"/>
    <n v="21"/>
    <n v="29"/>
    <n v="13"/>
    <n v="3"/>
    <n v="1"/>
    <n v="2"/>
    <n v="30"/>
    <n v="165.04"/>
    <n v="0"/>
    <n v="1"/>
    <x v="0"/>
    <n v="13.696265560165974"/>
  </r>
  <r>
    <s v="ID-2769"/>
    <n v="7"/>
    <x v="0"/>
    <n v="39"/>
    <n v="0"/>
    <n v="495"/>
    <n v="7"/>
    <n v="16"/>
    <n v="5"/>
    <n v="2"/>
    <n v="1"/>
    <n v="2"/>
    <n v="25"/>
    <n v="94.59"/>
    <n v="1"/>
    <n v="1"/>
    <x v="0"/>
    <n v="19.109090909090909"/>
  </r>
  <r>
    <s v="ID-2770"/>
    <n v="10"/>
    <x v="0"/>
    <n v="39"/>
    <n v="1"/>
    <n v="8003"/>
    <n v="134"/>
    <n v="400"/>
    <n v="48"/>
    <n v="3"/>
    <n v="1"/>
    <n v="1"/>
    <n v="30"/>
    <n v="1925.48"/>
    <n v="0"/>
    <n v="1"/>
    <x v="0"/>
    <n v="24.05947769586405"/>
  </r>
  <r>
    <s v="ID-2771"/>
    <n v="14"/>
    <x v="0"/>
    <n v="39"/>
    <n v="2"/>
    <n v="11960"/>
    <n v="161"/>
    <n v="27"/>
    <n v="52"/>
    <n v="4"/>
    <n v="1"/>
    <n v="1"/>
    <n v="45"/>
    <n v="370.52499999999998"/>
    <n v="0"/>
    <n v="5"/>
    <x v="1"/>
    <n v="3.0980351170568561"/>
  </r>
  <r>
    <s v="ID-2772"/>
    <n v="15"/>
    <x v="0"/>
    <n v="39"/>
    <n v="2"/>
    <n v="7213"/>
    <n v="82"/>
    <n v="124"/>
    <n v="42"/>
    <n v="2"/>
    <n v="1"/>
    <n v="1"/>
    <n v="25"/>
    <n v="886.27499999999998"/>
    <n v="0"/>
    <n v="2"/>
    <x v="0"/>
    <n v="12.287189796201304"/>
  </r>
  <r>
    <s v="ID-2773"/>
    <n v="30"/>
    <x v="1"/>
    <n v="35"/>
    <n v="0"/>
    <n v="1450"/>
    <n v="54"/>
    <n v="32"/>
    <n v="22"/>
    <n v="3"/>
    <n v="1"/>
    <n v="2"/>
    <n v="30"/>
    <n v="188.16"/>
    <n v="1"/>
    <n v="5"/>
    <x v="1"/>
    <n v="12.976551724137931"/>
  </r>
  <r>
    <s v="ID-2774"/>
    <n v="28"/>
    <x v="0"/>
    <n v="38"/>
    <n v="9"/>
    <n v="10930"/>
    <n v="100"/>
    <n v="17"/>
    <n v="47"/>
    <n v="5"/>
    <n v="1"/>
    <n v="1"/>
    <n v="55"/>
    <n v="190.95"/>
    <n v="0"/>
    <n v="2"/>
    <x v="0"/>
    <n v="1.7470265324794145"/>
  </r>
  <r>
    <s v="ID-2775"/>
    <n v="20"/>
    <x v="0"/>
    <n v="38"/>
    <n v="2"/>
    <n v="6313"/>
    <n v="105"/>
    <n v="42"/>
    <n v="29"/>
    <n v="2"/>
    <n v="1"/>
    <n v="1"/>
    <n v="25"/>
    <n v="477.81"/>
    <n v="0"/>
    <n v="2"/>
    <x v="0"/>
    <n v="7.5686678282908284"/>
  </r>
  <r>
    <s v="ID-2776"/>
    <n v="8"/>
    <x v="0"/>
    <n v="36"/>
    <n v="1"/>
    <n v="3335"/>
    <n v="29"/>
    <n v="16"/>
    <n v="19"/>
    <n v="3"/>
    <n v="1"/>
    <n v="1"/>
    <n v="30"/>
    <n v="198.56"/>
    <n v="0"/>
    <n v="0"/>
    <x v="0"/>
    <n v="5.9538230884557723"/>
  </r>
  <r>
    <s v="ID-2777"/>
    <n v="16"/>
    <x v="1"/>
    <n v="37"/>
    <n v="0"/>
    <n v="3485"/>
    <n v="48"/>
    <n v="25"/>
    <n v="21"/>
    <n v="3"/>
    <n v="1"/>
    <n v="2"/>
    <n v="30"/>
    <n v="241.32"/>
    <n v="1"/>
    <n v="5"/>
    <x v="1"/>
    <n v="6.9245337159253948"/>
  </r>
  <r>
    <s v="ID-2778"/>
    <n v="16"/>
    <x v="1"/>
    <n v="38"/>
    <n v="0"/>
    <n v="2763"/>
    <n v="51"/>
    <n v="50"/>
    <n v="36"/>
    <n v="4"/>
    <n v="1"/>
    <n v="2"/>
    <n v="45"/>
    <n v="195.35"/>
    <n v="1"/>
    <n v="5"/>
    <x v="1"/>
    <n v="7.0702135360115808"/>
  </r>
  <r>
    <s v="ID-2779"/>
    <n v="7"/>
    <x v="0"/>
    <n v="38"/>
    <n v="0"/>
    <n v="628"/>
    <n v="9"/>
    <n v="16"/>
    <n v="7"/>
    <n v="3"/>
    <n v="1"/>
    <n v="2"/>
    <n v="30"/>
    <n v="89.48"/>
    <n v="1"/>
    <n v="1"/>
    <x v="0"/>
    <n v="14.248407643312103"/>
  </r>
  <r>
    <s v="ID-2780"/>
    <n v="8"/>
    <x v="0"/>
    <n v="38"/>
    <n v="1"/>
    <n v="2163"/>
    <n v="32"/>
    <n v="16"/>
    <n v="11"/>
    <n v="4"/>
    <n v="1"/>
    <n v="1"/>
    <n v="45"/>
    <n v="94.875"/>
    <n v="0"/>
    <n v="0"/>
    <x v="0"/>
    <n v="4.3862690707350902"/>
  </r>
  <r>
    <s v="ID-2781"/>
    <n v="10"/>
    <x v="0"/>
    <n v="35"/>
    <n v="2"/>
    <n v="7280"/>
    <n v="104"/>
    <n v="30"/>
    <n v="27"/>
    <n v="5"/>
    <n v="1"/>
    <n v="1"/>
    <n v="55"/>
    <n v="155.76"/>
    <n v="0"/>
    <n v="0"/>
    <x v="0"/>
    <n v="2.1395604395604395"/>
  </r>
  <r>
    <s v="ID-2782"/>
    <n v="7"/>
    <x v="0"/>
    <n v="38"/>
    <n v="0"/>
    <n v="1123"/>
    <n v="14"/>
    <n v="25"/>
    <n v="9"/>
    <n v="4"/>
    <n v="1"/>
    <n v="2"/>
    <n v="45"/>
    <n v="90.924999999999997"/>
    <n v="1"/>
    <n v="1"/>
    <x v="0"/>
    <n v="8.0966162065894931"/>
  </r>
  <r>
    <s v="ID-2783"/>
    <n v="7"/>
    <x v="0"/>
    <n v="38"/>
    <n v="2"/>
    <n v="833"/>
    <n v="11"/>
    <n v="20"/>
    <n v="7"/>
    <n v="5"/>
    <n v="1"/>
    <n v="1"/>
    <n v="55"/>
    <n v="42.66"/>
    <n v="0"/>
    <n v="0"/>
    <x v="0"/>
    <n v="5.1212484993997593"/>
  </r>
  <r>
    <s v="ID-2784"/>
    <n v="32"/>
    <x v="0"/>
    <n v="33"/>
    <n v="4"/>
    <n v="16570"/>
    <n v="245"/>
    <n v="16"/>
    <n v="85"/>
    <n v="2"/>
    <n v="2"/>
    <n v="1"/>
    <n v="25"/>
    <n v="828.67499999999995"/>
    <n v="0"/>
    <n v="5"/>
    <x v="1"/>
    <n v="5.0010561255280628"/>
  </r>
  <r>
    <s v="ID-2785"/>
    <n v="13"/>
    <x v="0"/>
    <n v="36"/>
    <n v="4"/>
    <n v="7460"/>
    <n v="123"/>
    <n v="287"/>
    <n v="38"/>
    <n v="3"/>
    <n v="2"/>
    <n v="1"/>
    <n v="30"/>
    <n v="1451.32"/>
    <n v="0"/>
    <n v="2"/>
    <x v="0"/>
    <n v="19.45469168900804"/>
  </r>
  <r>
    <s v="ID-2786"/>
    <n v="9"/>
    <x v="0"/>
    <n v="38"/>
    <n v="1"/>
    <n v="4213"/>
    <n v="89"/>
    <n v="18"/>
    <n v="33"/>
    <n v="3"/>
    <n v="1"/>
    <n v="1"/>
    <n v="30"/>
    <n v="244.08"/>
    <n v="0"/>
    <n v="0"/>
    <x v="0"/>
    <n v="5.7934963209114647"/>
  </r>
  <r>
    <s v="ID-2787"/>
    <n v="10"/>
    <x v="0"/>
    <n v="37"/>
    <n v="0"/>
    <n v="2160"/>
    <n v="51"/>
    <n v="54"/>
    <n v="25"/>
    <n v="3"/>
    <n v="1"/>
    <n v="2"/>
    <n v="30"/>
    <n v="304.44"/>
    <n v="0"/>
    <n v="1"/>
    <x v="0"/>
    <n v="14.094444444444445"/>
  </r>
  <r>
    <s v="ID-2788"/>
    <n v="13"/>
    <x v="0"/>
    <n v="38"/>
    <n v="1"/>
    <n v="3275"/>
    <n v="60"/>
    <n v="191"/>
    <n v="28"/>
    <n v="2"/>
    <n v="1"/>
    <n v="1"/>
    <n v="25"/>
    <n v="1009.575"/>
    <n v="0"/>
    <n v="2"/>
    <x v="0"/>
    <n v="30.826717557251911"/>
  </r>
  <r>
    <s v="ID-2789"/>
    <n v="11"/>
    <x v="0"/>
    <n v="29"/>
    <n v="2"/>
    <n v="1810"/>
    <n v="43"/>
    <n v="209"/>
    <n v="16"/>
    <n v="3"/>
    <n v="2"/>
    <n v="1"/>
    <n v="30"/>
    <n v="910.12"/>
    <n v="0"/>
    <n v="2"/>
    <x v="0"/>
    <n v="50.282872928176793"/>
  </r>
  <r>
    <s v="ID-2790"/>
    <n v="11"/>
    <x v="0"/>
    <n v="28"/>
    <n v="1"/>
    <n v="2063"/>
    <n v="46"/>
    <n v="46"/>
    <n v="73"/>
    <n v="5"/>
    <n v="1"/>
    <n v="1"/>
    <n v="55"/>
    <n v="100.63500000000001"/>
    <n v="0"/>
    <n v="3"/>
    <x v="1"/>
    <n v="4.8780901599612214"/>
  </r>
  <r>
    <s v="ID-2791"/>
    <n v="18"/>
    <x v="0"/>
    <n v="29"/>
    <n v="0"/>
    <n v="1195"/>
    <n v="32"/>
    <n v="26"/>
    <n v="12"/>
    <n v="3"/>
    <n v="1"/>
    <n v="2"/>
    <n v="30"/>
    <n v="153.08000000000001"/>
    <n v="0"/>
    <n v="3"/>
    <x v="1"/>
    <n v="12.810041841004185"/>
  </r>
  <r>
    <s v="ID-2792"/>
    <n v="7"/>
    <x v="0"/>
    <n v="28"/>
    <n v="0"/>
    <n v="1320"/>
    <n v="17"/>
    <n v="37"/>
    <n v="8"/>
    <n v="4"/>
    <n v="1"/>
    <n v="2"/>
    <n v="45"/>
    <n v="125.925"/>
    <n v="0"/>
    <n v="1"/>
    <x v="0"/>
    <n v="9.5397727272727266"/>
  </r>
  <r>
    <s v="ID-2793"/>
    <n v="17"/>
    <x v="0"/>
    <n v="27"/>
    <n v="1"/>
    <n v="1720"/>
    <n v="39"/>
    <n v="35"/>
    <n v="18"/>
    <n v="2"/>
    <n v="1"/>
    <n v="1"/>
    <n v="25"/>
    <n v="236.655"/>
    <n v="0"/>
    <n v="2"/>
    <x v="0"/>
    <n v="13.759011627906977"/>
  </r>
  <r>
    <s v="ID-2794"/>
    <n v="9"/>
    <x v="0"/>
    <n v="27"/>
    <n v="1"/>
    <n v="3720"/>
    <n v="68"/>
    <n v="24"/>
    <n v="28"/>
    <n v="3"/>
    <n v="1"/>
    <n v="1"/>
    <n v="30"/>
    <n v="247.52"/>
    <n v="0"/>
    <n v="0"/>
    <x v="0"/>
    <n v="6.6537634408602147"/>
  </r>
  <r>
    <s v="ID-2795"/>
    <n v="9"/>
    <x v="0"/>
    <n v="20"/>
    <n v="1"/>
    <n v="2190"/>
    <n v="33"/>
    <n v="44"/>
    <n v="19"/>
    <n v="3"/>
    <n v="1"/>
    <n v="1"/>
    <n v="30"/>
    <n v="264.92"/>
    <n v="0"/>
    <n v="0"/>
    <x v="0"/>
    <n v="12.096803652968037"/>
  </r>
  <r>
    <s v="ID-2796"/>
    <n v="23"/>
    <x v="0"/>
    <n v="19"/>
    <n v="2"/>
    <n v="6887"/>
    <n v="148"/>
    <n v="101"/>
    <n v="47"/>
    <n v="2"/>
    <n v="2"/>
    <n v="1"/>
    <n v="25"/>
    <n v="771.07500000000005"/>
    <n v="0"/>
    <n v="4"/>
    <x v="1"/>
    <n v="11.196094090315087"/>
  </r>
  <r>
    <s v="ID-2797"/>
    <n v="19"/>
    <x v="0"/>
    <n v="17"/>
    <n v="1"/>
    <n v="9427"/>
    <n v="178"/>
    <n v="89"/>
    <n v="45"/>
    <n v="5"/>
    <n v="1"/>
    <n v="1"/>
    <n v="55"/>
    <n v="277.57499999999999"/>
    <n v="0"/>
    <n v="4"/>
    <x v="1"/>
    <n v="2.9444680173968387"/>
  </r>
  <r>
    <s v="ID-2798"/>
    <n v="15"/>
    <x v="0"/>
    <n v="18"/>
    <n v="4"/>
    <n v="3347"/>
    <n v="52"/>
    <n v="47"/>
    <n v="24"/>
    <n v="3"/>
    <n v="1"/>
    <n v="1"/>
    <n v="30"/>
    <n v="323.95999999999998"/>
    <n v="0"/>
    <n v="2"/>
    <x v="0"/>
    <n v="9.6791156259336706"/>
  </r>
  <r>
    <s v="ID-2799"/>
    <n v="9"/>
    <x v="0"/>
    <n v="11"/>
    <n v="2"/>
    <n v="4885"/>
    <n v="47"/>
    <n v="231"/>
    <n v="15"/>
    <n v="3"/>
    <n v="1"/>
    <n v="1"/>
    <n v="30"/>
    <n v="1121.28"/>
    <n v="0"/>
    <n v="0"/>
    <x v="0"/>
    <n v="22.953531218014326"/>
  </r>
  <r>
    <s v="ID-2800"/>
    <n v="10"/>
    <x v="1"/>
    <n v="11"/>
    <n v="2"/>
    <n v="1982"/>
    <n v="26"/>
    <n v="16"/>
    <n v="12"/>
    <n v="3"/>
    <n v="1"/>
    <n v="1"/>
    <n v="30"/>
    <n v="144.32"/>
    <n v="1"/>
    <n v="2"/>
    <x v="0"/>
    <n v="7.2815338042381423"/>
  </r>
  <r>
    <s v="ID-2801"/>
    <n v="11"/>
    <x v="0"/>
    <n v="40"/>
    <n v="1"/>
    <n v="4485"/>
    <n v="76"/>
    <n v="3"/>
    <n v="16"/>
    <n v="3"/>
    <n v="1"/>
    <n v="1"/>
    <n v="30"/>
    <n v="194.44"/>
    <n v="0"/>
    <n v="2"/>
    <x v="0"/>
    <n v="4.3353400222965437"/>
  </r>
  <r>
    <s v="ID-2802"/>
    <n v="3"/>
    <x v="0"/>
    <n v="41"/>
    <n v="0"/>
    <n v="433"/>
    <n v="10"/>
    <n v="5"/>
    <n v="3"/>
    <n v="3"/>
    <n v="1"/>
    <n v="2"/>
    <n v="30"/>
    <n v="37.72"/>
    <n v="0"/>
    <n v="1"/>
    <x v="0"/>
    <n v="8.7113163972286376"/>
  </r>
  <r>
    <s v="ID-2803"/>
    <n v="13"/>
    <x v="0"/>
    <n v="39"/>
    <n v="1"/>
    <n v="2568"/>
    <n v="65"/>
    <n v="357"/>
    <n v="23"/>
    <n v="3"/>
    <n v="1"/>
    <n v="1"/>
    <n v="30"/>
    <n v="1533.32"/>
    <n v="0"/>
    <n v="2"/>
    <x v="0"/>
    <n v="59.708722741433021"/>
  </r>
  <r>
    <s v="ID-2804"/>
    <n v="13"/>
    <x v="0"/>
    <n v="40"/>
    <n v="1"/>
    <n v="4313"/>
    <n v="71"/>
    <n v="0"/>
    <n v="34"/>
    <n v="1"/>
    <n v="1"/>
    <n v="1"/>
    <n v="15"/>
    <n v="241.12"/>
    <n v="0"/>
    <n v="2"/>
    <x v="0"/>
    <n v="5.5905402272200329"/>
  </r>
  <r>
    <s v="ID-2805"/>
    <n v="6"/>
    <x v="0"/>
    <n v="40"/>
    <n v="1"/>
    <n v="2508"/>
    <n v="63"/>
    <n v="0"/>
    <n v="32"/>
    <n v="2"/>
    <n v="1"/>
    <n v="1"/>
    <n v="25"/>
    <n v="115.69499999999999"/>
    <n v="0"/>
    <n v="0"/>
    <x v="0"/>
    <n v="4.6130382775119614"/>
  </r>
  <r>
    <s v="ID-2806"/>
    <n v="14"/>
    <x v="0"/>
    <n v="40"/>
    <n v="2"/>
    <n v="3890"/>
    <n v="87"/>
    <n v="30"/>
    <n v="27"/>
    <n v="3"/>
    <n v="1"/>
    <n v="1"/>
    <n v="30"/>
    <n v="279.08"/>
    <n v="0"/>
    <n v="2"/>
    <x v="0"/>
    <n v="7.1742930591259633"/>
  </r>
  <r>
    <s v="ID-2807"/>
    <n v="7"/>
    <x v="0"/>
    <n v="40"/>
    <n v="1"/>
    <n v="2475"/>
    <n v="44"/>
    <n v="283"/>
    <n v="17"/>
    <n v="3"/>
    <n v="1"/>
    <n v="1"/>
    <n v="30"/>
    <n v="1232.76"/>
    <n v="0"/>
    <n v="0"/>
    <x v="0"/>
    <n v="49.808484848484845"/>
  </r>
  <r>
    <s v="ID-2808"/>
    <n v="16"/>
    <x v="0"/>
    <n v="39"/>
    <n v="3"/>
    <n v="9230"/>
    <n v="126"/>
    <n v="142"/>
    <n v="42"/>
    <n v="3"/>
    <n v="1"/>
    <n v="1"/>
    <n v="30"/>
    <n v="942.24"/>
    <n v="0"/>
    <n v="2"/>
    <x v="0"/>
    <n v="10.208450704225353"/>
  </r>
  <r>
    <s v="ID-2809"/>
    <n v="10"/>
    <x v="0"/>
    <n v="40"/>
    <n v="1"/>
    <n v="13888"/>
    <n v="174"/>
    <n v="0"/>
    <n v="43"/>
    <n v="3"/>
    <n v="1"/>
    <n v="1"/>
    <n v="30"/>
    <n v="562.48"/>
    <n v="0"/>
    <n v="2"/>
    <x v="0"/>
    <n v="4.0501152073732722"/>
  </r>
  <r>
    <s v="ID-2810"/>
    <n v="10"/>
    <x v="0"/>
    <n v="40"/>
    <n v="2"/>
    <n v="4630"/>
    <n v="88"/>
    <n v="0"/>
    <n v="24"/>
    <n v="3"/>
    <n v="1"/>
    <n v="1"/>
    <n v="30"/>
    <n v="188.72"/>
    <n v="0"/>
    <n v="0"/>
    <x v="0"/>
    <n v="4.0760259179265654"/>
  </r>
  <r>
    <s v="ID-2811"/>
    <n v="9"/>
    <x v="0"/>
    <n v="40"/>
    <n v="1"/>
    <n v="6033"/>
    <n v="100"/>
    <n v="5"/>
    <n v="11"/>
    <n v="3"/>
    <n v="1"/>
    <n v="1"/>
    <n v="30"/>
    <n v="265.32"/>
    <n v="0"/>
    <n v="0"/>
    <x v="0"/>
    <n v="4.3978120338140227"/>
  </r>
  <r>
    <s v="ID-2812"/>
    <n v="12"/>
    <x v="1"/>
    <n v="40"/>
    <n v="0"/>
    <n v="2353"/>
    <n v="59"/>
    <n v="6"/>
    <n v="16"/>
    <n v="3"/>
    <n v="1"/>
    <n v="2"/>
    <n v="30"/>
    <n v="120.48"/>
    <n v="0"/>
    <n v="5"/>
    <x v="1"/>
    <n v="5.1202719932001699"/>
  </r>
  <r>
    <s v="ID-2813"/>
    <n v="28"/>
    <x v="0"/>
    <n v="40"/>
    <n v="4"/>
    <n v="15255"/>
    <n v="230"/>
    <n v="52"/>
    <n v="31"/>
    <n v="3"/>
    <n v="1"/>
    <n v="1"/>
    <n v="30"/>
    <n v="827.4"/>
    <n v="0"/>
    <n v="4"/>
    <x v="1"/>
    <n v="5.4237954768928214"/>
  </r>
  <r>
    <s v="ID-2814"/>
    <n v="7"/>
    <x v="0"/>
    <n v="40"/>
    <n v="2"/>
    <n v="3210"/>
    <n v="32"/>
    <n v="481"/>
    <n v="7"/>
    <n v="3"/>
    <n v="1"/>
    <n v="1"/>
    <n v="30"/>
    <n v="2053.6799999999998"/>
    <n v="0"/>
    <n v="0"/>
    <x v="0"/>
    <n v="63.977570093457935"/>
  </r>
  <r>
    <s v="ID-2815"/>
    <n v="12"/>
    <x v="0"/>
    <n v="39"/>
    <n v="1"/>
    <n v="15600"/>
    <n v="187"/>
    <n v="148"/>
    <n v="29"/>
    <n v="2"/>
    <n v="1"/>
    <n v="1"/>
    <n v="25"/>
    <n v="1376.415"/>
    <n v="0"/>
    <n v="4"/>
    <x v="1"/>
    <n v="8.8231730769230765"/>
  </r>
  <r>
    <s v="ID-2816"/>
    <n v="6"/>
    <x v="0"/>
    <n v="39"/>
    <n v="2"/>
    <n v="6615"/>
    <n v="91"/>
    <n v="184"/>
    <n v="25"/>
    <n v="3"/>
    <n v="1"/>
    <n v="1"/>
    <n v="30"/>
    <n v="1004.24"/>
    <n v="0"/>
    <n v="0"/>
    <x v="0"/>
    <n v="15.181254724111866"/>
  </r>
  <r>
    <s v="ID-2817"/>
    <n v="3"/>
    <x v="0"/>
    <n v="39"/>
    <n v="0"/>
    <n v="990"/>
    <n v="19"/>
    <n v="0"/>
    <n v="10"/>
    <n v="2"/>
    <n v="1"/>
    <n v="2"/>
    <n v="25"/>
    <n v="45.405000000000001"/>
    <n v="0"/>
    <n v="1"/>
    <x v="0"/>
    <n v="4.586363636363636"/>
  </r>
  <r>
    <s v="ID-2818"/>
    <n v="5"/>
    <x v="0"/>
    <n v="40"/>
    <n v="0"/>
    <n v="825"/>
    <n v="19"/>
    <n v="11"/>
    <n v="7"/>
    <n v="3"/>
    <n v="1"/>
    <n v="2"/>
    <n v="30"/>
    <n v="77.760000000000005"/>
    <n v="0"/>
    <n v="1"/>
    <x v="0"/>
    <n v="9.4254545454545458"/>
  </r>
  <r>
    <s v="ID-2819"/>
    <n v="0"/>
    <x v="0"/>
    <n v="39"/>
    <n v="0"/>
    <n v="0"/>
    <n v="0"/>
    <n v="0"/>
    <n v="0"/>
    <n v="2"/>
    <n v="1"/>
    <n v="2"/>
    <n v="25"/>
    <n v="0"/>
    <n v="1"/>
    <n v="1"/>
    <x v="0"/>
    <n v="0"/>
  </r>
  <r>
    <s v="ID-2820"/>
    <n v="6"/>
    <x v="0"/>
    <n v="39"/>
    <n v="1"/>
    <n v="7623"/>
    <n v="132"/>
    <n v="382"/>
    <n v="42"/>
    <n v="3"/>
    <n v="1"/>
    <n v="1"/>
    <n v="30"/>
    <n v="1838.2"/>
    <n v="0"/>
    <n v="0"/>
    <x v="0"/>
    <n v="24.113865932047752"/>
  </r>
  <r>
    <s v="ID-2821"/>
    <n v="10"/>
    <x v="0"/>
    <n v="39"/>
    <n v="2"/>
    <n v="11580"/>
    <n v="159"/>
    <n v="9"/>
    <n v="46"/>
    <n v="4"/>
    <n v="1"/>
    <n v="1"/>
    <n v="45"/>
    <n v="315.97500000000002"/>
    <n v="0"/>
    <n v="2"/>
    <x v="0"/>
    <n v="2.7286269430051817"/>
  </r>
  <r>
    <s v="ID-2822"/>
    <n v="11"/>
    <x v="0"/>
    <n v="39"/>
    <n v="2"/>
    <n v="6833"/>
    <n v="80"/>
    <n v="106"/>
    <n v="36"/>
    <n v="2"/>
    <n v="1"/>
    <n v="1"/>
    <n v="25"/>
    <n v="788.08500000000004"/>
    <n v="0"/>
    <n v="2"/>
    <x v="0"/>
    <n v="11.533513829942924"/>
  </r>
  <r>
    <s v="ID-2823"/>
    <n v="26"/>
    <x v="1"/>
    <n v="35"/>
    <n v="0"/>
    <n v="1070"/>
    <n v="52"/>
    <n v="14"/>
    <n v="16"/>
    <n v="3"/>
    <n v="1"/>
    <n v="2"/>
    <n v="30"/>
    <n v="100.88"/>
    <n v="1"/>
    <n v="5"/>
    <x v="1"/>
    <n v="9.4280373831775695"/>
  </r>
  <r>
    <s v="ID-2824"/>
    <n v="24"/>
    <x v="0"/>
    <n v="38"/>
    <n v="9"/>
    <n v="10550"/>
    <n v="98"/>
    <n v="0"/>
    <n v="41"/>
    <n v="5"/>
    <n v="1"/>
    <n v="1"/>
    <n v="55"/>
    <n v="159.72"/>
    <n v="0"/>
    <n v="2"/>
    <x v="0"/>
    <n v="1.5139336492890996"/>
  </r>
  <r>
    <s v="ID-2825"/>
    <n v="16"/>
    <x v="0"/>
    <n v="38"/>
    <n v="2"/>
    <n v="5933"/>
    <n v="103"/>
    <n v="24"/>
    <n v="23"/>
    <n v="2"/>
    <n v="1"/>
    <n v="1"/>
    <n v="25"/>
    <n v="379.62"/>
    <n v="0"/>
    <n v="2"/>
    <x v="0"/>
    <n v="6.3984493510871401"/>
  </r>
  <r>
    <s v="ID-2826"/>
    <n v="4"/>
    <x v="0"/>
    <n v="36"/>
    <n v="1"/>
    <n v="2955"/>
    <n v="27"/>
    <n v="0"/>
    <n v="13"/>
    <n v="3"/>
    <n v="1"/>
    <n v="1"/>
    <n v="30"/>
    <n v="119.28"/>
    <n v="0"/>
    <n v="0"/>
    <x v="0"/>
    <n v="4.0365482233502537"/>
  </r>
  <r>
    <s v="ID-2827"/>
    <n v="12"/>
    <x v="0"/>
    <n v="37"/>
    <n v="0"/>
    <n v="3105"/>
    <n v="46"/>
    <n v="7"/>
    <n v="15"/>
    <n v="3"/>
    <n v="1"/>
    <n v="2"/>
    <n v="30"/>
    <n v="154.04"/>
    <n v="1"/>
    <n v="3"/>
    <x v="1"/>
    <n v="4.9610305958132042"/>
  </r>
  <r>
    <s v="ID-2828"/>
    <n v="12"/>
    <x v="0"/>
    <n v="38"/>
    <n v="0"/>
    <n v="2383"/>
    <n v="49"/>
    <n v="32"/>
    <n v="30"/>
    <n v="4"/>
    <n v="1"/>
    <n v="2"/>
    <n v="45"/>
    <n v="140.80000000000001"/>
    <n v="1"/>
    <n v="3"/>
    <x v="1"/>
    <n v="5.9085186739404119"/>
  </r>
  <r>
    <s v="ID-2829"/>
    <n v="3"/>
    <x v="0"/>
    <n v="38"/>
    <n v="0"/>
    <n v="248"/>
    <n v="7"/>
    <n v="0"/>
    <n v="1"/>
    <n v="3"/>
    <n v="1"/>
    <n v="2"/>
    <n v="30"/>
    <n v="10.199999999999999"/>
    <n v="1"/>
    <n v="1"/>
    <x v="0"/>
    <n v="4.1129032258064511"/>
  </r>
  <r>
    <s v="ID-2830"/>
    <n v="4"/>
    <x v="0"/>
    <n v="38"/>
    <n v="1"/>
    <n v="1783"/>
    <n v="30"/>
    <n v="0"/>
    <n v="5"/>
    <n v="4"/>
    <n v="1"/>
    <n v="1"/>
    <n v="45"/>
    <n v="45.325000000000003"/>
    <n v="0"/>
    <n v="0"/>
    <x v="0"/>
    <n v="2.5420639371845204"/>
  </r>
  <r>
    <s v="ID-2831"/>
    <n v="6"/>
    <x v="0"/>
    <n v="35"/>
    <n v="2"/>
    <n v="6900"/>
    <n v="102"/>
    <n v="12"/>
    <n v="21"/>
    <n v="5"/>
    <n v="1"/>
    <n v="1"/>
    <n v="55"/>
    <n v="123.03"/>
    <n v="0"/>
    <n v="0"/>
    <x v="0"/>
    <n v="1.7830434782608695"/>
  </r>
  <r>
    <s v="ID-2832"/>
    <n v="3"/>
    <x v="0"/>
    <n v="38"/>
    <n v="0"/>
    <n v="743"/>
    <n v="12"/>
    <n v="7"/>
    <n v="3"/>
    <n v="4"/>
    <n v="1"/>
    <n v="2"/>
    <n v="45"/>
    <n v="36.375"/>
    <n v="1"/>
    <n v="1"/>
    <x v="0"/>
    <n v="4.8956931359353977"/>
  </r>
  <r>
    <s v="ID-2833"/>
    <n v="3"/>
    <x v="0"/>
    <n v="38"/>
    <n v="2"/>
    <n v="453"/>
    <n v="9"/>
    <n v="2"/>
    <n v="1"/>
    <n v="5"/>
    <n v="1"/>
    <n v="1"/>
    <n v="55"/>
    <n v="9.93"/>
    <n v="0"/>
    <n v="0"/>
    <x v="0"/>
    <n v="2.1920529801324506"/>
  </r>
  <r>
    <s v="ID-2834"/>
    <n v="28"/>
    <x v="0"/>
    <n v="33"/>
    <n v="4"/>
    <n v="16190"/>
    <n v="243"/>
    <n v="0"/>
    <n v="79"/>
    <n v="2"/>
    <n v="2"/>
    <n v="1"/>
    <n v="25"/>
    <n v="739.48500000000001"/>
    <n v="0"/>
    <n v="5"/>
    <x v="1"/>
    <n v="4.5675416924027177"/>
  </r>
  <r>
    <s v="ID-2835"/>
    <n v="9"/>
    <x v="0"/>
    <n v="36"/>
    <n v="4"/>
    <n v="7080"/>
    <n v="121"/>
    <n v="269"/>
    <n v="32"/>
    <n v="3"/>
    <n v="2"/>
    <n v="1"/>
    <n v="30"/>
    <n v="1364.04"/>
    <n v="0"/>
    <n v="0"/>
    <x v="0"/>
    <n v="19.266101694915253"/>
  </r>
  <r>
    <s v="ID-2836"/>
    <n v="5"/>
    <x v="0"/>
    <n v="38"/>
    <n v="1"/>
    <n v="3833"/>
    <n v="87"/>
    <n v="0"/>
    <n v="27"/>
    <n v="3"/>
    <n v="1"/>
    <n v="1"/>
    <n v="30"/>
    <n v="156.80000000000001"/>
    <n v="0"/>
    <n v="0"/>
    <x v="0"/>
    <n v="4.0907905035220455"/>
  </r>
  <r>
    <s v="ID-2837"/>
    <n v="6"/>
    <x v="0"/>
    <n v="37"/>
    <n v="0"/>
    <n v="1780"/>
    <n v="49"/>
    <n v="36"/>
    <n v="19"/>
    <n v="3"/>
    <n v="1"/>
    <n v="2"/>
    <n v="30"/>
    <n v="217.16"/>
    <n v="0"/>
    <n v="1"/>
    <x v="0"/>
    <n v="12.2"/>
  </r>
  <r>
    <s v="ID-2838"/>
    <n v="9"/>
    <x v="0"/>
    <n v="38"/>
    <n v="1"/>
    <n v="2895"/>
    <n v="58"/>
    <n v="173"/>
    <n v="22"/>
    <n v="2"/>
    <n v="1"/>
    <n v="1"/>
    <n v="25"/>
    <n v="911.38499999999999"/>
    <n v="0"/>
    <n v="0"/>
    <x v="0"/>
    <n v="31.481347150259065"/>
  </r>
  <r>
    <s v="ID-2839"/>
    <n v="7"/>
    <x v="0"/>
    <n v="29"/>
    <n v="2"/>
    <n v="1430"/>
    <n v="41"/>
    <n v="191"/>
    <n v="10"/>
    <n v="3"/>
    <n v="2"/>
    <n v="1"/>
    <n v="30"/>
    <n v="822.84"/>
    <n v="0"/>
    <n v="0"/>
    <x v="0"/>
    <n v="57.541258741258737"/>
  </r>
  <r>
    <s v="ID-2840"/>
    <n v="7"/>
    <x v="0"/>
    <n v="28"/>
    <n v="1"/>
    <n v="1683"/>
    <n v="44"/>
    <n v="28"/>
    <n v="67"/>
    <n v="5"/>
    <n v="1"/>
    <n v="1"/>
    <n v="55"/>
    <n v="67.905000000000001"/>
    <n v="0"/>
    <n v="1"/>
    <x v="0"/>
    <n v="4.0347593582887704"/>
  </r>
  <r>
    <s v="ID-2841"/>
    <n v="14"/>
    <x v="0"/>
    <n v="29"/>
    <n v="0"/>
    <n v="815"/>
    <n v="30"/>
    <n v="8"/>
    <n v="6"/>
    <n v="3"/>
    <n v="1"/>
    <n v="2"/>
    <n v="30"/>
    <n v="65.8"/>
    <n v="0"/>
    <n v="3"/>
    <x v="1"/>
    <n v="8.0736196319018401"/>
  </r>
  <r>
    <s v="ID-2842"/>
    <n v="3"/>
    <x v="0"/>
    <n v="28"/>
    <n v="0"/>
    <n v="940"/>
    <n v="15"/>
    <n v="19"/>
    <n v="2"/>
    <n v="4"/>
    <n v="1"/>
    <n v="2"/>
    <n v="45"/>
    <n v="71.375"/>
    <n v="0"/>
    <n v="1"/>
    <x v="0"/>
    <n v="7.5930851063829783"/>
  </r>
  <r>
    <s v="ID-2843"/>
    <n v="13"/>
    <x v="0"/>
    <n v="27"/>
    <n v="1"/>
    <n v="1340"/>
    <n v="37"/>
    <n v="17"/>
    <n v="12"/>
    <n v="2"/>
    <n v="1"/>
    <n v="1"/>
    <n v="25"/>
    <n v="138.465"/>
    <n v="0"/>
    <n v="2"/>
    <x v="0"/>
    <n v="10.333208955223881"/>
  </r>
  <r>
    <s v="ID-2844"/>
    <n v="5"/>
    <x v="0"/>
    <n v="27"/>
    <n v="1"/>
    <n v="3340"/>
    <n v="66"/>
    <n v="6"/>
    <n v="22"/>
    <n v="3"/>
    <n v="1"/>
    <n v="1"/>
    <n v="30"/>
    <n v="160.24"/>
    <n v="0"/>
    <n v="0"/>
    <x v="0"/>
    <n v="4.7976047904191619"/>
  </r>
  <r>
    <s v="ID-2845"/>
    <n v="5"/>
    <x v="0"/>
    <n v="20"/>
    <n v="1"/>
    <n v="1810"/>
    <n v="31"/>
    <n v="26"/>
    <n v="13"/>
    <n v="3"/>
    <n v="1"/>
    <n v="1"/>
    <n v="30"/>
    <n v="177.64"/>
    <n v="0"/>
    <n v="0"/>
    <x v="0"/>
    <n v="9.8143646408839764"/>
  </r>
  <r>
    <s v="ID-2846"/>
    <n v="19"/>
    <x v="0"/>
    <n v="19"/>
    <n v="2"/>
    <n v="6507"/>
    <n v="146"/>
    <n v="83"/>
    <n v="41"/>
    <n v="2"/>
    <n v="2"/>
    <n v="1"/>
    <n v="25"/>
    <n v="672.88499999999999"/>
    <n v="0"/>
    <n v="4"/>
    <x v="1"/>
    <n v="10.340940525587829"/>
  </r>
  <r>
    <s v="ID-2847"/>
    <n v="15"/>
    <x v="0"/>
    <n v="17"/>
    <n v="1"/>
    <n v="9047"/>
    <n v="176"/>
    <n v="71"/>
    <n v="39"/>
    <n v="5"/>
    <n v="1"/>
    <n v="1"/>
    <n v="55"/>
    <n v="244.845"/>
    <n v="0"/>
    <n v="4"/>
    <x v="1"/>
    <n v="2.7063667514093068"/>
  </r>
  <r>
    <s v="ID-2848"/>
    <n v="11"/>
    <x v="0"/>
    <n v="18"/>
    <n v="4"/>
    <n v="2967"/>
    <n v="50"/>
    <n v="29"/>
    <n v="18"/>
    <n v="3"/>
    <n v="1"/>
    <n v="1"/>
    <n v="30"/>
    <n v="236.68"/>
    <n v="0"/>
    <n v="2"/>
    <x v="0"/>
    <n v="7.9770812268284459"/>
  </r>
  <r>
    <s v="ID-2849"/>
    <n v="5"/>
    <x v="0"/>
    <n v="11"/>
    <n v="2"/>
    <n v="4505"/>
    <n v="45"/>
    <n v="213"/>
    <n v="9"/>
    <n v="3"/>
    <n v="1"/>
    <n v="1"/>
    <n v="30"/>
    <n v="1034"/>
    <n v="0"/>
    <n v="0"/>
    <x v="0"/>
    <n v="22.952275249722533"/>
  </r>
  <r>
    <s v="ID-2850"/>
    <n v="6"/>
    <x v="1"/>
    <n v="11"/>
    <n v="2"/>
    <n v="1602"/>
    <n v="24"/>
    <n v="0"/>
    <n v="6"/>
    <n v="3"/>
    <n v="1"/>
    <n v="1"/>
    <n v="30"/>
    <n v="65.040000000000006"/>
    <n v="1"/>
    <n v="2"/>
    <x v="0"/>
    <n v="4.0599250936329589"/>
  </r>
  <r>
    <s v="ID-2851"/>
    <n v="11"/>
    <x v="0"/>
    <n v="35"/>
    <n v="0"/>
    <n v="4675"/>
    <n v="71"/>
    <n v="4"/>
    <n v="18"/>
    <n v="2"/>
    <n v="1"/>
    <n v="1"/>
    <n v="25"/>
    <n v="231.57"/>
    <n v="0"/>
    <n v="3"/>
    <x v="1"/>
    <n v="4.953368983957219"/>
  </r>
  <r>
    <s v="ID-2852"/>
    <n v="3"/>
    <x v="0"/>
    <n v="36"/>
    <n v="0"/>
    <n v="623"/>
    <n v="5"/>
    <n v="6"/>
    <n v="5"/>
    <n v="2"/>
    <n v="1"/>
    <n v="2"/>
    <n v="25"/>
    <n v="55.26"/>
    <n v="0"/>
    <n v="1"/>
    <x v="0"/>
    <n v="8.8699839486356336"/>
  </r>
  <r>
    <s v="ID-2853"/>
    <n v="13"/>
    <x v="0"/>
    <n v="34"/>
    <n v="0"/>
    <n v="2758"/>
    <n v="60"/>
    <n v="358"/>
    <n v="25"/>
    <n v="2"/>
    <n v="1"/>
    <n v="1"/>
    <n v="25"/>
    <n v="1737.81"/>
    <n v="0"/>
    <n v="3"/>
    <x v="1"/>
    <n v="63.009789702683108"/>
  </r>
  <r>
    <s v="ID-2854"/>
    <n v="13"/>
    <x v="0"/>
    <n v="35"/>
    <n v="0"/>
    <n v="4503"/>
    <n v="66"/>
    <n v="0"/>
    <n v="36"/>
    <n v="1"/>
    <n v="1"/>
    <n v="1"/>
    <n v="15"/>
    <n v="251.29499999999999"/>
    <n v="0"/>
    <n v="3"/>
    <x v="1"/>
    <n v="5.5806129247168554"/>
  </r>
  <r>
    <s v="ID-2855"/>
    <n v="6"/>
    <x v="0"/>
    <n v="35"/>
    <n v="0"/>
    <n v="2698"/>
    <n v="58"/>
    <n v="1"/>
    <n v="34"/>
    <n v="1"/>
    <n v="1"/>
    <n v="1"/>
    <n v="15"/>
    <n v="157.08000000000001"/>
    <n v="0"/>
    <n v="1"/>
    <x v="0"/>
    <n v="5.8220904373610081"/>
  </r>
  <r>
    <s v="ID-2856"/>
    <n v="14"/>
    <x v="0"/>
    <n v="35"/>
    <n v="1"/>
    <n v="4080"/>
    <n v="82"/>
    <n v="31"/>
    <n v="29"/>
    <n v="3"/>
    <n v="1"/>
    <n v="1"/>
    <n v="30"/>
    <n v="290.48"/>
    <n v="0"/>
    <n v="2"/>
    <x v="0"/>
    <n v="7.1196078431372563"/>
  </r>
  <r>
    <s v="ID-2857"/>
    <n v="7"/>
    <x v="0"/>
    <n v="35"/>
    <n v="0"/>
    <n v="2665"/>
    <n v="39"/>
    <n v="284"/>
    <n v="19"/>
    <n v="3"/>
    <n v="1"/>
    <n v="1"/>
    <n v="30"/>
    <n v="1244.1600000000001"/>
    <n v="0"/>
    <n v="1"/>
    <x v="0"/>
    <n v="46.685178236397753"/>
  </r>
  <r>
    <s v="ID-2858"/>
    <n v="16"/>
    <x v="0"/>
    <n v="34"/>
    <n v="2"/>
    <n v="9420"/>
    <n v="121"/>
    <n v="143"/>
    <n v="44"/>
    <n v="3"/>
    <n v="1"/>
    <n v="1"/>
    <n v="30"/>
    <n v="953.64"/>
    <n v="0"/>
    <n v="2"/>
    <x v="0"/>
    <n v="10.123566878980892"/>
  </r>
  <r>
    <s v="ID-2859"/>
    <n v="10"/>
    <x v="0"/>
    <n v="35"/>
    <n v="0"/>
    <n v="14078"/>
    <n v="169"/>
    <n v="0"/>
    <n v="45"/>
    <n v="3"/>
    <n v="1"/>
    <n v="1"/>
    <n v="30"/>
    <n v="569.88"/>
    <n v="0"/>
    <n v="3"/>
    <x v="1"/>
    <n v="4.0480181844011938"/>
  </r>
  <r>
    <s v="ID-2860"/>
    <n v="10"/>
    <x v="0"/>
    <n v="35"/>
    <n v="1"/>
    <n v="4820"/>
    <n v="83"/>
    <n v="1"/>
    <n v="26"/>
    <n v="3"/>
    <n v="1"/>
    <n v="1"/>
    <n v="30"/>
    <n v="200.12"/>
    <n v="0"/>
    <n v="0"/>
    <x v="0"/>
    <n v="4.1518672199170128"/>
  </r>
  <r>
    <s v="ID-2861"/>
    <n v="9"/>
    <x v="0"/>
    <n v="35"/>
    <n v="0"/>
    <n v="6223"/>
    <n v="95"/>
    <n v="6"/>
    <n v="13"/>
    <n v="2"/>
    <n v="1"/>
    <n v="1"/>
    <n v="25"/>
    <n v="311.31"/>
    <n v="0"/>
    <n v="1"/>
    <x v="0"/>
    <n v="5.002571107183031"/>
  </r>
  <r>
    <s v="ID-2862"/>
    <n v="12"/>
    <x v="0"/>
    <n v="35"/>
    <n v="0"/>
    <n v="2543"/>
    <n v="54"/>
    <n v="7"/>
    <n v="18"/>
    <n v="3"/>
    <n v="1"/>
    <n v="2"/>
    <n v="30"/>
    <n v="131.88"/>
    <n v="0"/>
    <n v="3"/>
    <x v="1"/>
    <n v="5.18600078647267"/>
  </r>
  <r>
    <s v="ID-2863"/>
    <n v="28"/>
    <x v="0"/>
    <n v="35"/>
    <n v="3"/>
    <n v="15445"/>
    <n v="225"/>
    <n v="53"/>
    <n v="33"/>
    <n v="3"/>
    <n v="1"/>
    <n v="1"/>
    <n v="30"/>
    <n v="838.8"/>
    <n v="0"/>
    <n v="4"/>
    <x v="1"/>
    <n v="5.4308837811589505"/>
  </r>
  <r>
    <s v="ID-2864"/>
    <n v="7"/>
    <x v="0"/>
    <n v="35"/>
    <n v="1"/>
    <n v="3400"/>
    <n v="27"/>
    <n v="482"/>
    <n v="9"/>
    <n v="3"/>
    <n v="1"/>
    <n v="1"/>
    <n v="30"/>
    <n v="2065.08"/>
    <n v="0"/>
    <n v="0"/>
    <x v="0"/>
    <n v="60.737647058823526"/>
  </r>
  <r>
    <s v="ID-2865"/>
    <n v="12"/>
    <x v="0"/>
    <n v="34"/>
    <n v="0"/>
    <n v="15790"/>
    <n v="182"/>
    <n v="149"/>
    <n v="31"/>
    <n v="2"/>
    <n v="1"/>
    <n v="1"/>
    <n v="25"/>
    <n v="1389.24"/>
    <n v="0"/>
    <n v="5"/>
    <x v="1"/>
    <n v="8.7982267257758089"/>
  </r>
  <r>
    <s v="ID-2866"/>
    <n v="6"/>
    <x v="0"/>
    <n v="34"/>
    <n v="1"/>
    <n v="6805"/>
    <n v="86"/>
    <n v="185"/>
    <n v="27"/>
    <n v="3"/>
    <n v="1"/>
    <n v="1"/>
    <n v="30"/>
    <n v="1015.64"/>
    <n v="0"/>
    <n v="0"/>
    <x v="0"/>
    <n v="14.924908155767818"/>
  </r>
  <r>
    <s v="ID-2867"/>
    <n v="3"/>
    <x v="0"/>
    <n v="34"/>
    <n v="0"/>
    <n v="1180"/>
    <n v="14"/>
    <n v="0"/>
    <n v="12"/>
    <n v="2"/>
    <n v="1"/>
    <n v="2"/>
    <n v="25"/>
    <n v="53.73"/>
    <n v="0"/>
    <n v="1"/>
    <x v="0"/>
    <n v="4.5533898305084746"/>
  </r>
  <r>
    <s v="ID-2868"/>
    <n v="5"/>
    <x v="0"/>
    <n v="35"/>
    <n v="0"/>
    <n v="1015"/>
    <n v="14"/>
    <n v="12"/>
    <n v="9"/>
    <n v="2"/>
    <n v="1"/>
    <n v="2"/>
    <n v="25"/>
    <n v="100.30500000000001"/>
    <n v="0"/>
    <n v="1"/>
    <x v="0"/>
    <n v="9.8822660098522164"/>
  </r>
  <r>
    <s v="ID-2869"/>
    <n v="0"/>
    <x v="0"/>
    <n v="34"/>
    <n v="0"/>
    <n v="0"/>
    <n v="0"/>
    <n v="0"/>
    <n v="0"/>
    <n v="2"/>
    <n v="1"/>
    <n v="2"/>
    <n v="25"/>
    <n v="0"/>
    <n v="1"/>
    <n v="1"/>
    <x v="0"/>
    <n v="0"/>
  </r>
  <r>
    <s v="ID-2870"/>
    <n v="6"/>
    <x v="0"/>
    <n v="34"/>
    <n v="0"/>
    <n v="7813"/>
    <n v="127"/>
    <n v="383"/>
    <n v="44"/>
    <n v="2"/>
    <n v="1"/>
    <n v="1"/>
    <n v="25"/>
    <n v="2080.8000000000002"/>
    <n v="0"/>
    <n v="1"/>
    <x v="0"/>
    <n v="26.632535517726868"/>
  </r>
  <r>
    <s v="ID-2871"/>
    <n v="10"/>
    <x v="0"/>
    <n v="34"/>
    <n v="1"/>
    <n v="11770"/>
    <n v="154"/>
    <n v="10"/>
    <n v="48"/>
    <n v="3"/>
    <n v="1"/>
    <n v="1"/>
    <n v="30"/>
    <n v="516.96"/>
    <n v="0"/>
    <n v="3"/>
    <x v="1"/>
    <n v="4.3921835174171626"/>
  </r>
  <r>
    <s v="ID-2872"/>
    <n v="11"/>
    <x v="0"/>
    <n v="34"/>
    <n v="1"/>
    <n v="7023"/>
    <n v="75"/>
    <n v="107"/>
    <n v="38"/>
    <n v="2"/>
    <n v="1"/>
    <n v="1"/>
    <n v="25"/>
    <n v="800.91"/>
    <n v="0"/>
    <n v="2"/>
    <x v="0"/>
    <n v="11.404100811618965"/>
  </r>
  <r>
    <s v="ID-2873"/>
    <n v="26"/>
    <x v="1"/>
    <n v="30"/>
    <n v="0"/>
    <n v="1260"/>
    <n v="47"/>
    <n v="15"/>
    <n v="18"/>
    <n v="2"/>
    <n v="1"/>
    <n v="2"/>
    <n v="25"/>
    <n v="126.315"/>
    <n v="1"/>
    <n v="5"/>
    <x v="1"/>
    <n v="10.024999999999999"/>
  </r>
  <r>
    <s v="ID-2874"/>
    <n v="24"/>
    <x v="0"/>
    <n v="33"/>
    <n v="8"/>
    <n v="10740"/>
    <n v="93"/>
    <n v="0"/>
    <n v="43"/>
    <n v="4"/>
    <n v="1"/>
    <n v="1"/>
    <n v="45"/>
    <n v="270.82499999999999"/>
    <n v="0"/>
    <n v="2"/>
    <x v="0"/>
    <n v="2.5216480446927374"/>
  </r>
  <r>
    <s v="ID-2875"/>
    <n v="16"/>
    <x v="0"/>
    <n v="33"/>
    <n v="1"/>
    <n v="6123"/>
    <n v="98"/>
    <n v="25"/>
    <n v="25"/>
    <n v="2"/>
    <n v="1"/>
    <n v="1"/>
    <n v="25"/>
    <n v="392.44499999999999"/>
    <n v="1"/>
    <n v="2"/>
    <x v="0"/>
    <n v="6.4093581577658014"/>
  </r>
  <r>
    <s v="ID-2876"/>
    <n v="4"/>
    <x v="0"/>
    <n v="31"/>
    <n v="0"/>
    <n v="3145"/>
    <n v="22"/>
    <n v="0"/>
    <n v="15"/>
    <n v="3"/>
    <n v="1"/>
    <n v="1"/>
    <n v="30"/>
    <n v="126.68"/>
    <n v="0"/>
    <n v="1"/>
    <x v="0"/>
    <n v="4.0279809220985694"/>
  </r>
  <r>
    <s v="ID-2877"/>
    <n v="12"/>
    <x v="1"/>
    <n v="32"/>
    <n v="0"/>
    <n v="3295"/>
    <n v="41"/>
    <n v="8"/>
    <n v="17"/>
    <n v="3"/>
    <n v="1"/>
    <n v="2"/>
    <n v="30"/>
    <n v="165.44"/>
    <n v="1"/>
    <n v="5"/>
    <x v="1"/>
    <n v="5.0209408194233687"/>
  </r>
  <r>
    <s v="ID-2878"/>
    <n v="12"/>
    <x v="0"/>
    <n v="33"/>
    <n v="0"/>
    <n v="2573"/>
    <n v="44"/>
    <n v="33"/>
    <n v="32"/>
    <n v="3"/>
    <n v="1"/>
    <n v="2"/>
    <n v="30"/>
    <n v="236.68"/>
    <n v="1"/>
    <n v="3"/>
    <x v="1"/>
    <n v="9.1986008550330354"/>
  </r>
  <r>
    <s v="ID-2879"/>
    <n v="3"/>
    <x v="0"/>
    <n v="33"/>
    <n v="0"/>
    <n v="438"/>
    <n v="2"/>
    <n v="0"/>
    <n v="3"/>
    <n v="3"/>
    <n v="1"/>
    <n v="2"/>
    <n v="30"/>
    <n v="17.600000000000001"/>
    <n v="1"/>
    <n v="1"/>
    <x v="0"/>
    <n v="4.0182648401826491"/>
  </r>
  <r>
    <s v="ID-2880"/>
    <n v="4"/>
    <x v="0"/>
    <n v="33"/>
    <n v="0"/>
    <n v="1973"/>
    <n v="25"/>
    <n v="0"/>
    <n v="7"/>
    <n v="3"/>
    <n v="1"/>
    <n v="1"/>
    <n v="30"/>
    <n v="79.92"/>
    <n v="0"/>
    <n v="1"/>
    <x v="0"/>
    <n v="4.0506842372022307"/>
  </r>
  <r>
    <s v="ID-2881"/>
    <n v="6"/>
    <x v="0"/>
    <n v="30"/>
    <n v="1"/>
    <n v="7090"/>
    <n v="97"/>
    <n v="13"/>
    <n v="23"/>
    <n v="4"/>
    <n v="1"/>
    <n v="1"/>
    <n v="45"/>
    <n v="212.17500000000001"/>
    <n v="0"/>
    <n v="0"/>
    <x v="0"/>
    <n v="2.9925952045133992"/>
  </r>
  <r>
    <s v="ID-2882"/>
    <n v="3"/>
    <x v="0"/>
    <n v="33"/>
    <n v="0"/>
    <n v="933"/>
    <n v="7"/>
    <n v="8"/>
    <n v="5"/>
    <n v="4"/>
    <n v="1"/>
    <n v="2"/>
    <n v="45"/>
    <n v="43.5"/>
    <n v="1"/>
    <n v="1"/>
    <x v="0"/>
    <n v="4.662379421221865"/>
  </r>
  <r>
    <s v="ID-2883"/>
    <n v="3"/>
    <x v="0"/>
    <n v="33"/>
    <n v="1"/>
    <n v="643"/>
    <n v="4"/>
    <n v="3"/>
    <n v="3"/>
    <n v="5"/>
    <n v="1"/>
    <n v="1"/>
    <n v="55"/>
    <n v="14.205"/>
    <n v="0"/>
    <n v="0"/>
    <x v="0"/>
    <n v="2.2091757387247277"/>
  </r>
  <r>
    <s v="ID-2884"/>
    <n v="28"/>
    <x v="0"/>
    <n v="28"/>
    <n v="3"/>
    <n v="16380"/>
    <n v="238"/>
    <n v="0"/>
    <n v="81"/>
    <n v="2"/>
    <n v="1"/>
    <n v="1"/>
    <n v="25"/>
    <n v="747.81"/>
    <n v="0"/>
    <n v="5"/>
    <x v="1"/>
    <n v="4.5653846153846152"/>
  </r>
  <r>
    <s v="ID-2885"/>
    <n v="9"/>
    <x v="0"/>
    <n v="31"/>
    <n v="3"/>
    <n v="7270"/>
    <n v="116"/>
    <n v="270"/>
    <n v="34"/>
    <n v="2"/>
    <n v="2"/>
    <n v="1"/>
    <n v="25"/>
    <n v="1547.37"/>
    <n v="0"/>
    <n v="0"/>
    <x v="0"/>
    <n v="21.284319119669874"/>
  </r>
  <r>
    <s v="ID-2886"/>
    <n v="5"/>
    <x v="0"/>
    <n v="33"/>
    <n v="0"/>
    <n v="4023"/>
    <n v="82"/>
    <n v="1"/>
    <n v="29"/>
    <n v="2"/>
    <n v="1"/>
    <n v="1"/>
    <n v="25"/>
    <n v="189.22499999999999"/>
    <n v="0"/>
    <n v="1"/>
    <x v="0"/>
    <n v="4.7035794183445185"/>
  </r>
  <r>
    <s v="ID-2887"/>
    <n v="6"/>
    <x v="0"/>
    <n v="32"/>
    <n v="0"/>
    <n v="1970"/>
    <n v="44"/>
    <n v="37"/>
    <n v="21"/>
    <n v="3"/>
    <n v="1"/>
    <n v="2"/>
    <n v="30"/>
    <n v="228.56"/>
    <n v="0"/>
    <n v="1"/>
    <x v="0"/>
    <n v="11.602030456852793"/>
  </r>
  <r>
    <s v="ID-2888"/>
    <n v="9"/>
    <x v="0"/>
    <n v="33"/>
    <n v="0"/>
    <n v="3085"/>
    <n v="53"/>
    <n v="174"/>
    <n v="24"/>
    <n v="2"/>
    <n v="1"/>
    <n v="1"/>
    <n v="25"/>
    <n v="924.21"/>
    <n v="0"/>
    <n v="1"/>
    <x v="0"/>
    <n v="29.958184764991895"/>
  </r>
  <r>
    <s v="ID-2889"/>
    <n v="7"/>
    <x v="0"/>
    <n v="24"/>
    <n v="1"/>
    <n v="1620"/>
    <n v="36"/>
    <n v="192"/>
    <n v="12"/>
    <n v="2"/>
    <n v="2"/>
    <n v="1"/>
    <n v="25"/>
    <n v="938.52"/>
    <n v="0"/>
    <n v="0"/>
    <x v="0"/>
    <n v="57.933333333333337"/>
  </r>
  <r>
    <s v="ID-2890"/>
    <n v="7"/>
    <x v="0"/>
    <n v="23"/>
    <n v="0"/>
    <n v="1873"/>
    <n v="39"/>
    <n v="29"/>
    <n v="69"/>
    <n v="4"/>
    <n v="1"/>
    <n v="1"/>
    <n v="45"/>
    <n v="120.3"/>
    <n v="0"/>
    <n v="2"/>
    <x v="0"/>
    <n v="6.4228510411105182"/>
  </r>
  <r>
    <s v="ID-2891"/>
    <n v="14"/>
    <x v="0"/>
    <n v="24"/>
    <n v="0"/>
    <n v="1005"/>
    <n v="25"/>
    <n v="9"/>
    <n v="8"/>
    <n v="2"/>
    <n v="1"/>
    <n v="2"/>
    <n v="25"/>
    <n v="86.85"/>
    <n v="0"/>
    <n v="3"/>
    <x v="1"/>
    <n v="8.6417910447761184"/>
  </r>
  <r>
    <s v="ID-2892"/>
    <n v="3"/>
    <x v="0"/>
    <n v="23"/>
    <n v="0"/>
    <n v="1130"/>
    <n v="10"/>
    <n v="20"/>
    <n v="4"/>
    <n v="4"/>
    <n v="1"/>
    <n v="2"/>
    <n v="45"/>
    <n v="78.5"/>
    <n v="0"/>
    <n v="1"/>
    <x v="0"/>
    <n v="6.946902654867257"/>
  </r>
  <r>
    <s v="ID-2893"/>
    <n v="13"/>
    <x v="0"/>
    <n v="22"/>
    <n v="0"/>
    <n v="1530"/>
    <n v="32"/>
    <n v="18"/>
    <n v="14"/>
    <n v="2"/>
    <n v="1"/>
    <n v="1"/>
    <n v="25"/>
    <n v="151.29"/>
    <n v="0"/>
    <n v="3"/>
    <x v="1"/>
    <n v="9.8882352941176457"/>
  </r>
  <r>
    <s v="ID-2894"/>
    <n v="5"/>
    <x v="0"/>
    <n v="22"/>
    <n v="0"/>
    <n v="3530"/>
    <n v="61"/>
    <n v="7"/>
    <n v="24"/>
    <n v="3"/>
    <n v="1"/>
    <n v="1"/>
    <n v="30"/>
    <n v="171.64"/>
    <n v="0"/>
    <n v="1"/>
    <x v="0"/>
    <n v="4.8623229461756372"/>
  </r>
  <r>
    <s v="ID-2895"/>
    <n v="5"/>
    <x v="0"/>
    <n v="15"/>
    <n v="0"/>
    <n v="2000"/>
    <n v="26"/>
    <n v="27"/>
    <n v="15"/>
    <n v="2"/>
    <n v="1"/>
    <n v="1"/>
    <n v="25"/>
    <n v="212.67"/>
    <n v="0"/>
    <n v="1"/>
    <x v="0"/>
    <n v="10.6335"/>
  </r>
  <r>
    <s v="ID-2896"/>
    <n v="19"/>
    <x v="0"/>
    <n v="14"/>
    <n v="1"/>
    <n v="6697"/>
    <n v="141"/>
    <n v="84"/>
    <n v="43"/>
    <n v="1"/>
    <n v="2"/>
    <n v="1"/>
    <n v="15"/>
    <n v="838.09"/>
    <n v="0"/>
    <n v="4"/>
    <x v="1"/>
    <n v="12.514409437061373"/>
  </r>
  <r>
    <s v="ID-2897"/>
    <n v="15"/>
    <x v="0"/>
    <n v="12"/>
    <n v="0"/>
    <n v="9237"/>
    <n v="171"/>
    <n v="72"/>
    <n v="41"/>
    <n v="4"/>
    <n v="1"/>
    <n v="1"/>
    <n v="45"/>
    <n v="415.2"/>
    <n v="0"/>
    <n v="5"/>
    <x v="1"/>
    <n v="4.4949658980188367"/>
  </r>
  <r>
    <s v="ID-2898"/>
    <n v="11"/>
    <x v="0"/>
    <n v="13"/>
    <n v="3"/>
    <n v="3157"/>
    <n v="45"/>
    <n v="30"/>
    <n v="20"/>
    <n v="3"/>
    <n v="1"/>
    <n v="1"/>
    <n v="30"/>
    <n v="248.08"/>
    <n v="0"/>
    <n v="2"/>
    <x v="0"/>
    <n v="7.8580931263858096"/>
  </r>
  <r>
    <s v="ID-2899"/>
    <n v="5"/>
    <x v="0"/>
    <n v="6"/>
    <n v="1"/>
    <n v="4695"/>
    <n v="40"/>
    <n v="214"/>
    <n v="11"/>
    <n v="3"/>
    <n v="1"/>
    <n v="1"/>
    <n v="30"/>
    <n v="1045.4000000000001"/>
    <n v="0"/>
    <n v="0"/>
    <x v="0"/>
    <n v="22.266240681576146"/>
  </r>
  <r>
    <s v="ID-2900"/>
    <n v="6"/>
    <x v="0"/>
    <n v="6"/>
    <n v="1"/>
    <n v="1792"/>
    <n v="19"/>
    <n v="0"/>
    <n v="8"/>
    <n v="3"/>
    <n v="1"/>
    <n v="1"/>
    <n v="30"/>
    <n v="72.44"/>
    <n v="1"/>
    <n v="0"/>
    <x v="0"/>
    <n v="4.0424107142857144"/>
  </r>
  <r>
    <s v="ID-2901"/>
    <n v="15"/>
    <x v="0"/>
    <n v="45"/>
    <n v="2"/>
    <n v="4675"/>
    <n v="83"/>
    <n v="20"/>
    <n v="20"/>
    <n v="3"/>
    <n v="1"/>
    <n v="1"/>
    <n v="30"/>
    <n v="270.32"/>
    <n v="0"/>
    <n v="2"/>
    <x v="0"/>
    <n v="5.7822459893048128"/>
  </r>
  <r>
    <s v="ID-2902"/>
    <n v="7"/>
    <x v="0"/>
    <n v="46"/>
    <n v="0"/>
    <n v="623"/>
    <n v="17"/>
    <n v="22"/>
    <n v="7"/>
    <n v="3"/>
    <n v="1"/>
    <n v="2"/>
    <n v="30"/>
    <n v="113.6"/>
    <n v="0"/>
    <n v="1"/>
    <x v="0"/>
    <n v="18.234349919743178"/>
  </r>
  <r>
    <s v="ID-2903"/>
    <n v="17"/>
    <x v="0"/>
    <n v="44"/>
    <n v="2"/>
    <n v="2758"/>
    <n v="72"/>
    <n v="374"/>
    <n v="27"/>
    <n v="3"/>
    <n v="1"/>
    <n v="1"/>
    <n v="30"/>
    <n v="1609.2"/>
    <n v="0"/>
    <n v="2"/>
    <x v="0"/>
    <n v="58.346627991298035"/>
  </r>
  <r>
    <s v="ID-2904"/>
    <n v="17"/>
    <x v="0"/>
    <n v="45"/>
    <n v="2"/>
    <n v="4503"/>
    <n v="78"/>
    <n v="16"/>
    <n v="38"/>
    <n v="1"/>
    <n v="1"/>
    <n v="1"/>
    <n v="15"/>
    <n v="339.95499999999998"/>
    <n v="0"/>
    <n v="2"/>
    <x v="0"/>
    <n v="7.5495225405285362"/>
  </r>
  <r>
    <s v="ID-2905"/>
    <n v="10"/>
    <x v="0"/>
    <n v="45"/>
    <n v="2"/>
    <n v="2698"/>
    <n v="70"/>
    <n v="17"/>
    <n v="36"/>
    <n v="2"/>
    <n v="1"/>
    <n v="1"/>
    <n v="25"/>
    <n v="201.06"/>
    <n v="0"/>
    <n v="0"/>
    <x v="0"/>
    <n v="7.4521868050407711"/>
  </r>
  <r>
    <s v="ID-2906"/>
    <n v="18"/>
    <x v="0"/>
    <n v="45"/>
    <n v="3"/>
    <n v="4080"/>
    <n v="94"/>
    <n v="47"/>
    <n v="31"/>
    <n v="3"/>
    <n v="1"/>
    <n v="1"/>
    <n v="30"/>
    <n v="354.96"/>
    <n v="0"/>
    <n v="2"/>
    <x v="0"/>
    <n v="8.6999999999999993"/>
  </r>
  <r>
    <s v="ID-2907"/>
    <n v="11"/>
    <x v="0"/>
    <n v="45"/>
    <n v="2"/>
    <n v="2665"/>
    <n v="51"/>
    <n v="300"/>
    <n v="21"/>
    <n v="4"/>
    <n v="1"/>
    <n v="1"/>
    <n v="45"/>
    <n v="817.9"/>
    <n v="0"/>
    <n v="2"/>
    <x v="0"/>
    <n v="30.690431519699814"/>
  </r>
  <r>
    <s v="ID-2908"/>
    <n v="20"/>
    <x v="0"/>
    <n v="44"/>
    <n v="4"/>
    <n v="9420"/>
    <n v="133"/>
    <n v="159"/>
    <n v="46"/>
    <n v="3"/>
    <n v="1"/>
    <n v="1"/>
    <n v="30"/>
    <n v="1018.12"/>
    <n v="0"/>
    <n v="2"/>
    <x v="0"/>
    <n v="10.808067940552018"/>
  </r>
  <r>
    <s v="ID-2909"/>
    <n v="14"/>
    <x v="0"/>
    <n v="45"/>
    <n v="2"/>
    <n v="14078"/>
    <n v="181"/>
    <n v="15"/>
    <n v="47"/>
    <n v="3"/>
    <n v="1"/>
    <n v="1"/>
    <n v="30"/>
    <n v="630.36"/>
    <n v="0"/>
    <n v="4"/>
    <x v="1"/>
    <n v="4.4776246625941187"/>
  </r>
  <r>
    <s v="ID-2910"/>
    <n v="14"/>
    <x v="0"/>
    <n v="45"/>
    <n v="3"/>
    <n v="4820"/>
    <n v="95"/>
    <n v="17"/>
    <n v="28"/>
    <n v="4"/>
    <n v="1"/>
    <n v="1"/>
    <n v="45"/>
    <n v="165.375"/>
    <n v="0"/>
    <n v="2"/>
    <x v="0"/>
    <n v="3.4310165975103737"/>
  </r>
  <r>
    <s v="ID-2911"/>
    <n v="13"/>
    <x v="0"/>
    <n v="45"/>
    <n v="2"/>
    <n v="6223"/>
    <n v="107"/>
    <n v="22"/>
    <n v="15"/>
    <n v="3"/>
    <n v="1"/>
    <n v="1"/>
    <n v="30"/>
    <n v="341.2"/>
    <n v="0"/>
    <n v="2"/>
    <x v="0"/>
    <n v="5.4828860678129514"/>
  </r>
  <r>
    <s v="ID-2912"/>
    <n v="16"/>
    <x v="0"/>
    <n v="45"/>
    <n v="0"/>
    <n v="2543"/>
    <n v="66"/>
    <n v="23"/>
    <n v="20"/>
    <n v="4"/>
    <n v="1"/>
    <n v="2"/>
    <n v="45"/>
    <n v="122.72499999999999"/>
    <n v="0"/>
    <n v="3"/>
    <x v="1"/>
    <n v="4.8259929217459687"/>
  </r>
  <r>
    <s v="ID-2913"/>
    <n v="32"/>
    <x v="0"/>
    <n v="45"/>
    <n v="5"/>
    <n v="15445"/>
    <n v="237"/>
    <n v="69"/>
    <n v="35"/>
    <n v="3"/>
    <n v="2"/>
    <n v="1"/>
    <n v="30"/>
    <n v="903.28"/>
    <n v="0"/>
    <n v="4"/>
    <x v="1"/>
    <n v="5.8483651667206216"/>
  </r>
  <r>
    <s v="ID-2914"/>
    <n v="11"/>
    <x v="0"/>
    <n v="45"/>
    <n v="3"/>
    <n v="3400"/>
    <n v="39"/>
    <n v="498"/>
    <n v="11"/>
    <n v="4"/>
    <n v="1"/>
    <n v="1"/>
    <n v="45"/>
    <n v="1330.9749999999999"/>
    <n v="0"/>
    <n v="2"/>
    <x v="0"/>
    <n v="39.146323529411767"/>
  </r>
  <r>
    <s v="ID-2915"/>
    <n v="16"/>
    <x v="0"/>
    <n v="44"/>
    <n v="2"/>
    <n v="15790"/>
    <n v="194"/>
    <n v="165"/>
    <n v="33"/>
    <n v="3"/>
    <n v="1"/>
    <n v="1"/>
    <n v="30"/>
    <n v="1299.3599999999999"/>
    <n v="0"/>
    <n v="4"/>
    <x v="1"/>
    <n v="8.2290056998100063"/>
  </r>
  <r>
    <s v="ID-2916"/>
    <n v="10"/>
    <x v="0"/>
    <n v="44"/>
    <n v="3"/>
    <n v="6805"/>
    <n v="98"/>
    <n v="201"/>
    <n v="29"/>
    <n v="4"/>
    <n v="1"/>
    <n v="1"/>
    <n v="45"/>
    <n v="675.07500000000005"/>
    <n v="0"/>
    <n v="0"/>
    <x v="0"/>
    <n v="9.9202792064658354"/>
  </r>
  <r>
    <s v="ID-2917"/>
    <n v="7"/>
    <x v="0"/>
    <n v="44"/>
    <n v="0"/>
    <n v="1180"/>
    <n v="26"/>
    <n v="15"/>
    <n v="14"/>
    <n v="3"/>
    <n v="1"/>
    <n v="2"/>
    <n v="30"/>
    <n v="108.24"/>
    <n v="0"/>
    <n v="1"/>
    <x v="0"/>
    <n v="9.1728813559322031"/>
  </r>
  <r>
    <s v="ID-2918"/>
    <n v="9"/>
    <x v="0"/>
    <n v="45"/>
    <n v="0"/>
    <n v="1015"/>
    <n v="26"/>
    <n v="28"/>
    <n v="11"/>
    <n v="3"/>
    <n v="1"/>
    <n v="2"/>
    <n v="30"/>
    <n v="153.63999999999999"/>
    <n v="0"/>
    <n v="1"/>
    <x v="0"/>
    <n v="15.13694581280788"/>
  </r>
  <r>
    <s v="ID-2919"/>
    <n v="7"/>
    <x v="0"/>
    <n v="44"/>
    <n v="0"/>
    <n v="305"/>
    <n v="12"/>
    <n v="15"/>
    <n v="3"/>
    <n v="3"/>
    <n v="1"/>
    <n v="2"/>
    <n v="30"/>
    <n v="72.680000000000007"/>
    <n v="1"/>
    <n v="1"/>
    <x v="0"/>
    <n v="23.829508196721314"/>
  </r>
  <r>
    <s v="ID-2920"/>
    <n v="10"/>
    <x v="0"/>
    <n v="44"/>
    <n v="2"/>
    <n v="7813"/>
    <n v="139"/>
    <n v="399"/>
    <n v="46"/>
    <n v="3"/>
    <n v="1"/>
    <n v="1"/>
    <n v="30"/>
    <n v="1914.08"/>
    <n v="0"/>
    <n v="2"/>
    <x v="0"/>
    <n v="24.498656086010495"/>
  </r>
  <r>
    <s v="ID-2921"/>
    <n v="14"/>
    <x v="0"/>
    <n v="44"/>
    <n v="3"/>
    <n v="11770"/>
    <n v="166"/>
    <n v="26"/>
    <n v="50"/>
    <n v="4"/>
    <n v="1"/>
    <n v="1"/>
    <n v="45"/>
    <n v="363.4"/>
    <n v="0"/>
    <n v="5"/>
    <x v="1"/>
    <n v="3.0875106202209004"/>
  </r>
  <r>
    <s v="ID-2922"/>
    <n v="15"/>
    <x v="0"/>
    <n v="44"/>
    <n v="3"/>
    <n v="7023"/>
    <n v="87"/>
    <n v="123"/>
    <n v="40"/>
    <n v="3"/>
    <n v="1"/>
    <n v="1"/>
    <n v="30"/>
    <n v="776.4"/>
    <n v="0"/>
    <n v="2"/>
    <x v="0"/>
    <n v="11.05510465612986"/>
  </r>
  <r>
    <s v="ID-2923"/>
    <n v="30"/>
    <x v="1"/>
    <n v="40"/>
    <n v="0"/>
    <n v="1260"/>
    <n v="59"/>
    <n v="31"/>
    <n v="20"/>
    <n v="3"/>
    <n v="1"/>
    <n v="2"/>
    <n v="30"/>
    <n v="176.76"/>
    <n v="1"/>
    <n v="5"/>
    <x v="1"/>
    <n v="14.028571428571428"/>
  </r>
  <r>
    <s v="ID-2924"/>
    <n v="28"/>
    <x v="0"/>
    <n v="43"/>
    <n v="10"/>
    <n v="10740"/>
    <n v="105"/>
    <n v="16"/>
    <n v="45"/>
    <n v="5"/>
    <n v="2"/>
    <n v="1"/>
    <n v="55"/>
    <n v="186.67500000000001"/>
    <n v="0"/>
    <n v="2"/>
    <x v="0"/>
    <n v="1.7381284916201118"/>
  </r>
  <r>
    <s v="ID-2925"/>
    <n v="20"/>
    <x v="0"/>
    <n v="43"/>
    <n v="3"/>
    <n v="6123"/>
    <n v="110"/>
    <n v="41"/>
    <n v="27"/>
    <n v="3"/>
    <n v="1"/>
    <n v="1"/>
    <n v="30"/>
    <n v="413.32"/>
    <n v="0"/>
    <n v="2"/>
    <x v="0"/>
    <n v="6.7502858076106484"/>
  </r>
  <r>
    <s v="ID-2926"/>
    <n v="8"/>
    <x v="0"/>
    <n v="41"/>
    <n v="2"/>
    <n v="3145"/>
    <n v="34"/>
    <n v="15"/>
    <n v="17"/>
    <n v="4"/>
    <n v="1"/>
    <n v="1"/>
    <n v="45"/>
    <n v="116.97499999999999"/>
    <n v="0"/>
    <n v="0"/>
    <x v="0"/>
    <n v="3.7193958664546898"/>
  </r>
  <r>
    <s v="ID-2927"/>
    <n v="16"/>
    <x v="1"/>
    <n v="42"/>
    <n v="0"/>
    <n v="3295"/>
    <n v="53"/>
    <n v="24"/>
    <n v="19"/>
    <n v="3"/>
    <n v="1"/>
    <n v="2"/>
    <n v="30"/>
    <n v="229.92"/>
    <n v="1"/>
    <n v="5"/>
    <x v="1"/>
    <n v="6.9778452200303489"/>
  </r>
  <r>
    <s v="ID-2928"/>
    <n v="16"/>
    <x v="1"/>
    <n v="43"/>
    <n v="0"/>
    <n v="2573"/>
    <n v="56"/>
    <n v="49"/>
    <n v="34"/>
    <n v="4"/>
    <n v="1"/>
    <n v="2"/>
    <n v="45"/>
    <n v="188.22499999999999"/>
    <n v="1"/>
    <n v="5"/>
    <x v="1"/>
    <n v="7.31539059463661"/>
  </r>
  <r>
    <s v="ID-2929"/>
    <n v="7"/>
    <x v="0"/>
    <n v="43"/>
    <n v="0"/>
    <n v="438"/>
    <n v="14"/>
    <n v="15"/>
    <n v="5"/>
    <n v="3"/>
    <n v="1"/>
    <n v="2"/>
    <n v="30"/>
    <n v="78.08"/>
    <n v="1"/>
    <n v="1"/>
    <x v="0"/>
    <n v="17.826484018264839"/>
  </r>
  <r>
    <s v="ID-2930"/>
    <n v="8"/>
    <x v="0"/>
    <n v="43"/>
    <n v="2"/>
    <n v="1973"/>
    <n v="37"/>
    <n v="15"/>
    <n v="9"/>
    <n v="4"/>
    <n v="1"/>
    <n v="1"/>
    <n v="45"/>
    <n v="87.75"/>
    <n v="0"/>
    <n v="0"/>
    <x v="0"/>
    <n v="4.4475418144956915"/>
  </r>
  <r>
    <s v="ID-2931"/>
    <n v="10"/>
    <x v="0"/>
    <n v="40"/>
    <n v="3"/>
    <n v="7090"/>
    <n v="109"/>
    <n v="29"/>
    <n v="25"/>
    <n v="5"/>
    <n v="1"/>
    <n v="1"/>
    <n v="55"/>
    <n v="151.48500000000001"/>
    <n v="0"/>
    <n v="0"/>
    <x v="0"/>
    <n v="2.1366008462623416"/>
  </r>
  <r>
    <s v="ID-2932"/>
    <n v="7"/>
    <x v="0"/>
    <n v="43"/>
    <n v="0"/>
    <n v="933"/>
    <n v="19"/>
    <n v="24"/>
    <n v="7"/>
    <n v="4"/>
    <n v="1"/>
    <n v="2"/>
    <n v="45"/>
    <n v="83.8"/>
    <n v="1"/>
    <n v="1"/>
    <x v="0"/>
    <n v="8.9817792068595921"/>
  </r>
  <r>
    <s v="ID-2933"/>
    <n v="7"/>
    <x v="0"/>
    <n v="43"/>
    <n v="3"/>
    <n v="643"/>
    <n v="16"/>
    <n v="19"/>
    <n v="5"/>
    <n v="5"/>
    <n v="1"/>
    <n v="1"/>
    <n v="55"/>
    <n v="38.384999999999998"/>
    <n v="0"/>
    <n v="0"/>
    <x v="0"/>
    <n v="5.9696734059097976"/>
  </r>
  <r>
    <s v="ID-2934"/>
    <n v="32"/>
    <x v="0"/>
    <n v="38"/>
    <n v="5"/>
    <n v="16380"/>
    <n v="250"/>
    <n v="15"/>
    <n v="83"/>
    <n v="2"/>
    <n v="2"/>
    <n v="1"/>
    <n v="25"/>
    <n v="815.85"/>
    <n v="0"/>
    <n v="5"/>
    <x v="1"/>
    <n v="4.9807692307692308"/>
  </r>
  <r>
    <s v="ID-2935"/>
    <n v="13"/>
    <x v="0"/>
    <n v="41"/>
    <n v="5"/>
    <n v="7270"/>
    <n v="128"/>
    <n v="286"/>
    <n v="36"/>
    <n v="3"/>
    <n v="2"/>
    <n v="1"/>
    <n v="30"/>
    <n v="1439.92"/>
    <n v="0"/>
    <n v="2"/>
    <x v="0"/>
    <n v="19.806327372764787"/>
  </r>
  <r>
    <s v="ID-2936"/>
    <n v="9"/>
    <x v="0"/>
    <n v="43"/>
    <n v="2"/>
    <n v="4023"/>
    <n v="94"/>
    <n v="17"/>
    <n v="31"/>
    <n v="3"/>
    <n v="1"/>
    <n v="1"/>
    <n v="30"/>
    <n v="232.68"/>
    <n v="0"/>
    <n v="0"/>
    <x v="0"/>
    <n v="5.7837434750186425"/>
  </r>
  <r>
    <s v="ID-2937"/>
    <n v="10"/>
    <x v="0"/>
    <n v="42"/>
    <n v="0"/>
    <n v="1970"/>
    <n v="56"/>
    <n v="53"/>
    <n v="23"/>
    <n v="4"/>
    <n v="1"/>
    <n v="2"/>
    <n v="45"/>
    <n v="183.15"/>
    <n v="0"/>
    <n v="1"/>
    <x v="0"/>
    <n v="9.2969543147208125"/>
  </r>
  <r>
    <s v="ID-2938"/>
    <n v="13"/>
    <x v="0"/>
    <n v="43"/>
    <n v="2"/>
    <n v="3085"/>
    <n v="65"/>
    <n v="190"/>
    <n v="26"/>
    <n v="3"/>
    <n v="1"/>
    <n v="1"/>
    <n v="30"/>
    <n v="886"/>
    <n v="0"/>
    <n v="2"/>
    <x v="0"/>
    <n v="28.719611021069692"/>
  </r>
  <r>
    <s v="ID-2939"/>
    <n v="11"/>
    <x v="0"/>
    <n v="34"/>
    <n v="3"/>
    <n v="1620"/>
    <n v="48"/>
    <n v="208"/>
    <n v="14"/>
    <n v="3"/>
    <n v="2"/>
    <n v="1"/>
    <n v="30"/>
    <n v="898.72"/>
    <n v="0"/>
    <n v="2"/>
    <x v="0"/>
    <n v="55.476543209876553"/>
  </r>
  <r>
    <s v="ID-2940"/>
    <n v="11"/>
    <x v="0"/>
    <n v="33"/>
    <n v="2"/>
    <n v="1873"/>
    <n v="51"/>
    <n v="45"/>
    <n v="71"/>
    <n v="5"/>
    <n v="1"/>
    <n v="1"/>
    <n v="55"/>
    <n v="96.36"/>
    <n v="0"/>
    <n v="3"/>
    <x v="1"/>
    <n v="5.144687666844634"/>
  </r>
  <r>
    <s v="ID-2941"/>
    <n v="18"/>
    <x v="0"/>
    <n v="34"/>
    <n v="0"/>
    <n v="1005"/>
    <n v="37"/>
    <n v="25"/>
    <n v="10"/>
    <n v="3"/>
    <n v="1"/>
    <n v="2"/>
    <n v="30"/>
    <n v="141.68"/>
    <n v="0"/>
    <n v="3"/>
    <x v="1"/>
    <n v="14.097512437810947"/>
  </r>
  <r>
    <s v="ID-2942"/>
    <n v="7"/>
    <x v="0"/>
    <n v="33"/>
    <n v="0"/>
    <n v="1130"/>
    <n v="22"/>
    <n v="36"/>
    <n v="6"/>
    <n v="4"/>
    <n v="1"/>
    <n v="2"/>
    <n v="45"/>
    <n v="118.8"/>
    <n v="0"/>
    <n v="1"/>
    <x v="0"/>
    <n v="10.513274336283187"/>
  </r>
  <r>
    <s v="ID-2943"/>
    <n v="17"/>
    <x v="0"/>
    <n v="32"/>
    <n v="2"/>
    <n v="1530"/>
    <n v="44"/>
    <n v="34"/>
    <n v="16"/>
    <n v="2"/>
    <n v="1"/>
    <n v="1"/>
    <n v="25"/>
    <n v="223.83"/>
    <n v="0"/>
    <n v="2"/>
    <x v="0"/>
    <n v="14.629411764705882"/>
  </r>
  <r>
    <s v="ID-2944"/>
    <n v="9"/>
    <x v="0"/>
    <n v="32"/>
    <n v="2"/>
    <n v="3530"/>
    <n v="73"/>
    <n v="23"/>
    <n v="26"/>
    <n v="4"/>
    <n v="1"/>
    <n v="1"/>
    <n v="45"/>
    <n v="147.57499999999999"/>
    <n v="0"/>
    <n v="0"/>
    <x v="0"/>
    <n v="4.180594900849858"/>
  </r>
  <r>
    <s v="ID-2945"/>
    <n v="9"/>
    <x v="0"/>
    <n v="25"/>
    <n v="2"/>
    <n v="2000"/>
    <n v="38"/>
    <n v="43"/>
    <n v="17"/>
    <n v="3"/>
    <n v="1"/>
    <n v="1"/>
    <n v="30"/>
    <n v="253.52"/>
    <n v="0"/>
    <n v="0"/>
    <x v="0"/>
    <n v="12.676000000000002"/>
  </r>
  <r>
    <s v="ID-2946"/>
    <n v="23"/>
    <x v="0"/>
    <n v="24"/>
    <n v="3"/>
    <n v="6697"/>
    <n v="153"/>
    <n v="100"/>
    <n v="45"/>
    <n v="2"/>
    <n v="2"/>
    <n v="1"/>
    <n v="25"/>
    <n v="758.25"/>
    <n v="0"/>
    <n v="4"/>
    <x v="1"/>
    <n v="11.32223383604599"/>
  </r>
  <r>
    <s v="ID-2947"/>
    <n v="19"/>
    <x v="0"/>
    <n v="22"/>
    <n v="2"/>
    <n v="9237"/>
    <n v="183"/>
    <n v="88"/>
    <n v="43"/>
    <n v="5"/>
    <n v="1"/>
    <n v="1"/>
    <n v="55"/>
    <n v="273.3"/>
    <n v="0"/>
    <n v="4"/>
    <x v="1"/>
    <n v="2.9587528418317635"/>
  </r>
  <r>
    <s v="ID-2948"/>
    <n v="15"/>
    <x v="0"/>
    <n v="23"/>
    <n v="5"/>
    <n v="3157"/>
    <n v="57"/>
    <n v="46"/>
    <n v="22"/>
    <n v="4"/>
    <n v="1"/>
    <n v="1"/>
    <n v="45"/>
    <n v="195.35"/>
    <n v="0"/>
    <n v="2"/>
    <x v="0"/>
    <n v="6.1878365536902118"/>
  </r>
  <r>
    <s v="ID-2949"/>
    <n v="9"/>
    <x v="0"/>
    <n v="16"/>
    <n v="3"/>
    <n v="4695"/>
    <n v="52"/>
    <n v="230"/>
    <n v="13"/>
    <n v="3"/>
    <n v="1"/>
    <n v="1"/>
    <n v="30"/>
    <n v="1109.8800000000001"/>
    <n v="0"/>
    <n v="0"/>
    <x v="0"/>
    <n v="23.639616613418532"/>
  </r>
  <r>
    <s v="ID-2950"/>
    <n v="10"/>
    <x v="0"/>
    <n v="16"/>
    <n v="3"/>
    <n v="1792"/>
    <n v="31"/>
    <n v="15"/>
    <n v="10"/>
    <n v="3"/>
    <n v="1"/>
    <n v="1"/>
    <n v="30"/>
    <n v="132.91999999999999"/>
    <n v="1"/>
    <n v="0"/>
    <x v="0"/>
    <n v="7.4174107142857135"/>
  </r>
  <r>
    <s v="ID-2951"/>
    <n v="19"/>
    <x v="0"/>
    <n v="41"/>
    <n v="2"/>
    <n v="5385"/>
    <n v="88"/>
    <n v="37"/>
    <n v="19"/>
    <n v="3"/>
    <n v="1"/>
    <n v="1"/>
    <n v="30"/>
    <n v="366.92"/>
    <n v="0"/>
    <n v="2"/>
    <x v="0"/>
    <n v="6.8137418755803161"/>
  </r>
  <r>
    <s v="ID-2952"/>
    <n v="11"/>
    <x v="0"/>
    <n v="42"/>
    <n v="0"/>
    <n v="1333"/>
    <n v="22"/>
    <n v="22"/>
    <n v="6"/>
    <n v="3"/>
    <n v="1"/>
    <n v="2"/>
    <n v="30"/>
    <n v="142.19999999999999"/>
    <n v="0"/>
    <n v="3"/>
    <x v="1"/>
    <n v="10.667666916729182"/>
  </r>
  <r>
    <s v="ID-2953"/>
    <n v="21"/>
    <x v="0"/>
    <n v="40"/>
    <n v="2"/>
    <n v="3468"/>
    <n v="77"/>
    <n v="374"/>
    <n v="26"/>
    <n v="3"/>
    <n v="1"/>
    <n v="1"/>
    <n v="30"/>
    <n v="1637.8"/>
    <n v="0"/>
    <n v="2"/>
    <x v="0"/>
    <n v="47.226066897347174"/>
  </r>
  <r>
    <s v="ID-2954"/>
    <n v="21"/>
    <x v="0"/>
    <n v="41"/>
    <n v="2"/>
    <n v="5213"/>
    <n v="83"/>
    <n v="16"/>
    <n v="37"/>
    <n v="1"/>
    <n v="1"/>
    <n v="1"/>
    <n v="15"/>
    <n v="379.28"/>
    <n v="0"/>
    <n v="2"/>
    <x v="0"/>
    <n v="7.2756570113178585"/>
  </r>
  <r>
    <s v="ID-2955"/>
    <n v="14"/>
    <x v="0"/>
    <n v="41"/>
    <n v="2"/>
    <n v="3408"/>
    <n v="75"/>
    <n v="17"/>
    <n v="35"/>
    <n v="2"/>
    <n v="1"/>
    <n v="1"/>
    <n v="25"/>
    <n v="233.23500000000001"/>
    <n v="0"/>
    <n v="2"/>
    <x v="0"/>
    <n v="6.84375"/>
  </r>
  <r>
    <s v="ID-2956"/>
    <n v="22"/>
    <x v="0"/>
    <n v="41"/>
    <n v="3"/>
    <n v="4790"/>
    <n v="99"/>
    <n v="47"/>
    <n v="30"/>
    <n v="3"/>
    <n v="1"/>
    <n v="1"/>
    <n v="30"/>
    <n v="383.56"/>
    <n v="0"/>
    <n v="2"/>
    <x v="0"/>
    <n v="8.0075156576200417"/>
  </r>
  <r>
    <s v="ID-2957"/>
    <n v="15"/>
    <x v="0"/>
    <n v="41"/>
    <n v="2"/>
    <n v="3375"/>
    <n v="56"/>
    <n v="300"/>
    <n v="20"/>
    <n v="4"/>
    <n v="1"/>
    <n v="1"/>
    <n v="45"/>
    <n v="835.77499999999998"/>
    <n v="0"/>
    <n v="2"/>
    <x v="0"/>
    <n v="24.763703703703701"/>
  </r>
  <r>
    <s v="ID-2958"/>
    <n v="24"/>
    <x v="0"/>
    <n v="40"/>
    <n v="4"/>
    <n v="10130"/>
    <n v="138"/>
    <n v="159"/>
    <n v="45"/>
    <n v="3"/>
    <n v="1"/>
    <n v="1"/>
    <n v="30"/>
    <n v="1046.72"/>
    <n v="0"/>
    <n v="2"/>
    <x v="0"/>
    <n v="10.332872655478777"/>
  </r>
  <r>
    <s v="ID-2959"/>
    <n v="18"/>
    <x v="0"/>
    <n v="41"/>
    <n v="2"/>
    <n v="14788"/>
    <n v="186"/>
    <n v="15"/>
    <n v="46"/>
    <n v="3"/>
    <n v="1"/>
    <n v="1"/>
    <n v="30"/>
    <n v="658.96"/>
    <n v="0"/>
    <n v="4"/>
    <x v="1"/>
    <n v="4.4560454422504741"/>
  </r>
  <r>
    <s v="ID-2960"/>
    <n v="18"/>
    <x v="0"/>
    <n v="41"/>
    <n v="3"/>
    <n v="5530"/>
    <n v="100"/>
    <n v="17"/>
    <n v="27"/>
    <n v="4"/>
    <n v="1"/>
    <n v="1"/>
    <n v="45"/>
    <n v="183.25"/>
    <n v="0"/>
    <n v="2"/>
    <x v="0"/>
    <n v="3.3137432188065099"/>
  </r>
  <r>
    <s v="ID-2961"/>
    <n v="17"/>
    <x v="0"/>
    <n v="41"/>
    <n v="2"/>
    <n v="6933"/>
    <n v="112"/>
    <n v="22"/>
    <n v="14"/>
    <n v="3"/>
    <n v="1"/>
    <n v="1"/>
    <n v="30"/>
    <n v="369.8"/>
    <n v="0"/>
    <n v="2"/>
    <x v="0"/>
    <n v="5.3339102841482768"/>
  </r>
  <r>
    <s v="ID-2962"/>
    <n v="20"/>
    <x v="0"/>
    <n v="41"/>
    <n v="0"/>
    <n v="3253"/>
    <n v="71"/>
    <n v="23"/>
    <n v="19"/>
    <n v="4"/>
    <n v="1"/>
    <n v="2"/>
    <n v="45"/>
    <n v="140.6"/>
    <n v="0"/>
    <n v="3"/>
    <x v="1"/>
    <n v="4.3221641561635407"/>
  </r>
  <r>
    <s v="ID-2963"/>
    <n v="36"/>
    <x v="0"/>
    <n v="41"/>
    <n v="5"/>
    <n v="16155"/>
    <n v="242"/>
    <n v="69"/>
    <n v="34"/>
    <n v="3"/>
    <n v="2"/>
    <n v="1"/>
    <n v="30"/>
    <n v="931.88"/>
    <n v="0"/>
    <n v="4"/>
    <x v="1"/>
    <n v="5.7683689260290931"/>
  </r>
  <r>
    <s v="ID-2964"/>
    <n v="15"/>
    <x v="0"/>
    <n v="41"/>
    <n v="3"/>
    <n v="4110"/>
    <n v="44"/>
    <n v="498"/>
    <n v="10"/>
    <n v="4"/>
    <n v="1"/>
    <n v="1"/>
    <n v="45"/>
    <n v="1348.85"/>
    <n v="0"/>
    <n v="2"/>
    <x v="0"/>
    <n v="32.818734793187346"/>
  </r>
  <r>
    <s v="ID-2965"/>
    <n v="20"/>
    <x v="0"/>
    <n v="40"/>
    <n v="2"/>
    <n v="16500"/>
    <n v="199"/>
    <n v="165"/>
    <n v="32"/>
    <n v="2"/>
    <n v="1"/>
    <n v="1"/>
    <n v="25"/>
    <n v="1493.9549999999999"/>
    <n v="0"/>
    <n v="4"/>
    <x v="1"/>
    <n v="9.0542727272727284"/>
  </r>
  <r>
    <s v="ID-2966"/>
    <n v="14"/>
    <x v="0"/>
    <n v="40"/>
    <n v="3"/>
    <n v="7515"/>
    <n v="103"/>
    <n v="201"/>
    <n v="28"/>
    <n v="3"/>
    <n v="1"/>
    <n v="1"/>
    <n v="30"/>
    <n v="1108.72"/>
    <n v="0"/>
    <n v="2"/>
    <x v="0"/>
    <n v="14.753426480372589"/>
  </r>
  <r>
    <s v="ID-2967"/>
    <n v="11"/>
    <x v="0"/>
    <n v="40"/>
    <n v="0"/>
    <n v="1890"/>
    <n v="31"/>
    <n v="15"/>
    <n v="13"/>
    <n v="2"/>
    <n v="1"/>
    <n v="2"/>
    <n v="25"/>
    <n v="153.94499999999999"/>
    <n v="0"/>
    <n v="3"/>
    <x v="1"/>
    <n v="8.1452380952380938"/>
  </r>
  <r>
    <s v="ID-2968"/>
    <n v="13"/>
    <x v="0"/>
    <n v="41"/>
    <n v="0"/>
    <n v="1725"/>
    <n v="31"/>
    <n v="28"/>
    <n v="10"/>
    <n v="3"/>
    <n v="1"/>
    <n v="2"/>
    <n v="30"/>
    <n v="182.24"/>
    <n v="0"/>
    <n v="3"/>
    <x v="1"/>
    <n v="10.564637681159422"/>
  </r>
  <r>
    <s v="ID-2969"/>
    <n v="11"/>
    <x v="0"/>
    <n v="40"/>
    <n v="0"/>
    <n v="1015"/>
    <n v="17"/>
    <n v="15"/>
    <n v="2"/>
    <n v="3"/>
    <n v="1"/>
    <n v="2"/>
    <n v="30"/>
    <n v="101.28"/>
    <n v="1"/>
    <n v="3"/>
    <x v="1"/>
    <n v="9.9783251231527093"/>
  </r>
  <r>
    <s v="ID-2970"/>
    <n v="14"/>
    <x v="0"/>
    <n v="40"/>
    <n v="2"/>
    <n v="8523"/>
    <n v="144"/>
    <n v="399"/>
    <n v="45"/>
    <n v="3"/>
    <n v="1"/>
    <n v="1"/>
    <n v="30"/>
    <n v="1942.68"/>
    <n v="0"/>
    <n v="4"/>
    <x v="1"/>
    <n v="22.793382611756424"/>
  </r>
  <r>
    <s v="ID-2971"/>
    <n v="18"/>
    <x v="0"/>
    <n v="40"/>
    <n v="3"/>
    <n v="12480"/>
    <n v="171"/>
    <n v="26"/>
    <n v="49"/>
    <n v="4"/>
    <n v="1"/>
    <n v="1"/>
    <n v="45"/>
    <n v="381.27499999999998"/>
    <n v="0"/>
    <n v="5"/>
    <x v="1"/>
    <n v="3.0550881410256405"/>
  </r>
  <r>
    <s v="ID-2972"/>
    <n v="19"/>
    <x v="0"/>
    <n v="40"/>
    <n v="3"/>
    <n v="7733"/>
    <n v="92"/>
    <n v="123"/>
    <n v="39"/>
    <n v="2"/>
    <n v="1"/>
    <n v="1"/>
    <n v="25"/>
    <n v="905.625"/>
    <n v="0"/>
    <n v="2"/>
    <x v="0"/>
    <n v="11.711172895383422"/>
  </r>
  <r>
    <s v="ID-2973"/>
    <n v="34"/>
    <x v="1"/>
    <n v="36"/>
    <n v="0"/>
    <n v="1970"/>
    <n v="64"/>
    <n v="31"/>
    <n v="19"/>
    <n v="3"/>
    <n v="2"/>
    <n v="2"/>
    <n v="30"/>
    <n v="205.36"/>
    <n v="1"/>
    <n v="5"/>
    <x v="1"/>
    <n v="10.424365482233505"/>
  </r>
  <r>
    <s v="ID-2974"/>
    <n v="32"/>
    <x v="0"/>
    <n v="39"/>
    <n v="10"/>
    <n v="11450"/>
    <n v="110"/>
    <n v="16"/>
    <n v="44"/>
    <n v="5"/>
    <n v="1"/>
    <n v="1"/>
    <n v="55"/>
    <n v="197.4"/>
    <n v="0"/>
    <n v="2"/>
    <x v="0"/>
    <n v="1.7240174672489081"/>
  </r>
  <r>
    <s v="ID-2975"/>
    <n v="24"/>
    <x v="0"/>
    <n v="39"/>
    <n v="3"/>
    <n v="6833"/>
    <n v="115"/>
    <n v="41"/>
    <n v="26"/>
    <n v="3"/>
    <n v="1"/>
    <n v="1"/>
    <n v="30"/>
    <n v="441.92"/>
    <n v="0"/>
    <n v="2"/>
    <x v="0"/>
    <n v="6.4674374359724869"/>
  </r>
  <r>
    <s v="ID-2976"/>
    <n v="12"/>
    <x v="0"/>
    <n v="37"/>
    <n v="2"/>
    <n v="3855"/>
    <n v="39"/>
    <n v="15"/>
    <n v="16"/>
    <n v="3"/>
    <n v="1"/>
    <n v="1"/>
    <n v="30"/>
    <n v="215.76"/>
    <n v="0"/>
    <n v="2"/>
    <x v="0"/>
    <n v="5.5968871595330736"/>
  </r>
  <r>
    <s v="ID-2977"/>
    <n v="20"/>
    <x v="1"/>
    <n v="38"/>
    <n v="0"/>
    <n v="4005"/>
    <n v="58"/>
    <n v="24"/>
    <n v="18"/>
    <n v="3"/>
    <n v="1"/>
    <n v="2"/>
    <n v="30"/>
    <n v="258.52"/>
    <n v="1"/>
    <n v="5"/>
    <x v="1"/>
    <n v="6.4549313358302118"/>
  </r>
  <r>
    <s v="ID-2978"/>
    <n v="20"/>
    <x v="1"/>
    <n v="39"/>
    <n v="0"/>
    <n v="3283"/>
    <n v="61"/>
    <n v="49"/>
    <n v="33"/>
    <n v="4"/>
    <n v="1"/>
    <n v="2"/>
    <n v="45"/>
    <n v="206.1"/>
    <n v="1"/>
    <n v="5"/>
    <x v="1"/>
    <n v="6.2777946999695393"/>
  </r>
  <r>
    <s v="ID-2979"/>
    <n v="11"/>
    <x v="0"/>
    <n v="39"/>
    <n v="0"/>
    <n v="1148"/>
    <n v="19"/>
    <n v="15"/>
    <n v="4"/>
    <n v="3"/>
    <n v="1"/>
    <n v="2"/>
    <n v="30"/>
    <n v="106.68"/>
    <n v="1"/>
    <n v="3"/>
    <x v="1"/>
    <n v="9.2926829268292686"/>
  </r>
  <r>
    <s v="ID-2980"/>
    <n v="12"/>
    <x v="0"/>
    <n v="39"/>
    <n v="2"/>
    <n v="2683"/>
    <n v="42"/>
    <n v="15"/>
    <n v="8"/>
    <n v="4"/>
    <n v="1"/>
    <n v="1"/>
    <n v="45"/>
    <n v="105.625"/>
    <n v="0"/>
    <n v="2"/>
    <x v="0"/>
    <n v="3.9368244502422662"/>
  </r>
  <r>
    <s v="ID-2981"/>
    <n v="14"/>
    <x v="0"/>
    <n v="36"/>
    <n v="3"/>
    <n v="7800"/>
    <n v="114"/>
    <n v="29"/>
    <n v="24"/>
    <n v="5"/>
    <n v="1"/>
    <n v="1"/>
    <n v="55"/>
    <n v="162.21"/>
    <n v="0"/>
    <n v="2"/>
    <x v="0"/>
    <n v="2.0796153846153844"/>
  </r>
  <r>
    <s v="ID-2982"/>
    <n v="11"/>
    <x v="0"/>
    <n v="39"/>
    <n v="0"/>
    <n v="1643"/>
    <n v="24"/>
    <n v="24"/>
    <n v="6"/>
    <n v="4"/>
    <n v="1"/>
    <n v="2"/>
    <n v="45"/>
    <n v="101.675"/>
    <n v="1"/>
    <n v="3"/>
    <x v="1"/>
    <n v="6.1883749239196586"/>
  </r>
  <r>
    <s v="ID-2983"/>
    <n v="11"/>
    <x v="0"/>
    <n v="39"/>
    <n v="3"/>
    <n v="1353"/>
    <n v="21"/>
    <n v="19"/>
    <n v="4"/>
    <n v="5"/>
    <n v="1"/>
    <n v="1"/>
    <n v="55"/>
    <n v="49.11"/>
    <n v="0"/>
    <n v="2"/>
    <x v="0"/>
    <n v="3.6297117516629709"/>
  </r>
  <r>
    <s v="ID-2984"/>
    <n v="36"/>
    <x v="0"/>
    <n v="34"/>
    <n v="5"/>
    <n v="17090"/>
    <n v="255"/>
    <n v="15"/>
    <n v="82"/>
    <n v="2"/>
    <n v="2"/>
    <n v="1"/>
    <n v="25"/>
    <n v="848.02499999999998"/>
    <n v="0"/>
    <n v="5"/>
    <x v="1"/>
    <n v="4.9621123464014039"/>
  </r>
  <r>
    <s v="ID-2985"/>
    <n v="17"/>
    <x v="0"/>
    <n v="37"/>
    <n v="5"/>
    <n v="7980"/>
    <n v="133"/>
    <n v="286"/>
    <n v="35"/>
    <n v="3"/>
    <n v="2"/>
    <n v="1"/>
    <n v="30"/>
    <n v="1468.52"/>
    <n v="0"/>
    <n v="2"/>
    <x v="0"/>
    <n v="18.402506265664158"/>
  </r>
  <r>
    <s v="ID-2986"/>
    <n v="13"/>
    <x v="0"/>
    <n v="39"/>
    <n v="2"/>
    <n v="4733"/>
    <n v="99"/>
    <n v="17"/>
    <n v="30"/>
    <n v="3"/>
    <n v="1"/>
    <n v="1"/>
    <n v="30"/>
    <n v="261.27999999999997"/>
    <n v="0"/>
    <n v="2"/>
    <x v="0"/>
    <n v="5.5203887597718149"/>
  </r>
  <r>
    <s v="ID-2987"/>
    <n v="14"/>
    <x v="0"/>
    <n v="38"/>
    <n v="0"/>
    <n v="2680"/>
    <n v="61"/>
    <n v="53"/>
    <n v="22"/>
    <n v="4"/>
    <n v="1"/>
    <n v="2"/>
    <n v="45"/>
    <n v="201.02500000000001"/>
    <n v="0"/>
    <n v="3"/>
    <x v="1"/>
    <n v="7.5009328358208966"/>
  </r>
  <r>
    <s v="ID-2988"/>
    <n v="17"/>
    <x v="0"/>
    <n v="39"/>
    <n v="2"/>
    <n v="3795"/>
    <n v="70"/>
    <n v="190"/>
    <n v="25"/>
    <n v="2"/>
    <n v="1"/>
    <n v="1"/>
    <n v="25"/>
    <n v="1028.925"/>
    <n v="0"/>
    <n v="2"/>
    <x v="0"/>
    <n v="27.112648221343871"/>
  </r>
  <r>
    <s v="ID-2989"/>
    <n v="15"/>
    <x v="0"/>
    <n v="30"/>
    <n v="3"/>
    <n v="2330"/>
    <n v="53"/>
    <n v="208"/>
    <n v="13"/>
    <n v="3"/>
    <n v="2"/>
    <n v="1"/>
    <n v="30"/>
    <n v="927.32"/>
    <n v="0"/>
    <n v="2"/>
    <x v="0"/>
    <n v="39.799141630901289"/>
  </r>
  <r>
    <s v="ID-2990"/>
    <n v="15"/>
    <x v="0"/>
    <n v="29"/>
    <n v="2"/>
    <n v="2583"/>
    <n v="56"/>
    <n v="45"/>
    <n v="70"/>
    <n v="5"/>
    <n v="1"/>
    <n v="1"/>
    <n v="55"/>
    <n v="107.08499999999999"/>
    <n v="0"/>
    <n v="3"/>
    <x v="1"/>
    <n v="4.1457607433217181"/>
  </r>
  <r>
    <s v="ID-2991"/>
    <n v="22"/>
    <x v="1"/>
    <n v="30"/>
    <n v="0"/>
    <n v="1715"/>
    <n v="42"/>
    <n v="25"/>
    <n v="9"/>
    <n v="3"/>
    <n v="1"/>
    <n v="2"/>
    <n v="30"/>
    <n v="170.28"/>
    <n v="1"/>
    <n v="5"/>
    <x v="1"/>
    <n v="9.928862973760932"/>
  </r>
  <r>
    <s v="ID-2992"/>
    <n v="11"/>
    <x v="0"/>
    <n v="29"/>
    <n v="0"/>
    <n v="1840"/>
    <n v="27"/>
    <n v="36"/>
    <n v="5"/>
    <n v="4"/>
    <n v="1"/>
    <n v="2"/>
    <n v="45"/>
    <n v="136.67500000000001"/>
    <n v="0"/>
    <n v="3"/>
    <x v="1"/>
    <n v="7.4279891304347823"/>
  </r>
  <r>
    <s v="ID-2993"/>
    <n v="21"/>
    <x v="0"/>
    <n v="28"/>
    <n v="2"/>
    <n v="2240"/>
    <n v="49"/>
    <n v="34"/>
    <n v="15"/>
    <n v="2"/>
    <n v="1"/>
    <n v="1"/>
    <n v="25"/>
    <n v="256.005"/>
    <n v="0"/>
    <n v="2"/>
    <x v="0"/>
    <n v="11.428794642857143"/>
  </r>
  <r>
    <s v="ID-2994"/>
    <n v="13"/>
    <x v="0"/>
    <n v="28"/>
    <n v="2"/>
    <n v="4240"/>
    <n v="78"/>
    <n v="23"/>
    <n v="25"/>
    <n v="3"/>
    <n v="1"/>
    <n v="1"/>
    <n v="30"/>
    <n v="264.72000000000003"/>
    <n v="0"/>
    <n v="2"/>
    <x v="0"/>
    <n v="6.2433962264150944"/>
  </r>
  <r>
    <s v="ID-2995"/>
    <n v="13"/>
    <x v="0"/>
    <n v="21"/>
    <n v="2"/>
    <n v="2710"/>
    <n v="43"/>
    <n v="43"/>
    <n v="16"/>
    <n v="3"/>
    <n v="1"/>
    <n v="1"/>
    <n v="30"/>
    <n v="282.12"/>
    <n v="0"/>
    <n v="2"/>
    <x v="0"/>
    <n v="10.410332103321034"/>
  </r>
  <r>
    <s v="ID-2996"/>
    <n v="27"/>
    <x v="0"/>
    <n v="20"/>
    <n v="3"/>
    <n v="7407"/>
    <n v="158"/>
    <n v="100"/>
    <n v="44"/>
    <n v="2"/>
    <n v="2"/>
    <n v="1"/>
    <n v="25"/>
    <n v="790.42499999999995"/>
    <n v="0"/>
    <n v="4"/>
    <x v="1"/>
    <n v="10.671324422843256"/>
  </r>
  <r>
    <s v="ID-2997"/>
    <n v="23"/>
    <x v="0"/>
    <n v="18"/>
    <n v="2"/>
    <n v="9947"/>
    <n v="188"/>
    <n v="88"/>
    <n v="42"/>
    <n v="5"/>
    <n v="1"/>
    <n v="1"/>
    <n v="55"/>
    <n v="284.02499999999998"/>
    <n v="0"/>
    <n v="4"/>
    <x v="1"/>
    <n v="2.855383532723434"/>
  </r>
  <r>
    <s v="ID-2998"/>
    <n v="19"/>
    <x v="0"/>
    <n v="19"/>
    <n v="5"/>
    <n v="3867"/>
    <n v="62"/>
    <n v="46"/>
    <n v="21"/>
    <n v="3"/>
    <n v="1"/>
    <n v="1"/>
    <n v="30"/>
    <n v="341.16"/>
    <n v="0"/>
    <n v="2"/>
    <x v="0"/>
    <n v="8.8223429014740127"/>
  </r>
  <r>
    <s v="ID-2999"/>
    <n v="13"/>
    <x v="0"/>
    <n v="12"/>
    <n v="3"/>
    <n v="5405"/>
    <n v="57"/>
    <n v="230"/>
    <n v="12"/>
    <n v="3"/>
    <n v="1"/>
    <n v="1"/>
    <n v="30"/>
    <n v="1138.48"/>
    <n v="0"/>
    <n v="2"/>
    <x v="0"/>
    <n v="21.063459759481962"/>
  </r>
  <r>
    <s v="ID-3000"/>
    <n v="14"/>
    <x v="1"/>
    <n v="12"/>
    <n v="3"/>
    <n v="2502"/>
    <n v="36"/>
    <n v="15"/>
    <n v="9"/>
    <n v="3"/>
    <n v="1"/>
    <n v="1"/>
    <n v="30"/>
    <n v="161.52000000000001"/>
    <n v="1"/>
    <n v="4"/>
    <x v="1"/>
    <n v="6.4556354916067153"/>
  </r>
  <r>
    <s v="ID-3001"/>
    <n v="7"/>
    <x v="0"/>
    <n v="39"/>
    <n v="0"/>
    <n v="3965"/>
    <n v="66"/>
    <n v="0"/>
    <n v="19"/>
    <n v="3"/>
    <n v="1"/>
    <n v="1"/>
    <n v="30"/>
    <n v="161.24"/>
    <n v="0"/>
    <n v="1"/>
    <x v="0"/>
    <n v="4.0665825977301386"/>
  </r>
  <r>
    <s v="ID-3002"/>
    <n v="0"/>
    <x v="0"/>
    <n v="40"/>
    <n v="0"/>
    <n v="0"/>
    <n v="0"/>
    <n v="0"/>
    <n v="0"/>
    <n v="3"/>
    <n v="1"/>
    <n v="2"/>
    <n v="30"/>
    <n v="0"/>
    <n v="0"/>
    <n v="1"/>
    <x v="0"/>
    <n v="0"/>
  </r>
  <r>
    <s v="ID-3003"/>
    <n v="9"/>
    <x v="0"/>
    <n v="38"/>
    <n v="0"/>
    <n v="2048"/>
    <n v="55"/>
    <n v="341"/>
    <n v="26"/>
    <n v="3"/>
    <n v="1"/>
    <n v="1"/>
    <n v="30"/>
    <n v="1448.12"/>
    <n v="0"/>
    <n v="1"/>
    <x v="0"/>
    <n v="70.708984375"/>
  </r>
  <r>
    <s v="ID-3004"/>
    <n v="9"/>
    <x v="0"/>
    <n v="39"/>
    <n v="0"/>
    <n v="3793"/>
    <n v="61"/>
    <n v="0"/>
    <n v="37"/>
    <n v="1"/>
    <n v="1"/>
    <n v="1"/>
    <n v="15"/>
    <n v="211.97"/>
    <n v="0"/>
    <n v="1"/>
    <x v="0"/>
    <n v="5.5884524123385182"/>
  </r>
  <r>
    <s v="ID-3005"/>
    <n v="2"/>
    <x v="0"/>
    <n v="39"/>
    <n v="0"/>
    <n v="1988"/>
    <n v="53"/>
    <n v="0"/>
    <n v="35"/>
    <n v="2"/>
    <n v="1"/>
    <n v="1"/>
    <n v="25"/>
    <n v="91.844999999999999"/>
    <n v="0"/>
    <n v="1"/>
    <x v="0"/>
    <n v="4.6199698189134812"/>
  </r>
  <r>
    <s v="ID-3006"/>
    <n v="10"/>
    <x v="0"/>
    <n v="39"/>
    <n v="1"/>
    <n v="3370"/>
    <n v="77"/>
    <n v="14"/>
    <n v="30"/>
    <n v="3"/>
    <n v="1"/>
    <n v="1"/>
    <n v="30"/>
    <n v="193.88"/>
    <n v="0"/>
    <n v="0"/>
    <x v="0"/>
    <n v="5.7531157270029674"/>
  </r>
  <r>
    <s v="ID-3007"/>
    <n v="3"/>
    <x v="0"/>
    <n v="39"/>
    <n v="0"/>
    <n v="1955"/>
    <n v="34"/>
    <n v="267"/>
    <n v="20"/>
    <n v="3"/>
    <n v="1"/>
    <n v="1"/>
    <n v="30"/>
    <n v="1147.56"/>
    <n v="0"/>
    <n v="1"/>
    <x v="0"/>
    <n v="58.698721227621476"/>
  </r>
  <r>
    <s v="ID-3008"/>
    <n v="12"/>
    <x v="0"/>
    <n v="38"/>
    <n v="2"/>
    <n v="8710"/>
    <n v="116"/>
    <n v="126"/>
    <n v="45"/>
    <n v="3"/>
    <n v="1"/>
    <n v="1"/>
    <n v="30"/>
    <n v="857.04"/>
    <n v="0"/>
    <n v="2"/>
    <x v="0"/>
    <n v="9.8397244546498275"/>
  </r>
  <r>
    <s v="ID-3009"/>
    <n v="6"/>
    <x v="0"/>
    <n v="39"/>
    <n v="0"/>
    <n v="13368"/>
    <n v="164"/>
    <n v="0"/>
    <n v="46"/>
    <n v="3"/>
    <n v="1"/>
    <n v="1"/>
    <n v="30"/>
    <n v="541.28"/>
    <n v="0"/>
    <n v="3"/>
    <x v="1"/>
    <n v="4.0490724117295036"/>
  </r>
  <r>
    <s v="ID-3010"/>
    <n v="6"/>
    <x v="0"/>
    <n v="39"/>
    <n v="1"/>
    <n v="4110"/>
    <n v="78"/>
    <n v="0"/>
    <n v="27"/>
    <n v="3"/>
    <n v="1"/>
    <n v="1"/>
    <n v="30"/>
    <n v="167.52"/>
    <n v="0"/>
    <n v="0"/>
    <x v="0"/>
    <n v="4.0759124087591241"/>
  </r>
  <r>
    <s v="ID-3011"/>
    <n v="5"/>
    <x v="0"/>
    <n v="39"/>
    <n v="0"/>
    <n v="5513"/>
    <n v="90"/>
    <n v="0"/>
    <n v="14"/>
    <n v="3"/>
    <n v="1"/>
    <n v="1"/>
    <n v="30"/>
    <n v="224.12"/>
    <n v="0"/>
    <n v="1"/>
    <x v="0"/>
    <n v="4.0653001995283873"/>
  </r>
  <r>
    <s v="ID-3012"/>
    <n v="8"/>
    <x v="0"/>
    <n v="39"/>
    <n v="0"/>
    <n v="1833"/>
    <n v="49"/>
    <n v="0"/>
    <n v="19"/>
    <n v="3"/>
    <n v="1"/>
    <n v="2"/>
    <n v="30"/>
    <n v="75.28"/>
    <n v="0"/>
    <n v="1"/>
    <x v="0"/>
    <n v="4.1069285324604472"/>
  </r>
  <r>
    <s v="ID-3013"/>
    <n v="24"/>
    <x v="0"/>
    <n v="39"/>
    <n v="3"/>
    <n v="14735"/>
    <n v="220"/>
    <n v="36"/>
    <n v="34"/>
    <n v="3"/>
    <n v="1"/>
    <n v="1"/>
    <n v="30"/>
    <n v="742.2"/>
    <n v="0"/>
    <n v="4"/>
    <x v="1"/>
    <n v="5.0369867662029186"/>
  </r>
  <r>
    <s v="ID-3014"/>
    <n v="3"/>
    <x v="0"/>
    <n v="39"/>
    <n v="1"/>
    <n v="2690"/>
    <n v="22"/>
    <n v="465"/>
    <n v="10"/>
    <n v="3"/>
    <n v="1"/>
    <n v="1"/>
    <n v="30"/>
    <n v="1968.48"/>
    <n v="0"/>
    <n v="0"/>
    <x v="0"/>
    <n v="73.177695167286245"/>
  </r>
  <r>
    <s v="ID-3015"/>
    <n v="8"/>
    <x v="0"/>
    <n v="38"/>
    <n v="0"/>
    <n v="15080"/>
    <n v="177"/>
    <n v="132"/>
    <n v="32"/>
    <n v="2"/>
    <n v="1"/>
    <n v="1"/>
    <n v="25"/>
    <n v="1280.5650000000001"/>
    <n v="0"/>
    <n v="3"/>
    <x v="1"/>
    <n v="8.4918103448275861"/>
  </r>
  <r>
    <s v="ID-3016"/>
    <n v="2"/>
    <x v="0"/>
    <n v="38"/>
    <n v="1"/>
    <n v="6095"/>
    <n v="81"/>
    <n v="168"/>
    <n v="28"/>
    <n v="3"/>
    <n v="1"/>
    <n v="1"/>
    <n v="30"/>
    <n v="919.04"/>
    <n v="0"/>
    <n v="0"/>
    <x v="0"/>
    <n v="15.078589007383099"/>
  </r>
  <r>
    <s v="ID-3017"/>
    <n v="0"/>
    <x v="0"/>
    <n v="38"/>
    <n v="0"/>
    <n v="470"/>
    <n v="9"/>
    <n v="0"/>
    <n v="13"/>
    <n v="2"/>
    <n v="1"/>
    <n v="2"/>
    <n v="25"/>
    <n v="21.555"/>
    <n v="0"/>
    <n v="1"/>
    <x v="0"/>
    <n v="4.5861702127659578"/>
  </r>
  <r>
    <s v="ID-3018"/>
    <n v="1"/>
    <x v="0"/>
    <n v="39"/>
    <n v="0"/>
    <n v="305"/>
    <n v="9"/>
    <n v="0"/>
    <n v="10"/>
    <n v="3"/>
    <n v="1"/>
    <n v="2"/>
    <n v="30"/>
    <n v="12.56"/>
    <n v="0"/>
    <n v="1"/>
    <x v="0"/>
    <n v="4.1180327868852462"/>
  </r>
  <r>
    <s v="ID-3019"/>
    <n v="0"/>
    <x v="0"/>
    <n v="38"/>
    <n v="0"/>
    <n v="0"/>
    <n v="0"/>
    <n v="0"/>
    <n v="0"/>
    <n v="2"/>
    <n v="1"/>
    <n v="2"/>
    <n v="25"/>
    <n v="0"/>
    <n v="1"/>
    <n v="1"/>
    <x v="0"/>
    <n v="0"/>
  </r>
  <r>
    <s v="ID-3020"/>
    <n v="2"/>
    <x v="0"/>
    <n v="38"/>
    <n v="0"/>
    <n v="7103"/>
    <n v="122"/>
    <n v="366"/>
    <n v="45"/>
    <n v="3"/>
    <n v="1"/>
    <n v="1"/>
    <n v="30"/>
    <n v="1753"/>
    <n v="0"/>
    <n v="1"/>
    <x v="0"/>
    <n v="24.679712797409543"/>
  </r>
  <r>
    <s v="ID-3021"/>
    <n v="6"/>
    <x v="0"/>
    <n v="38"/>
    <n v="1"/>
    <n v="11060"/>
    <n v="149"/>
    <n v="0"/>
    <n v="49"/>
    <n v="4"/>
    <n v="1"/>
    <n v="1"/>
    <n v="45"/>
    <n v="280.22500000000002"/>
    <n v="0"/>
    <n v="3"/>
    <x v="1"/>
    <n v="2.5336799276672695"/>
  </r>
  <r>
    <s v="ID-3022"/>
    <n v="7"/>
    <x v="0"/>
    <n v="38"/>
    <n v="1"/>
    <n v="6313"/>
    <n v="70"/>
    <n v="90"/>
    <n v="39"/>
    <n v="2"/>
    <n v="1"/>
    <n v="1"/>
    <n v="25"/>
    <n v="692.23500000000001"/>
    <n v="0"/>
    <n v="0"/>
    <x v="0"/>
    <n v="10.965230476793918"/>
  </r>
  <r>
    <s v="ID-3023"/>
    <n v="22"/>
    <x v="0"/>
    <n v="34"/>
    <n v="0"/>
    <n v="550"/>
    <n v="42"/>
    <n v="0"/>
    <n v="19"/>
    <n v="3"/>
    <n v="1"/>
    <n v="2"/>
    <n v="30"/>
    <n v="23.68"/>
    <n v="1"/>
    <n v="3"/>
    <x v="1"/>
    <n v="4.3054545454545456"/>
  </r>
  <r>
    <s v="ID-3024"/>
    <n v="20"/>
    <x v="0"/>
    <n v="37"/>
    <n v="8"/>
    <n v="10030"/>
    <n v="88"/>
    <n v="0"/>
    <n v="44"/>
    <n v="5"/>
    <n v="1"/>
    <n v="1"/>
    <n v="55"/>
    <n v="151.77000000000001"/>
    <n v="0"/>
    <n v="2"/>
    <x v="0"/>
    <n v="1.5131605184446661"/>
  </r>
  <r>
    <s v="ID-3025"/>
    <n v="12"/>
    <x v="0"/>
    <n v="37"/>
    <n v="1"/>
    <n v="5413"/>
    <n v="93"/>
    <n v="8"/>
    <n v="26"/>
    <n v="2"/>
    <n v="1"/>
    <n v="1"/>
    <n v="25"/>
    <n v="283.77"/>
    <n v="1"/>
    <n v="2"/>
    <x v="0"/>
    <n v="5.242379456863107"/>
  </r>
  <r>
    <s v="ID-3026"/>
    <n v="0"/>
    <x v="0"/>
    <n v="35"/>
    <n v="0"/>
    <n v="2435"/>
    <n v="17"/>
    <n v="0"/>
    <n v="16"/>
    <n v="3"/>
    <n v="1"/>
    <n v="1"/>
    <n v="30"/>
    <n v="98.08"/>
    <n v="0"/>
    <n v="1"/>
    <x v="0"/>
    <n v="4.0279260780287469"/>
  </r>
  <r>
    <s v="ID-3027"/>
    <n v="8"/>
    <x v="1"/>
    <n v="36"/>
    <n v="0"/>
    <n v="2585"/>
    <n v="36"/>
    <n v="0"/>
    <n v="18"/>
    <n v="3"/>
    <n v="1"/>
    <n v="2"/>
    <n v="30"/>
    <n v="104.84"/>
    <n v="1"/>
    <n v="3"/>
    <x v="1"/>
    <n v="4.055705996131528"/>
  </r>
  <r>
    <s v="ID-3028"/>
    <n v="8"/>
    <x v="0"/>
    <n v="37"/>
    <n v="0"/>
    <n v="1863"/>
    <n v="39"/>
    <n v="16"/>
    <n v="33"/>
    <n v="3"/>
    <n v="1"/>
    <n v="2"/>
    <n v="30"/>
    <n v="140.08000000000001"/>
    <n v="1"/>
    <n v="1"/>
    <x v="0"/>
    <n v="7.5190552871712297"/>
  </r>
  <r>
    <s v="ID-3029"/>
    <n v="0"/>
    <x v="0"/>
    <n v="37"/>
    <n v="0"/>
    <n v="0"/>
    <n v="0"/>
    <n v="0"/>
    <n v="0"/>
    <n v="3"/>
    <n v="1"/>
    <n v="2"/>
    <n v="30"/>
    <n v="0"/>
    <n v="1"/>
    <n v="1"/>
    <x v="0"/>
    <n v="0"/>
  </r>
  <r>
    <s v="ID-3030"/>
    <n v="0"/>
    <x v="0"/>
    <n v="37"/>
    <n v="0"/>
    <n v="1263"/>
    <n v="20"/>
    <n v="0"/>
    <n v="8"/>
    <n v="4"/>
    <n v="1"/>
    <n v="1"/>
    <n v="45"/>
    <n v="32.075000000000003"/>
    <n v="0"/>
    <n v="1"/>
    <x v="0"/>
    <n v="2.5395882818685673"/>
  </r>
  <r>
    <s v="ID-3031"/>
    <n v="2"/>
    <x v="0"/>
    <n v="34"/>
    <n v="1"/>
    <n v="6380"/>
    <n v="92"/>
    <n v="0"/>
    <n v="24"/>
    <n v="5"/>
    <n v="1"/>
    <n v="1"/>
    <n v="55"/>
    <n v="97.08"/>
    <n v="0"/>
    <n v="0"/>
    <x v="0"/>
    <n v="1.5216300940438872"/>
  </r>
  <r>
    <s v="ID-3032"/>
    <n v="0"/>
    <x v="0"/>
    <n v="37"/>
    <n v="0"/>
    <n v="223"/>
    <n v="2"/>
    <n v="0"/>
    <n v="6"/>
    <n v="4"/>
    <n v="1"/>
    <n v="2"/>
    <n v="45"/>
    <n v="5.625"/>
    <n v="1"/>
    <n v="1"/>
    <x v="0"/>
    <n v="2.522421524663677"/>
  </r>
  <r>
    <s v="ID-3033"/>
    <n v="0"/>
    <x v="0"/>
    <n v="37"/>
    <n v="1"/>
    <n v="0"/>
    <n v="0"/>
    <n v="0"/>
    <n v="0"/>
    <n v="5"/>
    <n v="1"/>
    <n v="1"/>
    <n v="55"/>
    <n v="0"/>
    <n v="0"/>
    <n v="0"/>
    <x v="0"/>
    <n v="0"/>
  </r>
  <r>
    <s v="ID-3034"/>
    <n v="24"/>
    <x v="1"/>
    <n v="32"/>
    <n v="3"/>
    <n v="15670"/>
    <n v="233"/>
    <n v="0"/>
    <n v="82"/>
    <n v="2"/>
    <n v="1"/>
    <n v="1"/>
    <n v="25"/>
    <n v="715.63499999999999"/>
    <n v="0"/>
    <n v="7"/>
    <x v="2"/>
    <n v="4.5669112954690494"/>
  </r>
  <r>
    <s v="ID-3035"/>
    <n v="5"/>
    <x v="0"/>
    <n v="35"/>
    <n v="3"/>
    <n v="6560"/>
    <n v="111"/>
    <n v="253"/>
    <n v="35"/>
    <n v="2"/>
    <n v="2"/>
    <n v="1"/>
    <n v="25"/>
    <n v="1438.6949999999999"/>
    <n v="0"/>
    <n v="0"/>
    <x v="0"/>
    <n v="21.931326219512197"/>
  </r>
  <r>
    <s v="ID-3036"/>
    <n v="1"/>
    <x v="0"/>
    <n v="37"/>
    <n v="0"/>
    <n v="3313"/>
    <n v="77"/>
    <n v="0"/>
    <n v="30"/>
    <n v="3"/>
    <n v="1"/>
    <n v="1"/>
    <n v="30"/>
    <n v="135.6"/>
    <n v="0"/>
    <n v="1"/>
    <x v="0"/>
    <n v="4.0929670993057652"/>
  </r>
  <r>
    <s v="ID-3037"/>
    <n v="2"/>
    <x v="0"/>
    <n v="36"/>
    <n v="0"/>
    <n v="1260"/>
    <n v="39"/>
    <n v="20"/>
    <n v="22"/>
    <n v="3"/>
    <n v="1"/>
    <n v="2"/>
    <n v="30"/>
    <n v="131.96"/>
    <n v="0"/>
    <n v="1"/>
    <x v="0"/>
    <n v="10.473015873015875"/>
  </r>
  <r>
    <s v="ID-3038"/>
    <n v="5"/>
    <x v="0"/>
    <n v="37"/>
    <n v="0"/>
    <n v="2375"/>
    <n v="48"/>
    <n v="157"/>
    <n v="25"/>
    <n v="2"/>
    <n v="1"/>
    <n v="1"/>
    <n v="25"/>
    <n v="815.53499999999997"/>
    <n v="0"/>
    <n v="1"/>
    <x v="0"/>
    <n v="34.338315789473683"/>
  </r>
  <r>
    <s v="ID-3039"/>
    <n v="3"/>
    <x v="0"/>
    <n v="28"/>
    <n v="1"/>
    <n v="910"/>
    <n v="31"/>
    <n v="175"/>
    <n v="13"/>
    <n v="2"/>
    <n v="2"/>
    <n v="1"/>
    <n v="25"/>
    <n v="829.84500000000003"/>
    <n v="0"/>
    <n v="0"/>
    <x v="0"/>
    <n v="91.191758241758251"/>
  </r>
  <r>
    <s v="ID-3040"/>
    <n v="3"/>
    <x v="0"/>
    <n v="27"/>
    <n v="0"/>
    <n v="1163"/>
    <n v="34"/>
    <n v="12"/>
    <n v="70"/>
    <n v="4"/>
    <n v="1"/>
    <n v="1"/>
    <n v="45"/>
    <n v="59.924999999999997"/>
    <n v="0"/>
    <n v="2"/>
    <x v="0"/>
    <n v="5.1526225279449696"/>
  </r>
  <r>
    <s v="ID-3041"/>
    <n v="10"/>
    <x v="0"/>
    <n v="28"/>
    <n v="0"/>
    <n v="295"/>
    <n v="20"/>
    <n v="0"/>
    <n v="9"/>
    <n v="3"/>
    <n v="1"/>
    <n v="2"/>
    <n v="30"/>
    <n v="12.6"/>
    <n v="0"/>
    <n v="1"/>
    <x v="0"/>
    <n v="4.2711864406779663"/>
  </r>
  <r>
    <s v="ID-3042"/>
    <n v="0"/>
    <x v="0"/>
    <n v="27"/>
    <n v="0"/>
    <n v="420"/>
    <n v="5"/>
    <n v="3"/>
    <n v="5"/>
    <n v="4"/>
    <n v="1"/>
    <n v="2"/>
    <n v="45"/>
    <n v="18.125"/>
    <n v="0"/>
    <n v="1"/>
    <x v="0"/>
    <n v="4.3154761904761907"/>
  </r>
  <r>
    <s v="ID-3043"/>
    <n v="9"/>
    <x v="0"/>
    <n v="26"/>
    <n v="0"/>
    <n v="820"/>
    <n v="27"/>
    <n v="1"/>
    <n v="15"/>
    <n v="2"/>
    <n v="1"/>
    <n v="1"/>
    <n v="25"/>
    <n v="42.615000000000002"/>
    <n v="0"/>
    <n v="1"/>
    <x v="0"/>
    <n v="5.1969512195121954"/>
  </r>
  <r>
    <s v="ID-3044"/>
    <n v="1"/>
    <x v="0"/>
    <n v="26"/>
    <n v="0"/>
    <n v="2820"/>
    <n v="56"/>
    <n v="0"/>
    <n v="25"/>
    <n v="3"/>
    <n v="1"/>
    <n v="1"/>
    <n v="30"/>
    <n v="115.04"/>
    <n v="0"/>
    <n v="1"/>
    <x v="0"/>
    <n v="4.0794326241134753"/>
  </r>
  <r>
    <s v="ID-3045"/>
    <n v="1"/>
    <x v="0"/>
    <n v="19"/>
    <n v="0"/>
    <n v="1290"/>
    <n v="21"/>
    <n v="10"/>
    <n v="16"/>
    <n v="2"/>
    <n v="1"/>
    <n v="1"/>
    <n v="25"/>
    <n v="103.995"/>
    <n v="0"/>
    <n v="1"/>
    <x v="0"/>
    <n v="8.061627906976744"/>
  </r>
  <r>
    <s v="ID-3046"/>
    <n v="15"/>
    <x v="0"/>
    <n v="18"/>
    <n v="1"/>
    <n v="5987"/>
    <n v="136"/>
    <n v="67"/>
    <n v="44"/>
    <n v="2"/>
    <n v="2"/>
    <n v="1"/>
    <n v="25"/>
    <n v="577.03499999999997"/>
    <n v="0"/>
    <n v="2"/>
    <x v="0"/>
    <n v="9.6381326206781353"/>
  </r>
  <r>
    <s v="ID-3047"/>
    <n v="11"/>
    <x v="0"/>
    <n v="16"/>
    <n v="0"/>
    <n v="8527"/>
    <n v="166"/>
    <n v="55"/>
    <n v="42"/>
    <n v="5"/>
    <n v="1"/>
    <n v="1"/>
    <n v="55"/>
    <n v="212.89500000000001"/>
    <n v="0"/>
    <n v="5"/>
    <x v="1"/>
    <n v="2.4967163128884717"/>
  </r>
  <r>
    <s v="ID-3048"/>
    <n v="7"/>
    <x v="0"/>
    <n v="17"/>
    <n v="3"/>
    <n v="2447"/>
    <n v="40"/>
    <n v="13"/>
    <n v="21"/>
    <n v="3"/>
    <n v="1"/>
    <n v="1"/>
    <n v="30"/>
    <n v="151.47999999999999"/>
    <n v="0"/>
    <n v="0"/>
    <x v="0"/>
    <n v="6.1904372701266857"/>
  </r>
  <r>
    <s v="ID-3049"/>
    <n v="1"/>
    <x v="0"/>
    <n v="10"/>
    <n v="1"/>
    <n v="3985"/>
    <n v="35"/>
    <n v="197"/>
    <n v="12"/>
    <n v="3"/>
    <n v="1"/>
    <n v="1"/>
    <n v="30"/>
    <n v="948.8"/>
    <n v="0"/>
    <n v="0"/>
    <x v="0"/>
    <n v="23.809284818067752"/>
  </r>
  <r>
    <s v="ID-3050"/>
    <n v="2"/>
    <x v="1"/>
    <n v="10"/>
    <n v="1"/>
    <n v="1082"/>
    <n v="14"/>
    <n v="0"/>
    <n v="9"/>
    <n v="3"/>
    <n v="1"/>
    <n v="1"/>
    <n v="30"/>
    <n v="43.84"/>
    <n v="1"/>
    <n v="2"/>
    <x v="0"/>
    <n v="4.051756007393716"/>
  </r>
  <r>
    <s v="ID-3051"/>
    <n v="13"/>
    <x v="0"/>
    <n v="40"/>
    <n v="1"/>
    <n v="4675"/>
    <n v="77"/>
    <n v="12"/>
    <n v="19"/>
    <n v="3"/>
    <n v="1"/>
    <n v="1"/>
    <n v="30"/>
    <n v="238.08"/>
    <n v="0"/>
    <n v="2"/>
    <x v="0"/>
    <n v="5.0926203208556151"/>
  </r>
  <r>
    <s v="ID-3052"/>
    <n v="5"/>
    <x v="0"/>
    <n v="41"/>
    <n v="0"/>
    <n v="623"/>
    <n v="11"/>
    <n v="14"/>
    <n v="6"/>
    <n v="3"/>
    <n v="1"/>
    <n v="2"/>
    <n v="30"/>
    <n v="81.36"/>
    <n v="0"/>
    <n v="1"/>
    <x v="0"/>
    <n v="13.059390048154093"/>
  </r>
  <r>
    <s v="ID-3053"/>
    <n v="15"/>
    <x v="0"/>
    <n v="39"/>
    <n v="1"/>
    <n v="2758"/>
    <n v="66"/>
    <n v="366"/>
    <n v="26"/>
    <n v="3"/>
    <n v="1"/>
    <n v="1"/>
    <n v="30"/>
    <n v="1576.96"/>
    <n v="0"/>
    <n v="2"/>
    <x v="0"/>
    <n v="57.17766497461929"/>
  </r>
  <r>
    <s v="ID-3054"/>
    <n v="15"/>
    <x v="0"/>
    <n v="40"/>
    <n v="1"/>
    <n v="4503"/>
    <n v="72"/>
    <n v="8"/>
    <n v="37"/>
    <n v="1"/>
    <n v="1"/>
    <n v="1"/>
    <n v="15"/>
    <n v="295.625"/>
    <n v="0"/>
    <n v="2"/>
    <x v="0"/>
    <n v="6.5650677326226967"/>
  </r>
  <r>
    <s v="ID-3055"/>
    <n v="8"/>
    <x v="0"/>
    <n v="40"/>
    <n v="1"/>
    <n v="2698"/>
    <n v="64"/>
    <n v="9"/>
    <n v="35"/>
    <n v="2"/>
    <n v="1"/>
    <n v="1"/>
    <n v="25"/>
    <n v="164.79"/>
    <n v="0"/>
    <n v="0"/>
    <x v="0"/>
    <n v="6.1078576723498887"/>
  </r>
  <r>
    <s v="ID-3056"/>
    <n v="16"/>
    <x v="0"/>
    <n v="40"/>
    <n v="2"/>
    <n v="4080"/>
    <n v="88"/>
    <n v="39"/>
    <n v="30"/>
    <n v="3"/>
    <n v="1"/>
    <n v="1"/>
    <n v="30"/>
    <n v="322.72000000000003"/>
    <n v="0"/>
    <n v="2"/>
    <x v="0"/>
    <n v="7.9098039215686287"/>
  </r>
  <r>
    <s v="ID-3057"/>
    <n v="9"/>
    <x v="0"/>
    <n v="40"/>
    <n v="1"/>
    <n v="2665"/>
    <n v="45"/>
    <n v="292"/>
    <n v="20"/>
    <n v="3"/>
    <n v="1"/>
    <n v="1"/>
    <n v="30"/>
    <n v="1276.4000000000001"/>
    <n v="0"/>
    <n v="0"/>
    <x v="0"/>
    <n v="47.89493433395873"/>
  </r>
  <r>
    <s v="ID-3058"/>
    <n v="18"/>
    <x v="0"/>
    <n v="39"/>
    <n v="3"/>
    <n v="9420"/>
    <n v="127"/>
    <n v="151"/>
    <n v="45"/>
    <n v="3"/>
    <n v="1"/>
    <n v="1"/>
    <n v="30"/>
    <n v="985.88"/>
    <n v="0"/>
    <n v="2"/>
    <x v="0"/>
    <n v="10.465817409766455"/>
  </r>
  <r>
    <s v="ID-3059"/>
    <n v="12"/>
    <x v="0"/>
    <n v="40"/>
    <n v="1"/>
    <n v="14078"/>
    <n v="175"/>
    <n v="7"/>
    <n v="46"/>
    <n v="3"/>
    <n v="1"/>
    <n v="1"/>
    <n v="30"/>
    <n v="598.12"/>
    <n v="0"/>
    <n v="4"/>
    <x v="1"/>
    <n v="4.2486148600653504"/>
  </r>
  <r>
    <s v="ID-3060"/>
    <n v="12"/>
    <x v="0"/>
    <n v="40"/>
    <n v="2"/>
    <n v="4820"/>
    <n v="89"/>
    <n v="9"/>
    <n v="27"/>
    <n v="3"/>
    <n v="1"/>
    <n v="1"/>
    <n v="30"/>
    <n v="232.36"/>
    <n v="0"/>
    <n v="2"/>
    <x v="0"/>
    <n v="4.8207468879668047"/>
  </r>
  <r>
    <s v="ID-3061"/>
    <n v="11"/>
    <x v="0"/>
    <n v="40"/>
    <n v="1"/>
    <n v="6223"/>
    <n v="101"/>
    <n v="14"/>
    <n v="14"/>
    <n v="3"/>
    <n v="1"/>
    <n v="1"/>
    <n v="30"/>
    <n v="308.95999999999998"/>
    <n v="0"/>
    <n v="2"/>
    <x v="0"/>
    <n v="4.9648079704322665"/>
  </r>
  <r>
    <s v="ID-3062"/>
    <n v="14"/>
    <x v="0"/>
    <n v="40"/>
    <n v="0"/>
    <n v="2543"/>
    <n v="60"/>
    <n v="15"/>
    <n v="19"/>
    <n v="3"/>
    <n v="1"/>
    <n v="2"/>
    <n v="30"/>
    <n v="164.12"/>
    <n v="0"/>
    <n v="3"/>
    <x v="1"/>
    <n v="6.4537947306331116"/>
  </r>
  <r>
    <s v="ID-3063"/>
    <n v="30"/>
    <x v="0"/>
    <n v="40"/>
    <n v="4"/>
    <n v="15445"/>
    <n v="231"/>
    <n v="61"/>
    <n v="34"/>
    <n v="3"/>
    <n v="1"/>
    <n v="1"/>
    <n v="30"/>
    <n v="871.04"/>
    <n v="0"/>
    <n v="4"/>
    <x v="1"/>
    <n v="5.6396244739397865"/>
  </r>
  <r>
    <s v="ID-3064"/>
    <n v="9"/>
    <x v="0"/>
    <n v="40"/>
    <n v="2"/>
    <n v="3400"/>
    <n v="33"/>
    <n v="490"/>
    <n v="10"/>
    <n v="3"/>
    <n v="1"/>
    <n v="1"/>
    <n v="30"/>
    <n v="2097.3200000000002"/>
    <n v="0"/>
    <n v="0"/>
    <x v="0"/>
    <n v="61.685882352941178"/>
  </r>
  <r>
    <s v="ID-3065"/>
    <n v="14"/>
    <x v="0"/>
    <n v="39"/>
    <n v="1"/>
    <n v="15790"/>
    <n v="188"/>
    <n v="157"/>
    <n v="32"/>
    <n v="2"/>
    <n v="1"/>
    <n v="1"/>
    <n v="25"/>
    <n v="1425.51"/>
    <n v="0"/>
    <n v="4"/>
    <x v="1"/>
    <n v="9.0279290690310319"/>
  </r>
  <r>
    <s v="ID-3066"/>
    <n v="8"/>
    <x v="0"/>
    <n v="39"/>
    <n v="2"/>
    <n v="6805"/>
    <n v="92"/>
    <n v="193"/>
    <n v="28"/>
    <n v="3"/>
    <n v="1"/>
    <n v="1"/>
    <n v="30"/>
    <n v="1047.8800000000001"/>
    <n v="0"/>
    <n v="0"/>
    <x v="0"/>
    <n v="15.398677443056577"/>
  </r>
  <r>
    <s v="ID-3067"/>
    <n v="5"/>
    <x v="0"/>
    <n v="39"/>
    <n v="0"/>
    <n v="1180"/>
    <n v="20"/>
    <n v="7"/>
    <n v="13"/>
    <n v="2"/>
    <n v="1"/>
    <n v="2"/>
    <n v="25"/>
    <n v="85.5"/>
    <n v="0"/>
    <n v="1"/>
    <x v="0"/>
    <n v="7.2457627118644066"/>
  </r>
  <r>
    <s v="ID-3068"/>
    <n v="7"/>
    <x v="0"/>
    <n v="40"/>
    <n v="0"/>
    <n v="1015"/>
    <n v="20"/>
    <n v="20"/>
    <n v="10"/>
    <n v="3"/>
    <n v="1"/>
    <n v="2"/>
    <n v="30"/>
    <n v="121.4"/>
    <n v="0"/>
    <n v="1"/>
    <x v="0"/>
    <n v="11.960591133004925"/>
  </r>
  <r>
    <s v="ID-3069"/>
    <n v="5"/>
    <x v="0"/>
    <n v="39"/>
    <n v="0"/>
    <n v="305"/>
    <n v="6"/>
    <n v="7"/>
    <n v="2"/>
    <n v="2"/>
    <n v="1"/>
    <n v="2"/>
    <n v="25"/>
    <n v="45.494999999999997"/>
    <n v="1"/>
    <n v="1"/>
    <x v="0"/>
    <n v="14.916393442622949"/>
  </r>
  <r>
    <s v="ID-3070"/>
    <n v="8"/>
    <x v="0"/>
    <n v="39"/>
    <n v="1"/>
    <n v="7813"/>
    <n v="133"/>
    <n v="391"/>
    <n v="45"/>
    <n v="3"/>
    <n v="1"/>
    <n v="1"/>
    <n v="30"/>
    <n v="1881.84"/>
    <n v="0"/>
    <n v="0"/>
    <x v="0"/>
    <n v="24.086010495328296"/>
  </r>
  <r>
    <s v="ID-3071"/>
    <n v="12"/>
    <x v="0"/>
    <n v="39"/>
    <n v="2"/>
    <n v="11770"/>
    <n v="160"/>
    <n v="18"/>
    <n v="49"/>
    <n v="4"/>
    <n v="1"/>
    <n v="1"/>
    <n v="45"/>
    <n v="343.25"/>
    <n v="0"/>
    <n v="5"/>
    <x v="1"/>
    <n v="2.9163126593033133"/>
  </r>
  <r>
    <s v="ID-3072"/>
    <n v="13"/>
    <x v="0"/>
    <n v="39"/>
    <n v="2"/>
    <n v="7023"/>
    <n v="81"/>
    <n v="115"/>
    <n v="39"/>
    <n v="2"/>
    <n v="1"/>
    <n v="1"/>
    <n v="25"/>
    <n v="837.18"/>
    <n v="0"/>
    <n v="2"/>
    <x v="0"/>
    <n v="11.920546774882528"/>
  </r>
  <r>
    <s v="ID-3073"/>
    <n v="28"/>
    <x v="1"/>
    <n v="35"/>
    <n v="0"/>
    <n v="1260"/>
    <n v="53"/>
    <n v="23"/>
    <n v="19"/>
    <n v="3"/>
    <n v="1"/>
    <n v="2"/>
    <n v="30"/>
    <n v="144.52000000000001"/>
    <n v="1"/>
    <n v="5"/>
    <x v="1"/>
    <n v="11.46984126984127"/>
  </r>
  <r>
    <s v="ID-3074"/>
    <n v="26"/>
    <x v="0"/>
    <n v="38"/>
    <n v="9"/>
    <n v="10740"/>
    <n v="99"/>
    <n v="8"/>
    <n v="44"/>
    <n v="5"/>
    <n v="1"/>
    <n v="1"/>
    <n v="55"/>
    <n v="174.58500000000001"/>
    <n v="0"/>
    <n v="2"/>
    <x v="0"/>
    <n v="1.625558659217877"/>
  </r>
  <r>
    <s v="ID-3075"/>
    <n v="18"/>
    <x v="0"/>
    <n v="38"/>
    <n v="2"/>
    <n v="6123"/>
    <n v="104"/>
    <n v="33"/>
    <n v="26"/>
    <n v="2"/>
    <n v="1"/>
    <n v="1"/>
    <n v="25"/>
    <n v="428.71499999999997"/>
    <n v="0"/>
    <n v="2"/>
    <x v="0"/>
    <n v="7.0017148456638898"/>
  </r>
  <r>
    <s v="ID-3076"/>
    <n v="6"/>
    <x v="0"/>
    <n v="36"/>
    <n v="1"/>
    <n v="3145"/>
    <n v="28"/>
    <n v="7"/>
    <n v="16"/>
    <n v="3"/>
    <n v="1"/>
    <n v="1"/>
    <n v="30"/>
    <n v="154.91999999999999"/>
    <n v="0"/>
    <n v="0"/>
    <x v="0"/>
    <n v="4.9259141494435612"/>
  </r>
  <r>
    <s v="ID-3077"/>
    <n v="14"/>
    <x v="1"/>
    <n v="37"/>
    <n v="0"/>
    <n v="3295"/>
    <n v="47"/>
    <n v="16"/>
    <n v="18"/>
    <n v="3"/>
    <n v="1"/>
    <n v="2"/>
    <n v="30"/>
    <n v="197.68"/>
    <n v="1"/>
    <n v="5"/>
    <x v="1"/>
    <n v="5.9993930197268588"/>
  </r>
  <r>
    <s v="ID-3078"/>
    <n v="14"/>
    <x v="0"/>
    <n v="38"/>
    <n v="0"/>
    <n v="2573"/>
    <n v="50"/>
    <n v="41"/>
    <n v="33"/>
    <n v="4"/>
    <n v="1"/>
    <n v="2"/>
    <n v="45"/>
    <n v="168.07499999999999"/>
    <n v="1"/>
    <n v="3"/>
    <x v="1"/>
    <n v="6.532258064516129"/>
  </r>
  <r>
    <s v="ID-3079"/>
    <n v="5"/>
    <x v="0"/>
    <n v="38"/>
    <n v="0"/>
    <n v="438"/>
    <n v="8"/>
    <n v="7"/>
    <n v="4"/>
    <n v="3"/>
    <n v="1"/>
    <n v="2"/>
    <n v="30"/>
    <n v="45.84"/>
    <n v="1"/>
    <n v="1"/>
    <x v="0"/>
    <n v="10.465753424657535"/>
  </r>
  <r>
    <s v="ID-3080"/>
    <n v="6"/>
    <x v="0"/>
    <n v="38"/>
    <n v="1"/>
    <n v="1973"/>
    <n v="31"/>
    <n v="7"/>
    <n v="8"/>
    <n v="4"/>
    <n v="1"/>
    <n v="1"/>
    <n v="45"/>
    <n v="67.599999999999994"/>
    <n v="0"/>
    <n v="0"/>
    <x v="0"/>
    <n v="3.4262544348707547"/>
  </r>
  <r>
    <s v="ID-3081"/>
    <n v="8"/>
    <x v="0"/>
    <n v="35"/>
    <n v="2"/>
    <n v="7090"/>
    <n v="103"/>
    <n v="21"/>
    <n v="24"/>
    <n v="5"/>
    <n v="1"/>
    <n v="1"/>
    <n v="55"/>
    <n v="139.39500000000001"/>
    <n v="0"/>
    <n v="0"/>
    <x v="0"/>
    <n v="1.9660789844851905"/>
  </r>
  <r>
    <s v="ID-3082"/>
    <n v="5"/>
    <x v="0"/>
    <n v="38"/>
    <n v="0"/>
    <n v="933"/>
    <n v="13"/>
    <n v="16"/>
    <n v="6"/>
    <n v="4"/>
    <n v="1"/>
    <n v="2"/>
    <n v="45"/>
    <n v="63.65"/>
    <n v="1"/>
    <n v="1"/>
    <x v="0"/>
    <n v="6.8220793140407281"/>
  </r>
  <r>
    <s v="ID-3083"/>
    <n v="5"/>
    <x v="0"/>
    <n v="38"/>
    <n v="2"/>
    <n v="643"/>
    <n v="10"/>
    <n v="11"/>
    <n v="4"/>
    <n v="5"/>
    <n v="1"/>
    <n v="1"/>
    <n v="55"/>
    <n v="26.295000000000002"/>
    <n v="0"/>
    <n v="0"/>
    <x v="0"/>
    <n v="4.0894245723172631"/>
  </r>
  <r>
    <s v="ID-3084"/>
    <n v="30"/>
    <x v="0"/>
    <n v="33"/>
    <n v="4"/>
    <n v="16380"/>
    <n v="244"/>
    <n v="7"/>
    <n v="82"/>
    <n v="2"/>
    <n v="2"/>
    <n v="1"/>
    <n v="25"/>
    <n v="779.58"/>
    <n v="0"/>
    <n v="5"/>
    <x v="1"/>
    <n v="4.7593406593406593"/>
  </r>
  <r>
    <s v="ID-3085"/>
    <n v="11"/>
    <x v="0"/>
    <n v="36"/>
    <n v="4"/>
    <n v="7270"/>
    <n v="122"/>
    <n v="278"/>
    <n v="35"/>
    <n v="3"/>
    <n v="2"/>
    <n v="1"/>
    <n v="30"/>
    <n v="1407.68"/>
    <n v="0"/>
    <n v="2"/>
    <x v="0"/>
    <n v="19.362861072902341"/>
  </r>
  <r>
    <s v="ID-3086"/>
    <n v="7"/>
    <x v="0"/>
    <n v="38"/>
    <n v="1"/>
    <n v="4023"/>
    <n v="88"/>
    <n v="9"/>
    <n v="30"/>
    <n v="3"/>
    <n v="1"/>
    <n v="1"/>
    <n v="30"/>
    <n v="200.44"/>
    <n v="0"/>
    <n v="0"/>
    <x v="0"/>
    <n v="4.9823514789957741"/>
  </r>
  <r>
    <s v="ID-3087"/>
    <n v="8"/>
    <x v="0"/>
    <n v="37"/>
    <n v="0"/>
    <n v="1970"/>
    <n v="50"/>
    <n v="45"/>
    <n v="22"/>
    <n v="3"/>
    <n v="1"/>
    <n v="2"/>
    <n v="30"/>
    <n v="260.8"/>
    <n v="0"/>
    <n v="1"/>
    <x v="0"/>
    <n v="13.238578680203048"/>
  </r>
  <r>
    <s v="ID-3088"/>
    <n v="11"/>
    <x v="0"/>
    <n v="38"/>
    <n v="1"/>
    <n v="3085"/>
    <n v="59"/>
    <n v="182"/>
    <n v="25"/>
    <n v="2"/>
    <n v="1"/>
    <n v="1"/>
    <n v="25"/>
    <n v="960.48"/>
    <n v="0"/>
    <n v="2"/>
    <x v="0"/>
    <n v="31.133873581847649"/>
  </r>
  <r>
    <s v="ID-3089"/>
    <n v="9"/>
    <x v="0"/>
    <n v="29"/>
    <n v="2"/>
    <n v="1620"/>
    <n v="42"/>
    <n v="200"/>
    <n v="13"/>
    <n v="3"/>
    <n v="2"/>
    <n v="1"/>
    <n v="30"/>
    <n v="866.48"/>
    <n v="0"/>
    <n v="0"/>
    <x v="0"/>
    <n v="53.486419753086423"/>
  </r>
  <r>
    <s v="ID-3090"/>
    <n v="9"/>
    <x v="0"/>
    <n v="28"/>
    <n v="1"/>
    <n v="1873"/>
    <n v="45"/>
    <n v="37"/>
    <n v="70"/>
    <n v="5"/>
    <n v="1"/>
    <n v="1"/>
    <n v="55"/>
    <n v="84.27"/>
    <n v="0"/>
    <n v="1"/>
    <x v="0"/>
    <n v="4.4991991457554725"/>
  </r>
  <r>
    <s v="ID-3091"/>
    <n v="16"/>
    <x v="0"/>
    <n v="29"/>
    <n v="0"/>
    <n v="1005"/>
    <n v="31"/>
    <n v="17"/>
    <n v="9"/>
    <n v="3"/>
    <n v="1"/>
    <n v="2"/>
    <n v="30"/>
    <n v="109.44"/>
    <n v="0"/>
    <n v="3"/>
    <x v="1"/>
    <n v="10.889552238805971"/>
  </r>
  <r>
    <s v="ID-3092"/>
    <n v="5"/>
    <x v="0"/>
    <n v="28"/>
    <n v="0"/>
    <n v="1130"/>
    <n v="16"/>
    <n v="28"/>
    <n v="5"/>
    <n v="4"/>
    <n v="1"/>
    <n v="2"/>
    <n v="45"/>
    <n v="98.65"/>
    <n v="0"/>
    <n v="1"/>
    <x v="0"/>
    <n v="8.730088495575222"/>
  </r>
  <r>
    <s v="ID-3093"/>
    <n v="15"/>
    <x v="0"/>
    <n v="27"/>
    <n v="1"/>
    <n v="1530"/>
    <n v="38"/>
    <n v="26"/>
    <n v="15"/>
    <n v="2"/>
    <n v="1"/>
    <n v="1"/>
    <n v="25"/>
    <n v="187.56"/>
    <n v="0"/>
    <n v="2"/>
    <x v="0"/>
    <n v="12.258823529411766"/>
  </r>
  <r>
    <s v="ID-3094"/>
    <n v="7"/>
    <x v="0"/>
    <n v="27"/>
    <n v="1"/>
    <n v="3530"/>
    <n v="67"/>
    <n v="15"/>
    <n v="25"/>
    <n v="3"/>
    <n v="1"/>
    <n v="1"/>
    <n v="30"/>
    <n v="203.88"/>
    <n v="0"/>
    <n v="0"/>
    <x v="0"/>
    <n v="5.7756373937677052"/>
  </r>
  <r>
    <s v="ID-3095"/>
    <n v="7"/>
    <x v="0"/>
    <n v="20"/>
    <n v="1"/>
    <n v="2000"/>
    <n v="32"/>
    <n v="35"/>
    <n v="16"/>
    <n v="3"/>
    <n v="1"/>
    <n v="1"/>
    <n v="30"/>
    <n v="221.28"/>
    <n v="0"/>
    <n v="0"/>
    <x v="0"/>
    <n v="11.064"/>
  </r>
  <r>
    <s v="ID-3096"/>
    <n v="21"/>
    <x v="0"/>
    <n v="19"/>
    <n v="2"/>
    <n v="6697"/>
    <n v="147"/>
    <n v="92"/>
    <n v="44"/>
    <n v="2"/>
    <n v="2"/>
    <n v="1"/>
    <n v="25"/>
    <n v="721.98"/>
    <n v="0"/>
    <n v="4"/>
    <x v="1"/>
    <n v="10.780648051366283"/>
  </r>
  <r>
    <s v="ID-3097"/>
    <n v="17"/>
    <x v="0"/>
    <n v="17"/>
    <n v="1"/>
    <n v="9237"/>
    <n v="177"/>
    <n v="80"/>
    <n v="42"/>
    <n v="5"/>
    <n v="1"/>
    <n v="1"/>
    <n v="55"/>
    <n v="261.20999999999998"/>
    <n v="0"/>
    <n v="4"/>
    <x v="1"/>
    <n v="2.827866190321533"/>
  </r>
  <r>
    <s v="ID-3098"/>
    <n v="13"/>
    <x v="0"/>
    <n v="18"/>
    <n v="4"/>
    <n v="3157"/>
    <n v="51"/>
    <n v="38"/>
    <n v="21"/>
    <n v="3"/>
    <n v="1"/>
    <n v="1"/>
    <n v="30"/>
    <n v="280.32"/>
    <n v="0"/>
    <n v="2"/>
    <x v="0"/>
    <n v="8.8793158061450743"/>
  </r>
  <r>
    <s v="ID-3099"/>
    <n v="7"/>
    <x v="0"/>
    <n v="11"/>
    <n v="2"/>
    <n v="4695"/>
    <n v="46"/>
    <n v="222"/>
    <n v="12"/>
    <n v="3"/>
    <n v="1"/>
    <n v="1"/>
    <n v="30"/>
    <n v="1077.6400000000001"/>
    <n v="0"/>
    <n v="0"/>
    <x v="0"/>
    <n v="22.952928647497338"/>
  </r>
  <r>
    <s v="ID-3100"/>
    <n v="8"/>
    <x v="1"/>
    <n v="11"/>
    <n v="2"/>
    <n v="1792"/>
    <n v="25"/>
    <n v="7"/>
    <n v="9"/>
    <n v="3"/>
    <n v="1"/>
    <n v="1"/>
    <n v="30"/>
    <n v="100.68"/>
    <n v="1"/>
    <n v="2"/>
    <x v="0"/>
    <n v="5.6183035714285721"/>
  </r>
  <r>
    <s v="ID-3101"/>
    <n v="13"/>
    <x v="0"/>
    <n v="40"/>
    <n v="1"/>
    <n v="4675"/>
    <n v="77"/>
    <n v="12"/>
    <n v="19"/>
    <n v="3"/>
    <n v="1"/>
    <n v="1"/>
    <n v="30"/>
    <n v="238.08"/>
    <n v="0"/>
    <n v="2"/>
    <x v="0"/>
    <n v="5.0926203208556151"/>
  </r>
  <r>
    <s v="ID-3102"/>
    <n v="5"/>
    <x v="0"/>
    <n v="41"/>
    <n v="0"/>
    <n v="623"/>
    <n v="11"/>
    <n v="14"/>
    <n v="6"/>
    <n v="3"/>
    <n v="1"/>
    <n v="2"/>
    <n v="30"/>
    <n v="81.36"/>
    <n v="0"/>
    <n v="1"/>
    <x v="0"/>
    <n v="13.059390048154093"/>
  </r>
  <r>
    <s v="ID-3103"/>
    <n v="15"/>
    <x v="0"/>
    <n v="39"/>
    <n v="1"/>
    <n v="2758"/>
    <n v="66"/>
    <n v="366"/>
    <n v="26"/>
    <n v="3"/>
    <n v="1"/>
    <n v="1"/>
    <n v="30"/>
    <n v="1576.96"/>
    <n v="0"/>
    <n v="2"/>
    <x v="0"/>
    <n v="57.17766497461929"/>
  </r>
  <r>
    <s v="ID-3104"/>
    <n v="15"/>
    <x v="0"/>
    <n v="40"/>
    <n v="1"/>
    <n v="4503"/>
    <n v="72"/>
    <n v="8"/>
    <n v="37"/>
    <n v="1"/>
    <n v="1"/>
    <n v="1"/>
    <n v="15"/>
    <n v="295.625"/>
    <n v="0"/>
    <n v="2"/>
    <x v="0"/>
    <n v="6.5650677326226967"/>
  </r>
  <r>
    <s v="ID-3105"/>
    <n v="8"/>
    <x v="0"/>
    <n v="40"/>
    <n v="1"/>
    <n v="2698"/>
    <n v="64"/>
    <n v="9"/>
    <n v="35"/>
    <n v="2"/>
    <n v="1"/>
    <n v="1"/>
    <n v="25"/>
    <n v="164.79"/>
    <n v="0"/>
    <n v="0"/>
    <x v="0"/>
    <n v="6.1078576723498887"/>
  </r>
  <r>
    <s v="ID-3106"/>
    <n v="16"/>
    <x v="0"/>
    <n v="40"/>
    <n v="2"/>
    <n v="4080"/>
    <n v="88"/>
    <n v="39"/>
    <n v="30"/>
    <n v="3"/>
    <n v="1"/>
    <n v="1"/>
    <n v="30"/>
    <n v="322.72000000000003"/>
    <n v="0"/>
    <n v="2"/>
    <x v="0"/>
    <n v="7.9098039215686287"/>
  </r>
  <r>
    <s v="ID-3107"/>
    <n v="9"/>
    <x v="0"/>
    <n v="40"/>
    <n v="1"/>
    <n v="2665"/>
    <n v="45"/>
    <n v="292"/>
    <n v="20"/>
    <n v="3"/>
    <n v="1"/>
    <n v="1"/>
    <n v="30"/>
    <n v="1276.4000000000001"/>
    <n v="0"/>
    <n v="0"/>
    <x v="0"/>
    <n v="47.89493433395873"/>
  </r>
  <r>
    <s v="ID-3108"/>
    <n v="18"/>
    <x v="0"/>
    <n v="39"/>
    <n v="3"/>
    <n v="9420"/>
    <n v="127"/>
    <n v="151"/>
    <n v="45"/>
    <n v="3"/>
    <n v="1"/>
    <n v="1"/>
    <n v="30"/>
    <n v="985.88"/>
    <n v="0"/>
    <n v="2"/>
    <x v="0"/>
    <n v="10.465817409766455"/>
  </r>
  <r>
    <s v="ID-3109"/>
    <n v="12"/>
    <x v="0"/>
    <n v="40"/>
    <n v="1"/>
    <n v="14078"/>
    <n v="175"/>
    <n v="7"/>
    <n v="46"/>
    <n v="3"/>
    <n v="1"/>
    <n v="1"/>
    <n v="30"/>
    <n v="598.12"/>
    <n v="0"/>
    <n v="4"/>
    <x v="1"/>
    <n v="4.2486148600653504"/>
  </r>
  <r>
    <s v="ID-3110"/>
    <n v="12"/>
    <x v="0"/>
    <n v="40"/>
    <n v="2"/>
    <n v="4820"/>
    <n v="89"/>
    <n v="9"/>
    <n v="27"/>
    <n v="3"/>
    <n v="1"/>
    <n v="1"/>
    <n v="30"/>
    <n v="232.36"/>
    <n v="0"/>
    <n v="2"/>
    <x v="0"/>
    <n v="4.8207468879668047"/>
  </r>
  <r>
    <s v="ID-3111"/>
    <n v="11"/>
    <x v="0"/>
    <n v="40"/>
    <n v="1"/>
    <n v="6223"/>
    <n v="101"/>
    <n v="14"/>
    <n v="14"/>
    <n v="3"/>
    <n v="1"/>
    <n v="1"/>
    <n v="30"/>
    <n v="308.95999999999998"/>
    <n v="0"/>
    <n v="2"/>
    <x v="0"/>
    <n v="4.9648079704322665"/>
  </r>
  <r>
    <s v="ID-3112"/>
    <n v="14"/>
    <x v="0"/>
    <n v="40"/>
    <n v="0"/>
    <n v="2543"/>
    <n v="60"/>
    <n v="15"/>
    <n v="19"/>
    <n v="3"/>
    <n v="1"/>
    <n v="2"/>
    <n v="30"/>
    <n v="164.12"/>
    <n v="0"/>
    <n v="3"/>
    <x v="1"/>
    <n v="6.4537947306331116"/>
  </r>
  <r>
    <s v="ID-3113"/>
    <n v="30"/>
    <x v="0"/>
    <n v="40"/>
    <n v="4"/>
    <n v="15445"/>
    <n v="231"/>
    <n v="61"/>
    <n v="34"/>
    <n v="3"/>
    <n v="2"/>
    <n v="1"/>
    <n v="30"/>
    <n v="871.04"/>
    <n v="0"/>
    <n v="4"/>
    <x v="1"/>
    <n v="5.6396244739397865"/>
  </r>
  <r>
    <s v="ID-3114"/>
    <n v="9"/>
    <x v="0"/>
    <n v="40"/>
    <n v="2"/>
    <n v="3400"/>
    <n v="33"/>
    <n v="490"/>
    <n v="10"/>
    <n v="3"/>
    <n v="1"/>
    <n v="1"/>
    <n v="30"/>
    <n v="2097.3200000000002"/>
    <n v="0"/>
    <n v="0"/>
    <x v="0"/>
    <n v="61.685882352941178"/>
  </r>
  <r>
    <s v="ID-3115"/>
    <n v="14"/>
    <x v="0"/>
    <n v="39"/>
    <n v="1"/>
    <n v="15790"/>
    <n v="188"/>
    <n v="157"/>
    <n v="32"/>
    <n v="2"/>
    <n v="1"/>
    <n v="1"/>
    <n v="25"/>
    <n v="1425.51"/>
    <n v="0"/>
    <n v="4"/>
    <x v="1"/>
    <n v="9.0279290690310319"/>
  </r>
  <r>
    <s v="ID-3116"/>
    <n v="8"/>
    <x v="0"/>
    <n v="39"/>
    <n v="2"/>
    <n v="6805"/>
    <n v="92"/>
    <n v="193"/>
    <n v="28"/>
    <n v="3"/>
    <n v="1"/>
    <n v="1"/>
    <n v="30"/>
    <n v="1047.8800000000001"/>
    <n v="0"/>
    <n v="0"/>
    <x v="0"/>
    <n v="15.398677443056577"/>
  </r>
  <r>
    <s v="ID-3117"/>
    <n v="5"/>
    <x v="0"/>
    <n v="39"/>
    <n v="0"/>
    <n v="1180"/>
    <n v="20"/>
    <n v="7"/>
    <n v="13"/>
    <n v="2"/>
    <n v="1"/>
    <n v="2"/>
    <n v="25"/>
    <n v="85.5"/>
    <n v="0"/>
    <n v="1"/>
    <x v="0"/>
    <n v="7.2457627118644066"/>
  </r>
  <r>
    <s v="ID-3118"/>
    <n v="7"/>
    <x v="0"/>
    <n v="40"/>
    <n v="0"/>
    <n v="1015"/>
    <n v="20"/>
    <n v="20"/>
    <n v="10"/>
    <n v="3"/>
    <n v="1"/>
    <n v="2"/>
    <n v="30"/>
    <n v="121.4"/>
    <n v="0"/>
    <n v="1"/>
    <x v="0"/>
    <n v="11.960591133004925"/>
  </r>
  <r>
    <s v="ID-3119"/>
    <n v="5"/>
    <x v="0"/>
    <n v="39"/>
    <n v="0"/>
    <n v="305"/>
    <n v="6"/>
    <n v="7"/>
    <n v="2"/>
    <n v="2"/>
    <n v="1"/>
    <n v="2"/>
    <n v="25"/>
    <n v="45.494999999999997"/>
    <n v="1"/>
    <n v="1"/>
    <x v="0"/>
    <n v="14.916393442622949"/>
  </r>
  <r>
    <s v="ID-3120"/>
    <n v="8"/>
    <x v="0"/>
    <n v="39"/>
    <n v="1"/>
    <n v="7813"/>
    <n v="133"/>
    <n v="391"/>
    <n v="45"/>
    <n v="3"/>
    <n v="1"/>
    <n v="1"/>
    <n v="30"/>
    <n v="1881.84"/>
    <n v="0"/>
    <n v="0"/>
    <x v="0"/>
    <n v="24.086010495328296"/>
  </r>
  <r>
    <s v="ID-3121"/>
    <n v="12"/>
    <x v="0"/>
    <n v="39"/>
    <n v="2"/>
    <n v="11770"/>
    <n v="160"/>
    <n v="18"/>
    <n v="49"/>
    <n v="4"/>
    <n v="1"/>
    <n v="1"/>
    <n v="45"/>
    <n v="343.25"/>
    <n v="0"/>
    <n v="5"/>
    <x v="1"/>
    <n v="2.9163126593033133"/>
  </r>
  <r>
    <s v="ID-3122"/>
    <n v="13"/>
    <x v="0"/>
    <n v="39"/>
    <n v="2"/>
    <n v="7023"/>
    <n v="81"/>
    <n v="115"/>
    <n v="39"/>
    <n v="2"/>
    <n v="1"/>
    <n v="1"/>
    <n v="25"/>
    <n v="837.18"/>
    <n v="0"/>
    <n v="2"/>
    <x v="0"/>
    <n v="11.920546774882528"/>
  </r>
  <r>
    <s v="ID-3123"/>
    <n v="28"/>
    <x v="1"/>
    <n v="35"/>
    <n v="0"/>
    <n v="1260"/>
    <n v="53"/>
    <n v="23"/>
    <n v="19"/>
    <n v="3"/>
    <n v="1"/>
    <n v="2"/>
    <n v="30"/>
    <n v="144.52000000000001"/>
    <n v="1"/>
    <n v="5"/>
    <x v="1"/>
    <n v="11.46984126984127"/>
  </r>
  <r>
    <s v="ID-3124"/>
    <n v="26"/>
    <x v="0"/>
    <n v="38"/>
    <n v="9"/>
    <n v="10740"/>
    <n v="99"/>
    <n v="8"/>
    <n v="44"/>
    <n v="5"/>
    <n v="2"/>
    <n v="1"/>
    <n v="55"/>
    <n v="174.58500000000001"/>
    <n v="0"/>
    <n v="2"/>
    <x v="0"/>
    <n v="1.625558659217877"/>
  </r>
  <r>
    <s v="ID-3125"/>
    <n v="18"/>
    <x v="0"/>
    <n v="38"/>
    <n v="2"/>
    <n v="6123"/>
    <n v="104"/>
    <n v="33"/>
    <n v="26"/>
    <n v="2"/>
    <n v="1"/>
    <n v="1"/>
    <n v="25"/>
    <n v="428.71499999999997"/>
    <n v="0"/>
    <n v="2"/>
    <x v="0"/>
    <n v="7.0017148456638898"/>
  </r>
  <r>
    <s v="ID-3126"/>
    <n v="6"/>
    <x v="0"/>
    <n v="36"/>
    <n v="1"/>
    <n v="3145"/>
    <n v="28"/>
    <n v="7"/>
    <n v="16"/>
    <n v="3"/>
    <n v="1"/>
    <n v="1"/>
    <n v="30"/>
    <n v="154.91999999999999"/>
    <n v="0"/>
    <n v="0"/>
    <x v="0"/>
    <n v="4.9259141494435612"/>
  </r>
  <r>
    <s v="ID-3127"/>
    <n v="14"/>
    <x v="1"/>
    <n v="37"/>
    <n v="0"/>
    <n v="3295"/>
    <n v="47"/>
    <n v="16"/>
    <n v="18"/>
    <n v="3"/>
    <n v="1"/>
    <n v="2"/>
    <n v="30"/>
    <n v="197.68"/>
    <n v="1"/>
    <n v="5"/>
    <x v="1"/>
    <n v="5.9993930197268588"/>
  </r>
  <r>
    <s v="ID-3128"/>
    <n v="14"/>
    <x v="1"/>
    <n v="38"/>
    <n v="0"/>
    <n v="2573"/>
    <n v="50"/>
    <n v="41"/>
    <n v="33"/>
    <n v="4"/>
    <n v="1"/>
    <n v="2"/>
    <n v="45"/>
    <n v="168.07499999999999"/>
    <n v="1"/>
    <n v="5"/>
    <x v="1"/>
    <n v="6.532258064516129"/>
  </r>
  <r>
    <s v="ID-3129"/>
    <n v="5"/>
    <x v="0"/>
    <n v="38"/>
    <n v="0"/>
    <n v="438"/>
    <n v="8"/>
    <n v="7"/>
    <n v="4"/>
    <n v="3"/>
    <n v="1"/>
    <n v="2"/>
    <n v="30"/>
    <n v="45.84"/>
    <n v="1"/>
    <n v="1"/>
    <x v="0"/>
    <n v="10.465753424657535"/>
  </r>
  <r>
    <s v="ID-3130"/>
    <n v="6"/>
    <x v="0"/>
    <n v="38"/>
    <n v="1"/>
    <n v="1973"/>
    <n v="31"/>
    <n v="7"/>
    <n v="8"/>
    <n v="4"/>
    <n v="1"/>
    <n v="1"/>
    <n v="45"/>
    <n v="67.599999999999994"/>
    <n v="0"/>
    <n v="0"/>
    <x v="0"/>
    <n v="3.4262544348707547"/>
  </r>
  <r>
    <s v="ID-3131"/>
    <n v="8"/>
    <x v="0"/>
    <n v="35"/>
    <n v="2"/>
    <n v="7090"/>
    <n v="103"/>
    <n v="21"/>
    <n v="24"/>
    <n v="5"/>
    <n v="1"/>
    <n v="1"/>
    <n v="55"/>
    <n v="139.39500000000001"/>
    <n v="0"/>
    <n v="0"/>
    <x v="0"/>
    <n v="1.9660789844851905"/>
  </r>
  <r>
    <s v="ID-3132"/>
    <n v="5"/>
    <x v="1"/>
    <n v="38"/>
    <n v="0"/>
    <n v="933"/>
    <n v="13"/>
    <n v="16"/>
    <n v="6"/>
    <n v="4"/>
    <n v="1"/>
    <n v="2"/>
    <n v="45"/>
    <n v="63.65"/>
    <n v="1"/>
    <n v="3"/>
    <x v="1"/>
    <n v="6.8220793140407281"/>
  </r>
  <r>
    <s v="ID-3133"/>
    <n v="5"/>
    <x v="0"/>
    <n v="38"/>
    <n v="2"/>
    <n v="643"/>
    <n v="10"/>
    <n v="11"/>
    <n v="4"/>
    <n v="5"/>
    <n v="1"/>
    <n v="1"/>
    <n v="55"/>
    <n v="26.295000000000002"/>
    <n v="0"/>
    <n v="0"/>
    <x v="0"/>
    <n v="4.0894245723172631"/>
  </r>
  <r>
    <s v="ID-3134"/>
    <n v="30"/>
    <x v="0"/>
    <n v="33"/>
    <n v="4"/>
    <n v="16380"/>
    <n v="244"/>
    <n v="7"/>
    <n v="82"/>
    <n v="2"/>
    <n v="2"/>
    <n v="1"/>
    <n v="25"/>
    <n v="779.58"/>
    <n v="0"/>
    <n v="5"/>
    <x v="1"/>
    <n v="4.7593406593406593"/>
  </r>
  <r>
    <s v="ID-3135"/>
    <n v="11"/>
    <x v="0"/>
    <n v="36"/>
    <n v="4"/>
    <n v="7270"/>
    <n v="122"/>
    <n v="278"/>
    <n v="35"/>
    <n v="3"/>
    <n v="2"/>
    <n v="1"/>
    <n v="30"/>
    <n v="1407.68"/>
    <n v="0"/>
    <n v="2"/>
    <x v="0"/>
    <n v="19.362861072902341"/>
  </r>
  <r>
    <s v="ID-3136"/>
    <n v="7"/>
    <x v="0"/>
    <n v="38"/>
    <n v="1"/>
    <n v="4023"/>
    <n v="88"/>
    <n v="9"/>
    <n v="30"/>
    <n v="3"/>
    <n v="1"/>
    <n v="1"/>
    <n v="30"/>
    <n v="200.44"/>
    <n v="0"/>
    <n v="0"/>
    <x v="0"/>
    <n v="4.9823514789957741"/>
  </r>
  <r>
    <s v="ID-3137"/>
    <n v="8"/>
    <x v="0"/>
    <n v="37"/>
    <n v="0"/>
    <n v="1970"/>
    <n v="50"/>
    <n v="45"/>
    <n v="22"/>
    <n v="3"/>
    <n v="1"/>
    <n v="2"/>
    <n v="30"/>
    <n v="260.8"/>
    <n v="0"/>
    <n v="1"/>
    <x v="0"/>
    <n v="13.238578680203048"/>
  </r>
  <r>
    <s v="ID-3138"/>
    <n v="11"/>
    <x v="0"/>
    <n v="38"/>
    <n v="1"/>
    <n v="3085"/>
    <n v="59"/>
    <n v="182"/>
    <n v="25"/>
    <n v="2"/>
    <n v="1"/>
    <n v="1"/>
    <n v="25"/>
    <n v="960.48"/>
    <n v="0"/>
    <n v="2"/>
    <x v="0"/>
    <n v="31.133873581847649"/>
  </r>
  <r>
    <s v="ID-3139"/>
    <n v="9"/>
    <x v="0"/>
    <n v="29"/>
    <n v="2"/>
    <n v="1620"/>
    <n v="42"/>
    <n v="200"/>
    <n v="13"/>
    <n v="3"/>
    <n v="2"/>
    <n v="1"/>
    <n v="30"/>
    <n v="866.48"/>
    <n v="0"/>
    <n v="0"/>
    <x v="0"/>
    <n v="53.486419753086423"/>
  </r>
  <r>
    <s v="ID-3140"/>
    <n v="9"/>
    <x v="0"/>
    <n v="28"/>
    <n v="1"/>
    <n v="1873"/>
    <n v="45"/>
    <n v="37"/>
    <n v="70"/>
    <n v="5"/>
    <n v="1"/>
    <n v="1"/>
    <n v="55"/>
    <n v="84.27"/>
    <n v="0"/>
    <n v="1"/>
    <x v="0"/>
    <n v="4.4991991457554725"/>
  </r>
  <r>
    <s v="ID-3141"/>
    <n v="16"/>
    <x v="0"/>
    <n v="29"/>
    <n v="0"/>
    <n v="1005"/>
    <n v="31"/>
    <n v="17"/>
    <n v="9"/>
    <n v="3"/>
    <n v="1"/>
    <n v="2"/>
    <n v="30"/>
    <n v="109.44"/>
    <n v="0"/>
    <n v="3"/>
    <x v="1"/>
    <n v="10.889552238805971"/>
  </r>
  <r>
    <s v="ID-3142"/>
    <n v="5"/>
    <x v="0"/>
    <n v="28"/>
    <n v="0"/>
    <n v="1130"/>
    <n v="16"/>
    <n v="28"/>
    <n v="5"/>
    <n v="4"/>
    <n v="1"/>
    <n v="2"/>
    <n v="45"/>
    <n v="98.65"/>
    <n v="0"/>
    <n v="1"/>
    <x v="0"/>
    <n v="8.730088495575222"/>
  </r>
  <r>
    <s v="ID-3143"/>
    <n v="15"/>
    <x v="0"/>
    <n v="27"/>
    <n v="1"/>
    <n v="1530"/>
    <n v="38"/>
    <n v="26"/>
    <n v="15"/>
    <n v="2"/>
    <n v="1"/>
    <n v="1"/>
    <n v="25"/>
    <n v="187.56"/>
    <n v="0"/>
    <n v="2"/>
    <x v="0"/>
    <n v="12.258823529411766"/>
  </r>
  <r>
    <s v="ID-3144"/>
    <n v="7"/>
    <x v="0"/>
    <n v="27"/>
    <n v="1"/>
    <n v="3530"/>
    <n v="67"/>
    <n v="15"/>
    <n v="25"/>
    <n v="3"/>
    <n v="1"/>
    <n v="1"/>
    <n v="30"/>
    <n v="203.88"/>
    <n v="0"/>
    <n v="0"/>
    <x v="0"/>
    <n v="5.7756373937677052"/>
  </r>
  <r>
    <s v="ID-3145"/>
    <n v="7"/>
    <x v="0"/>
    <n v="20"/>
    <n v="1"/>
    <n v="2000"/>
    <n v="32"/>
    <n v="35"/>
    <n v="16"/>
    <n v="3"/>
    <n v="1"/>
    <n v="1"/>
    <n v="30"/>
    <n v="221.28"/>
    <n v="0"/>
    <n v="0"/>
    <x v="0"/>
    <n v="11.064"/>
  </r>
  <r>
    <s v="ID-3146"/>
    <n v="21"/>
    <x v="0"/>
    <n v="19"/>
    <n v="2"/>
    <n v="6697"/>
    <n v="147"/>
    <n v="92"/>
    <n v="44"/>
    <n v="2"/>
    <n v="2"/>
    <n v="1"/>
    <n v="25"/>
    <n v="721.98"/>
    <n v="0"/>
    <n v="4"/>
    <x v="1"/>
    <n v="10.780648051366283"/>
  </r>
  <r>
    <s v="ID-3147"/>
    <n v="17"/>
    <x v="0"/>
    <n v="17"/>
    <n v="1"/>
    <n v="9237"/>
    <n v="177"/>
    <n v="80"/>
    <n v="42"/>
    <n v="5"/>
    <n v="1"/>
    <n v="1"/>
    <n v="55"/>
    <n v="261.20999999999998"/>
    <n v="0"/>
    <n v="4"/>
    <x v="1"/>
    <n v="2.827866190321533"/>
  </r>
  <r>
    <s v="ID-3148"/>
    <n v="13"/>
    <x v="0"/>
    <n v="18"/>
    <n v="4"/>
    <n v="3157"/>
    <n v="51"/>
    <n v="38"/>
    <n v="21"/>
    <n v="3"/>
    <n v="1"/>
    <n v="1"/>
    <n v="30"/>
    <n v="280.32"/>
    <n v="0"/>
    <n v="2"/>
    <x v="0"/>
    <n v="8.8793158061450743"/>
  </r>
  <r>
    <s v="ID-3149"/>
    <n v="7"/>
    <x v="0"/>
    <n v="11"/>
    <n v="2"/>
    <n v="4695"/>
    <n v="46"/>
    <n v="222"/>
    <n v="12"/>
    <n v="3"/>
    <n v="1"/>
    <n v="1"/>
    <n v="30"/>
    <n v="1077.6400000000001"/>
    <n v="0"/>
    <n v="0"/>
    <x v="0"/>
    <n v="22.952928647497338"/>
  </r>
  <r>
    <s v="ID-3150"/>
    <n v="8"/>
    <x v="1"/>
    <n v="11"/>
    <n v="2"/>
    <n v="1792"/>
    <n v="25"/>
    <n v="7"/>
    <n v="9"/>
    <n v="3"/>
    <n v="1"/>
    <n v="1"/>
    <n v="30"/>
    <n v="100.68"/>
    <n v="1"/>
    <n v="2"/>
    <x v="0"/>
    <n v="5.61830357142857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:C7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ID" fld="0" subtotal="count" baseField="16" baseItem="0"/>
    <dataField name="Average of Fraud_Score" fld="15" subtotal="average" baseField="16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3:C7" firstHeaderRow="0" firstDataRow="1" firstDataCol="1"/>
  <pivotFields count="18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all  Failure" fld="1" subtotal="average" baseField="16" baseItem="0"/>
    <dataField name="Average of Customer Value" fld="13" subtotal="average" baseField="16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C7" firstHeaderRow="0" firstDataRow="1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1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" fld="14" baseField="0" baseItem="0"/>
    <dataField name="Count of CustomerID" fld="0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3:C6" firstHeaderRow="0" firstDataRow="1" firstDataCol="1"/>
  <pivotFields count="18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Customer Value" fld="13" subtotal="average" baseField="2" baseItem="0"/>
    <dataField name="Average of Seconds of Use" fld="5" subtotal="average" baseField="2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3151" totalsRowShown="0">
  <autoFilter ref="A1:R3151"/>
  <tableColumns count="18">
    <tableColumn id="20" name="CustomerID" dataDxfId="0"/>
    <tableColumn id="2" name="Call  Failure"/>
    <tableColumn id="3" name="Complains"/>
    <tableColumn id="4" name="Subscription  Length"/>
    <tableColumn id="5" name="Charge  Amount"/>
    <tableColumn id="6" name="Seconds of Use"/>
    <tableColumn id="7" name="Frequency of use"/>
    <tableColumn id="8" name="Frequency of SMS"/>
    <tableColumn id="9" name="Distinct Called Numbers"/>
    <tableColumn id="10" name="Age Group"/>
    <tableColumn id="11" name="Tariff Plan"/>
    <tableColumn id="12" name="Status"/>
    <tableColumn id="13" name="Age"/>
    <tableColumn id="14" name="Customer Value"/>
    <tableColumn id="15" name="Churn"/>
    <tableColumn id="16" name="Fraud_Score" dataDxfId="3">
      <calculatedColumnFormula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calculatedColumnFormula>
    </tableColumn>
    <tableColumn id="17" name="Risk_Caregory" dataDxfId="2">
      <calculatedColumnFormula>IF(Table1[[#This Row],[Fraud_Score]]&gt;=6, "High Risk",IF(Table1[[#This Row],[Fraud_Score]]&gt;=3, "Medium Risk", "Low Risk"))</calculatedColumnFormula>
    </tableColumn>
    <tableColumn id="19" name="Revenue_Efficiency" dataDxfId="1">
      <calculatedColumnFormula>IF(Table1[[#This Row],[Seconds of Use]]=0,0,Table1[[#This Row],[Customer Value]]/Table1[[#This Row],[Seconds of Use]]*100)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tabSelected="1" workbookViewId="0">
      <selection activeCell="F19" sqref="F19"/>
    </sheetView>
  </sheetViews>
  <sheetFormatPr defaultRowHeight="14.5" x14ac:dyDescent="0.35"/>
  <cols>
    <col min="1" max="1" width="12.36328125" customWidth="1"/>
    <col min="2" max="2" width="18.7265625" customWidth="1"/>
    <col min="3" max="3" width="20.7265625" bestFit="1" customWidth="1"/>
  </cols>
  <sheetData>
    <row r="3" spans="1:3" x14ac:dyDescent="0.35">
      <c r="A3" s="1" t="s">
        <v>18</v>
      </c>
      <c r="B3" t="s">
        <v>3173</v>
      </c>
      <c r="C3" t="s">
        <v>3174</v>
      </c>
    </row>
    <row r="4" spans="1:3" x14ac:dyDescent="0.35">
      <c r="A4" s="2" t="s">
        <v>19</v>
      </c>
      <c r="B4" s="3">
        <v>11</v>
      </c>
      <c r="C4" s="3">
        <v>6.6363636363636367</v>
      </c>
    </row>
    <row r="5" spans="1:3" x14ac:dyDescent="0.35">
      <c r="A5" s="2" t="s">
        <v>20</v>
      </c>
      <c r="B5" s="3">
        <v>2395</v>
      </c>
      <c r="C5" s="3">
        <v>0.95031315240083503</v>
      </c>
    </row>
    <row r="6" spans="1:3" x14ac:dyDescent="0.35">
      <c r="A6" s="2" t="s">
        <v>21</v>
      </c>
      <c r="B6" s="3">
        <v>744</v>
      </c>
      <c r="C6" s="3">
        <v>3.7513440860215055</v>
      </c>
    </row>
    <row r="7" spans="1:3" x14ac:dyDescent="0.35">
      <c r="A7" s="2" t="s">
        <v>22</v>
      </c>
      <c r="B7" s="3">
        <v>3150</v>
      </c>
      <c r="C7" s="3">
        <v>1.6317460317460317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C14" sqref="C14"/>
    </sheetView>
  </sheetViews>
  <sheetFormatPr defaultRowHeight="14.5" x14ac:dyDescent="0.35"/>
  <cols>
    <col min="1" max="1" width="12.36328125" bestFit="1" customWidth="1"/>
    <col min="2" max="2" width="19.90625" bestFit="1" customWidth="1"/>
    <col min="3" max="3" width="23.81640625" bestFit="1" customWidth="1"/>
  </cols>
  <sheetData>
    <row r="3" spans="1:3" x14ac:dyDescent="0.35">
      <c r="A3" s="1" t="s">
        <v>18</v>
      </c>
      <c r="B3" t="s">
        <v>3175</v>
      </c>
      <c r="C3" t="s">
        <v>3176</v>
      </c>
    </row>
    <row r="4" spans="1:3" x14ac:dyDescent="0.35">
      <c r="A4" s="2" t="s">
        <v>19</v>
      </c>
      <c r="B4" s="3">
        <v>28</v>
      </c>
      <c r="C4" s="3">
        <v>820.43363636363642</v>
      </c>
    </row>
    <row r="5" spans="1:3" x14ac:dyDescent="0.35">
      <c r="A5" s="2" t="s">
        <v>20</v>
      </c>
      <c r="B5" s="3">
        <v>5.5503131524008351</v>
      </c>
      <c r="C5" s="3">
        <v>459.98285386221295</v>
      </c>
    </row>
    <row r="6" spans="1:3" x14ac:dyDescent="0.35">
      <c r="A6" s="2" t="s">
        <v>21</v>
      </c>
      <c r="B6" s="3">
        <v>14.01478494623656</v>
      </c>
      <c r="C6" s="3">
        <v>501.18411290322626</v>
      </c>
    </row>
    <row r="7" spans="1:3" x14ac:dyDescent="0.35">
      <c r="A7" s="2" t="s">
        <v>22</v>
      </c>
      <c r="B7" s="3">
        <v>7.627936507936508</v>
      </c>
      <c r="C7" s="3">
        <v>470.97291587301567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H19" sqref="H19"/>
    </sheetView>
  </sheetViews>
  <sheetFormatPr defaultRowHeight="14.5" x14ac:dyDescent="0.35"/>
  <cols>
    <col min="1" max="1" width="12.36328125" bestFit="1" customWidth="1"/>
    <col min="2" max="2" width="12.1796875" bestFit="1" customWidth="1"/>
    <col min="3" max="3" width="18.7265625" bestFit="1" customWidth="1"/>
  </cols>
  <sheetData>
    <row r="3" spans="1:3" x14ac:dyDescent="0.35">
      <c r="A3" s="1" t="s">
        <v>18</v>
      </c>
      <c r="B3" t="s">
        <v>3177</v>
      </c>
      <c r="C3" t="s">
        <v>3173</v>
      </c>
    </row>
    <row r="4" spans="1:3" x14ac:dyDescent="0.35">
      <c r="A4" s="2" t="s">
        <v>19</v>
      </c>
      <c r="B4" s="3">
        <v>0</v>
      </c>
      <c r="C4" s="3">
        <v>11</v>
      </c>
    </row>
    <row r="5" spans="1:3" x14ac:dyDescent="0.35">
      <c r="A5" s="2" t="s">
        <v>20</v>
      </c>
      <c r="B5" s="3">
        <v>282</v>
      </c>
      <c r="C5" s="3">
        <v>2395</v>
      </c>
    </row>
    <row r="6" spans="1:3" x14ac:dyDescent="0.35">
      <c r="A6" s="2" t="s">
        <v>21</v>
      </c>
      <c r="B6" s="3">
        <v>213</v>
      </c>
      <c r="C6" s="3">
        <v>744</v>
      </c>
    </row>
    <row r="7" spans="1:3" x14ac:dyDescent="0.35">
      <c r="A7" s="2" t="s">
        <v>22</v>
      </c>
      <c r="B7" s="3">
        <v>495</v>
      </c>
      <c r="C7" s="3">
        <v>3150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workbookViewId="0">
      <selection activeCell="D14" sqref="D14"/>
    </sheetView>
  </sheetViews>
  <sheetFormatPr defaultRowHeight="14.5" x14ac:dyDescent="0.35"/>
  <cols>
    <col min="1" max="1" width="12.36328125" bestFit="1" customWidth="1"/>
    <col min="2" max="2" width="23.81640625" bestFit="1" customWidth="1"/>
    <col min="3" max="3" width="23" bestFit="1" customWidth="1"/>
  </cols>
  <sheetData>
    <row r="3" spans="1:3" x14ac:dyDescent="0.35">
      <c r="A3" s="1" t="s">
        <v>18</v>
      </c>
      <c r="B3" t="s">
        <v>3176</v>
      </c>
      <c r="C3" t="s">
        <v>3178</v>
      </c>
    </row>
    <row r="4" spans="1:3" x14ac:dyDescent="0.35">
      <c r="A4" s="2">
        <v>0</v>
      </c>
      <c r="B4" s="3">
        <v>490.74629597799998</v>
      </c>
      <c r="C4" s="3">
        <v>4599.2512891027845</v>
      </c>
    </row>
    <row r="5" spans="1:3" x14ac:dyDescent="0.35">
      <c r="A5" s="2">
        <v>1</v>
      </c>
      <c r="B5" s="3">
        <v>232.29755186721985</v>
      </c>
      <c r="C5" s="3">
        <v>2942.0165975103732</v>
      </c>
    </row>
    <row r="6" spans="1:3" x14ac:dyDescent="0.35">
      <c r="A6" s="2" t="s">
        <v>22</v>
      </c>
      <c r="B6" s="3">
        <v>470.97291587301618</v>
      </c>
      <c r="C6" s="3">
        <v>4472.4596825396829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51"/>
  <sheetViews>
    <sheetView topLeftCell="A2" workbookViewId="0">
      <selection activeCell="D11" sqref="D11"/>
    </sheetView>
  </sheetViews>
  <sheetFormatPr defaultRowHeight="14.5" x14ac:dyDescent="0.35"/>
  <cols>
    <col min="1" max="1" width="13.08984375" bestFit="1" customWidth="1"/>
    <col min="2" max="2" width="12.36328125" customWidth="1"/>
    <col min="3" max="3" width="11.54296875" customWidth="1"/>
    <col min="4" max="4" width="19.7265625" customWidth="1"/>
    <col min="5" max="5" width="16.36328125" customWidth="1"/>
    <col min="6" max="6" width="15.36328125" customWidth="1"/>
    <col min="7" max="7" width="17" customWidth="1"/>
    <col min="8" max="8" width="17.6328125" customWidth="1"/>
    <col min="9" max="9" width="22.81640625" customWidth="1"/>
    <col min="10" max="10" width="11.90625" bestFit="1" customWidth="1"/>
    <col min="11" max="11" width="11.6328125" bestFit="1" customWidth="1"/>
    <col min="12" max="12" width="8.36328125" bestFit="1" customWidth="1"/>
    <col min="13" max="13" width="6.1796875" bestFit="1" customWidth="1"/>
    <col min="14" max="14" width="16.54296875" bestFit="1" customWidth="1"/>
    <col min="15" max="15" width="8.1796875" bestFit="1" customWidth="1"/>
    <col min="16" max="16" width="13.453125" bestFit="1" customWidth="1"/>
    <col min="17" max="17" width="14.90625" bestFit="1" customWidth="1"/>
    <col min="18" max="18" width="19.26953125" bestFit="1" customWidth="1"/>
  </cols>
  <sheetData>
    <row r="1" spans="1:18" x14ac:dyDescent="0.35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15</v>
      </c>
      <c r="Q1" t="s">
        <v>16</v>
      </c>
      <c r="R1" t="s">
        <v>17</v>
      </c>
    </row>
    <row r="2" spans="1:18" x14ac:dyDescent="0.35">
      <c r="A2" s="3" t="s">
        <v>23</v>
      </c>
      <c r="B2">
        <v>8</v>
      </c>
      <c r="C2">
        <v>0</v>
      </c>
      <c r="D2">
        <v>38</v>
      </c>
      <c r="E2">
        <v>0</v>
      </c>
      <c r="F2">
        <v>4370</v>
      </c>
      <c r="G2">
        <v>71</v>
      </c>
      <c r="H2">
        <v>5</v>
      </c>
      <c r="I2">
        <v>17</v>
      </c>
      <c r="J2">
        <v>3</v>
      </c>
      <c r="K2">
        <v>1</v>
      </c>
      <c r="L2">
        <v>1</v>
      </c>
      <c r="M2">
        <v>30</v>
      </c>
      <c r="N2">
        <v>197.64</v>
      </c>
      <c r="O2">
        <v>0</v>
      </c>
      <c r="P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" t="str">
        <f>IF(Table1[[#This Row],[Fraud_Score]]&gt;=6, "High Risk",IF(Table1[[#This Row],[Fraud_Score]]&gt;=3, "Medium Risk", "Low Risk"))</f>
        <v>Low Risk</v>
      </c>
      <c r="R2">
        <f>IF(Table1[[#This Row],[Seconds of Use]]=0,0,Table1[[#This Row],[Customer Value]]/Table1[[#This Row],[Seconds of Use]]*100)</f>
        <v>4.5226544622425626</v>
      </c>
    </row>
    <row r="3" spans="1:18" x14ac:dyDescent="0.35">
      <c r="A3" s="3" t="s">
        <v>24</v>
      </c>
      <c r="B3">
        <v>0</v>
      </c>
      <c r="C3">
        <v>0</v>
      </c>
      <c r="D3">
        <v>39</v>
      </c>
      <c r="E3">
        <v>0</v>
      </c>
      <c r="F3">
        <v>318</v>
      </c>
      <c r="G3">
        <v>5</v>
      </c>
      <c r="H3">
        <v>7</v>
      </c>
      <c r="I3">
        <v>4</v>
      </c>
      <c r="J3">
        <v>2</v>
      </c>
      <c r="K3">
        <v>1</v>
      </c>
      <c r="L3">
        <v>2</v>
      </c>
      <c r="M3">
        <v>25</v>
      </c>
      <c r="N3">
        <v>46.034999999999997</v>
      </c>
      <c r="O3">
        <v>0</v>
      </c>
      <c r="P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" t="str">
        <f>IF(Table1[[#This Row],[Fraud_Score]]&gt;=6, "High Risk",IF(Table1[[#This Row],[Fraud_Score]]&gt;=3, "Medium Risk", "Low Risk"))</f>
        <v>Low Risk</v>
      </c>
      <c r="R3">
        <f>IF(Table1[[#This Row],[Seconds of Use]]=0,0,Table1[[#This Row],[Customer Value]]/Table1[[#This Row],[Seconds of Use]]*100)</f>
        <v>14.47641509433962</v>
      </c>
    </row>
    <row r="4" spans="1:18" x14ac:dyDescent="0.35">
      <c r="A4" s="3" t="s">
        <v>25</v>
      </c>
      <c r="B4">
        <v>10</v>
      </c>
      <c r="C4">
        <v>0</v>
      </c>
      <c r="D4">
        <v>37</v>
      </c>
      <c r="E4">
        <v>0</v>
      </c>
      <c r="F4">
        <v>2453</v>
      </c>
      <c r="G4">
        <v>60</v>
      </c>
      <c r="H4">
        <v>359</v>
      </c>
      <c r="I4">
        <v>24</v>
      </c>
      <c r="J4">
        <v>3</v>
      </c>
      <c r="K4">
        <v>1</v>
      </c>
      <c r="L4">
        <v>1</v>
      </c>
      <c r="M4">
        <v>30</v>
      </c>
      <c r="N4">
        <v>1536.52</v>
      </c>
      <c r="O4">
        <v>0</v>
      </c>
      <c r="P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" t="str">
        <f>IF(Table1[[#This Row],[Fraud_Score]]&gt;=6, "High Risk",IF(Table1[[#This Row],[Fraud_Score]]&gt;=3, "Medium Risk", "Low Risk"))</f>
        <v>Low Risk</v>
      </c>
      <c r="R4">
        <f>IF(Table1[[#This Row],[Seconds of Use]]=0,0,Table1[[#This Row],[Customer Value]]/Table1[[#This Row],[Seconds of Use]]*100)</f>
        <v>62.638401956787604</v>
      </c>
    </row>
    <row r="5" spans="1:18" x14ac:dyDescent="0.35">
      <c r="A5" s="3" t="s">
        <v>26</v>
      </c>
      <c r="B5">
        <v>10</v>
      </c>
      <c r="C5">
        <v>0</v>
      </c>
      <c r="D5">
        <v>38</v>
      </c>
      <c r="E5">
        <v>0</v>
      </c>
      <c r="F5">
        <v>4198</v>
      </c>
      <c r="G5">
        <v>66</v>
      </c>
      <c r="H5">
        <v>1</v>
      </c>
      <c r="I5">
        <v>35</v>
      </c>
      <c r="J5">
        <v>1</v>
      </c>
      <c r="K5">
        <v>1</v>
      </c>
      <c r="L5">
        <v>1</v>
      </c>
      <c r="M5">
        <v>15</v>
      </c>
      <c r="N5">
        <v>240.02</v>
      </c>
      <c r="O5">
        <v>0</v>
      </c>
      <c r="P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" t="str">
        <f>IF(Table1[[#This Row],[Fraud_Score]]&gt;=6, "High Risk",IF(Table1[[#This Row],[Fraud_Score]]&gt;=3, "Medium Risk", "Low Risk"))</f>
        <v>Low Risk</v>
      </c>
      <c r="R5">
        <f>IF(Table1[[#This Row],[Seconds of Use]]=0,0,Table1[[#This Row],[Customer Value]]/Table1[[#This Row],[Seconds of Use]]*100)</f>
        <v>5.7174845164363983</v>
      </c>
    </row>
    <row r="6" spans="1:18" x14ac:dyDescent="0.35">
      <c r="A6" s="3" t="s">
        <v>27</v>
      </c>
      <c r="B6">
        <v>3</v>
      </c>
      <c r="C6">
        <v>0</v>
      </c>
      <c r="D6">
        <v>38</v>
      </c>
      <c r="E6">
        <v>0</v>
      </c>
      <c r="F6">
        <v>2393</v>
      </c>
      <c r="G6">
        <v>58</v>
      </c>
      <c r="H6">
        <v>2</v>
      </c>
      <c r="I6">
        <v>33</v>
      </c>
      <c r="J6">
        <v>1</v>
      </c>
      <c r="K6">
        <v>1</v>
      </c>
      <c r="L6">
        <v>1</v>
      </c>
      <c r="M6">
        <v>15</v>
      </c>
      <c r="N6">
        <v>145.80500000000001</v>
      </c>
      <c r="O6">
        <v>0</v>
      </c>
      <c r="P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" t="str">
        <f>IF(Table1[[#This Row],[Fraud_Score]]&gt;=6, "High Risk",IF(Table1[[#This Row],[Fraud_Score]]&gt;=3, "Medium Risk", "Low Risk"))</f>
        <v>Low Risk</v>
      </c>
      <c r="R6">
        <f>IF(Table1[[#This Row],[Seconds of Use]]=0,0,Table1[[#This Row],[Customer Value]]/Table1[[#This Row],[Seconds of Use]]*100)</f>
        <v>6.0929795236105306</v>
      </c>
    </row>
    <row r="7" spans="1:18" x14ac:dyDescent="0.35">
      <c r="A7" s="3" t="s">
        <v>28</v>
      </c>
      <c r="B7">
        <v>11</v>
      </c>
      <c r="C7">
        <v>0</v>
      </c>
      <c r="D7">
        <v>38</v>
      </c>
      <c r="E7">
        <v>1</v>
      </c>
      <c r="F7">
        <v>3775</v>
      </c>
      <c r="G7">
        <v>82</v>
      </c>
      <c r="H7">
        <v>32</v>
      </c>
      <c r="I7">
        <v>28</v>
      </c>
      <c r="J7">
        <v>3</v>
      </c>
      <c r="K7">
        <v>1</v>
      </c>
      <c r="L7">
        <v>1</v>
      </c>
      <c r="M7">
        <v>30</v>
      </c>
      <c r="N7">
        <v>282.27999999999997</v>
      </c>
      <c r="O7">
        <v>0</v>
      </c>
      <c r="P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" t="str">
        <f>IF(Table1[[#This Row],[Fraud_Score]]&gt;=6, "High Risk",IF(Table1[[#This Row],[Fraud_Score]]&gt;=3, "Medium Risk", "Low Risk"))</f>
        <v>Low Risk</v>
      </c>
      <c r="R7">
        <f>IF(Table1[[#This Row],[Seconds of Use]]=0,0,Table1[[#This Row],[Customer Value]]/Table1[[#This Row],[Seconds of Use]]*100)</f>
        <v>7.4776158940397339</v>
      </c>
    </row>
    <row r="8" spans="1:18" x14ac:dyDescent="0.35">
      <c r="A8" s="3" t="s">
        <v>29</v>
      </c>
      <c r="B8">
        <v>4</v>
      </c>
      <c r="C8">
        <v>0</v>
      </c>
      <c r="D8">
        <v>38</v>
      </c>
      <c r="E8">
        <v>0</v>
      </c>
      <c r="F8">
        <v>2360</v>
      </c>
      <c r="G8">
        <v>39</v>
      </c>
      <c r="H8">
        <v>285</v>
      </c>
      <c r="I8">
        <v>18</v>
      </c>
      <c r="J8">
        <v>3</v>
      </c>
      <c r="K8">
        <v>1</v>
      </c>
      <c r="L8">
        <v>1</v>
      </c>
      <c r="M8">
        <v>30</v>
      </c>
      <c r="N8">
        <v>1235.96</v>
      </c>
      <c r="O8">
        <v>0</v>
      </c>
      <c r="P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" t="str">
        <f>IF(Table1[[#This Row],[Fraud_Score]]&gt;=6, "High Risk",IF(Table1[[#This Row],[Fraud_Score]]&gt;=3, "Medium Risk", "Low Risk"))</f>
        <v>Low Risk</v>
      </c>
      <c r="R8">
        <f>IF(Table1[[#This Row],[Seconds of Use]]=0,0,Table1[[#This Row],[Customer Value]]/Table1[[#This Row],[Seconds of Use]]*100)</f>
        <v>52.371186440677967</v>
      </c>
    </row>
    <row r="9" spans="1:18" x14ac:dyDescent="0.35">
      <c r="A9" s="3" t="s">
        <v>30</v>
      </c>
      <c r="B9">
        <v>13</v>
      </c>
      <c r="C9">
        <v>0</v>
      </c>
      <c r="D9">
        <v>37</v>
      </c>
      <c r="E9">
        <v>2</v>
      </c>
      <c r="F9">
        <v>9115</v>
      </c>
      <c r="G9">
        <v>121</v>
      </c>
      <c r="H9">
        <v>144</v>
      </c>
      <c r="I9">
        <v>43</v>
      </c>
      <c r="J9">
        <v>3</v>
      </c>
      <c r="K9">
        <v>1</v>
      </c>
      <c r="L9">
        <v>1</v>
      </c>
      <c r="M9">
        <v>30</v>
      </c>
      <c r="N9">
        <v>945.44</v>
      </c>
      <c r="O9">
        <v>0</v>
      </c>
      <c r="P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" t="str">
        <f>IF(Table1[[#This Row],[Fraud_Score]]&gt;=6, "High Risk",IF(Table1[[#This Row],[Fraud_Score]]&gt;=3, "Medium Risk", "Low Risk"))</f>
        <v>Low Risk</v>
      </c>
      <c r="R9">
        <f>IF(Table1[[#This Row],[Seconds of Use]]=0,0,Table1[[#This Row],[Customer Value]]/Table1[[#This Row],[Seconds of Use]]*100)</f>
        <v>10.372353263850796</v>
      </c>
    </row>
    <row r="10" spans="1:18" x14ac:dyDescent="0.35">
      <c r="A10" s="3" t="s">
        <v>31</v>
      </c>
      <c r="B10">
        <v>7</v>
      </c>
      <c r="C10">
        <v>0</v>
      </c>
      <c r="D10">
        <v>38</v>
      </c>
      <c r="E10">
        <v>0</v>
      </c>
      <c r="F10">
        <v>13773</v>
      </c>
      <c r="G10">
        <v>169</v>
      </c>
      <c r="H10">
        <v>0</v>
      </c>
      <c r="I10">
        <v>44</v>
      </c>
      <c r="J10">
        <v>3</v>
      </c>
      <c r="K10">
        <v>1</v>
      </c>
      <c r="L10">
        <v>1</v>
      </c>
      <c r="M10">
        <v>30</v>
      </c>
      <c r="N10">
        <v>557.67999999999995</v>
      </c>
      <c r="O10">
        <v>0</v>
      </c>
      <c r="P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" t="str">
        <f>IF(Table1[[#This Row],[Fraud_Score]]&gt;=6, "High Risk",IF(Table1[[#This Row],[Fraud_Score]]&gt;=3, "Medium Risk", "Low Risk"))</f>
        <v>Medium Risk</v>
      </c>
      <c r="R10">
        <f>IF(Table1[[#This Row],[Seconds of Use]]=0,0,Table1[[#This Row],[Customer Value]]/Table1[[#This Row],[Seconds of Use]]*100)</f>
        <v>4.0490815363392141</v>
      </c>
    </row>
    <row r="11" spans="1:18" x14ac:dyDescent="0.35">
      <c r="A11" s="3" t="s">
        <v>32</v>
      </c>
      <c r="B11">
        <v>7</v>
      </c>
      <c r="C11">
        <v>0</v>
      </c>
      <c r="D11">
        <v>38</v>
      </c>
      <c r="E11">
        <v>1</v>
      </c>
      <c r="F11">
        <v>4515</v>
      </c>
      <c r="G11">
        <v>83</v>
      </c>
      <c r="H11">
        <v>2</v>
      </c>
      <c r="I11">
        <v>25</v>
      </c>
      <c r="J11">
        <v>3</v>
      </c>
      <c r="K11">
        <v>1</v>
      </c>
      <c r="L11">
        <v>1</v>
      </c>
      <c r="M11">
        <v>30</v>
      </c>
      <c r="N11">
        <v>191.92</v>
      </c>
      <c r="O11">
        <v>0</v>
      </c>
      <c r="P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" t="str">
        <f>IF(Table1[[#This Row],[Fraud_Score]]&gt;=6, "High Risk",IF(Table1[[#This Row],[Fraud_Score]]&gt;=3, "Medium Risk", "Low Risk"))</f>
        <v>Low Risk</v>
      </c>
      <c r="R11">
        <f>IF(Table1[[#This Row],[Seconds of Use]]=0,0,Table1[[#This Row],[Customer Value]]/Table1[[#This Row],[Seconds of Use]]*100)</f>
        <v>4.2507198228128455</v>
      </c>
    </row>
    <row r="12" spans="1:18" x14ac:dyDescent="0.35">
      <c r="A12" s="3" t="s">
        <v>33</v>
      </c>
      <c r="B12">
        <v>6</v>
      </c>
      <c r="C12">
        <v>0</v>
      </c>
      <c r="D12">
        <v>38</v>
      </c>
      <c r="E12">
        <v>0</v>
      </c>
      <c r="F12">
        <v>5918</v>
      </c>
      <c r="G12">
        <v>95</v>
      </c>
      <c r="H12">
        <v>7</v>
      </c>
      <c r="I12">
        <v>12</v>
      </c>
      <c r="J12">
        <v>3</v>
      </c>
      <c r="K12">
        <v>1</v>
      </c>
      <c r="L12">
        <v>1</v>
      </c>
      <c r="M12">
        <v>30</v>
      </c>
      <c r="N12">
        <v>268.52</v>
      </c>
      <c r="O12">
        <v>0</v>
      </c>
      <c r="P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" t="str">
        <f>IF(Table1[[#This Row],[Fraud_Score]]&gt;=6, "High Risk",IF(Table1[[#This Row],[Fraud_Score]]&gt;=3, "Medium Risk", "Low Risk"))</f>
        <v>Low Risk</v>
      </c>
      <c r="R12">
        <f>IF(Table1[[#This Row],[Seconds of Use]]=0,0,Table1[[#This Row],[Customer Value]]/Table1[[#This Row],[Seconds of Use]]*100)</f>
        <v>4.5373436971949985</v>
      </c>
    </row>
    <row r="13" spans="1:18" x14ac:dyDescent="0.35">
      <c r="A13" s="3" t="s">
        <v>34</v>
      </c>
      <c r="B13">
        <v>9</v>
      </c>
      <c r="C13">
        <v>0</v>
      </c>
      <c r="D13">
        <v>38</v>
      </c>
      <c r="E13">
        <v>0</v>
      </c>
      <c r="F13">
        <v>2238</v>
      </c>
      <c r="G13">
        <v>54</v>
      </c>
      <c r="H13">
        <v>8</v>
      </c>
      <c r="I13">
        <v>17</v>
      </c>
      <c r="J13">
        <v>3</v>
      </c>
      <c r="K13">
        <v>1</v>
      </c>
      <c r="L13">
        <v>2</v>
      </c>
      <c r="M13">
        <v>30</v>
      </c>
      <c r="N13">
        <v>123.68</v>
      </c>
      <c r="O13">
        <v>0</v>
      </c>
      <c r="P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" t="str">
        <f>IF(Table1[[#This Row],[Fraud_Score]]&gt;=6, "High Risk",IF(Table1[[#This Row],[Fraud_Score]]&gt;=3, "Medium Risk", "Low Risk"))</f>
        <v>Low Risk</v>
      </c>
      <c r="R13">
        <f>IF(Table1[[#This Row],[Seconds of Use]]=0,0,Table1[[#This Row],[Customer Value]]/Table1[[#This Row],[Seconds of Use]]*100)</f>
        <v>5.5263628239499551</v>
      </c>
    </row>
    <row r="14" spans="1:18" x14ac:dyDescent="0.35">
      <c r="A14" s="3" t="s">
        <v>35</v>
      </c>
      <c r="B14">
        <v>25</v>
      </c>
      <c r="C14">
        <v>0</v>
      </c>
      <c r="D14">
        <v>38</v>
      </c>
      <c r="E14">
        <v>3</v>
      </c>
      <c r="F14">
        <v>15140</v>
      </c>
      <c r="G14">
        <v>225</v>
      </c>
      <c r="H14">
        <v>54</v>
      </c>
      <c r="I14">
        <v>32</v>
      </c>
      <c r="J14">
        <v>3</v>
      </c>
      <c r="K14">
        <v>1</v>
      </c>
      <c r="L14">
        <v>1</v>
      </c>
      <c r="M14">
        <v>30</v>
      </c>
      <c r="N14">
        <v>830.6</v>
      </c>
      <c r="O14">
        <v>0</v>
      </c>
      <c r="P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4" t="str">
        <f>IF(Table1[[#This Row],[Fraud_Score]]&gt;=6, "High Risk",IF(Table1[[#This Row],[Fraud_Score]]&gt;=3, "Medium Risk", "Low Risk"))</f>
        <v>Medium Risk</v>
      </c>
      <c r="R14">
        <f>IF(Table1[[#This Row],[Seconds of Use]]=0,0,Table1[[#This Row],[Customer Value]]/Table1[[#This Row],[Seconds of Use]]*100)</f>
        <v>5.4861294583883753</v>
      </c>
    </row>
    <row r="15" spans="1:18" x14ac:dyDescent="0.35">
      <c r="A15" s="3" t="s">
        <v>36</v>
      </c>
      <c r="B15">
        <v>4</v>
      </c>
      <c r="C15">
        <v>0</v>
      </c>
      <c r="D15">
        <v>38</v>
      </c>
      <c r="E15">
        <v>1</v>
      </c>
      <c r="F15">
        <v>3095</v>
      </c>
      <c r="G15">
        <v>27</v>
      </c>
      <c r="H15">
        <v>483</v>
      </c>
      <c r="I15">
        <v>8</v>
      </c>
      <c r="J15">
        <v>3</v>
      </c>
      <c r="K15">
        <v>1</v>
      </c>
      <c r="L15">
        <v>1</v>
      </c>
      <c r="M15">
        <v>30</v>
      </c>
      <c r="N15">
        <v>2056.88</v>
      </c>
      <c r="O15">
        <v>0</v>
      </c>
      <c r="P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" t="str">
        <f>IF(Table1[[#This Row],[Fraud_Score]]&gt;=6, "High Risk",IF(Table1[[#This Row],[Fraud_Score]]&gt;=3, "Medium Risk", "Low Risk"))</f>
        <v>Low Risk</v>
      </c>
      <c r="R15">
        <f>IF(Table1[[#This Row],[Seconds of Use]]=0,0,Table1[[#This Row],[Customer Value]]/Table1[[#This Row],[Seconds of Use]]*100)</f>
        <v>66.458158319870762</v>
      </c>
    </row>
    <row r="16" spans="1:18" x14ac:dyDescent="0.35">
      <c r="A16" s="3" t="s">
        <v>37</v>
      </c>
      <c r="B16">
        <v>9</v>
      </c>
      <c r="C16">
        <v>0</v>
      </c>
      <c r="D16">
        <v>37</v>
      </c>
      <c r="E16">
        <v>0</v>
      </c>
      <c r="F16">
        <v>15485</v>
      </c>
      <c r="G16">
        <v>182</v>
      </c>
      <c r="H16">
        <v>150</v>
      </c>
      <c r="I16">
        <v>30</v>
      </c>
      <c r="J16">
        <v>2</v>
      </c>
      <c r="K16">
        <v>1</v>
      </c>
      <c r="L16">
        <v>1</v>
      </c>
      <c r="M16">
        <v>25</v>
      </c>
      <c r="N16">
        <v>1380.0150000000001</v>
      </c>
      <c r="O16">
        <v>0</v>
      </c>
      <c r="P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" t="str">
        <f>IF(Table1[[#This Row],[Fraud_Score]]&gt;=6, "High Risk",IF(Table1[[#This Row],[Fraud_Score]]&gt;=3, "Medium Risk", "Low Risk"))</f>
        <v>Medium Risk</v>
      </c>
      <c r="R16">
        <f>IF(Table1[[#This Row],[Seconds of Use]]=0,0,Table1[[#This Row],[Customer Value]]/Table1[[#This Row],[Seconds of Use]]*100)</f>
        <v>8.9119470455279313</v>
      </c>
    </row>
    <row r="17" spans="1:18" x14ac:dyDescent="0.35">
      <c r="A17" s="3" t="s">
        <v>38</v>
      </c>
      <c r="B17">
        <v>3</v>
      </c>
      <c r="C17">
        <v>0</v>
      </c>
      <c r="D17">
        <v>37</v>
      </c>
      <c r="E17">
        <v>1</v>
      </c>
      <c r="F17">
        <v>6500</v>
      </c>
      <c r="G17">
        <v>86</v>
      </c>
      <c r="H17">
        <v>186</v>
      </c>
      <c r="I17">
        <v>26</v>
      </c>
      <c r="J17">
        <v>3</v>
      </c>
      <c r="K17">
        <v>1</v>
      </c>
      <c r="L17">
        <v>1</v>
      </c>
      <c r="M17">
        <v>30</v>
      </c>
      <c r="N17">
        <v>1007.44</v>
      </c>
      <c r="O17">
        <v>0</v>
      </c>
      <c r="P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" t="str">
        <f>IF(Table1[[#This Row],[Fraud_Score]]&gt;=6, "High Risk",IF(Table1[[#This Row],[Fraud_Score]]&gt;=3, "Medium Risk", "Low Risk"))</f>
        <v>Low Risk</v>
      </c>
      <c r="R17">
        <f>IF(Table1[[#This Row],[Seconds of Use]]=0,0,Table1[[#This Row],[Customer Value]]/Table1[[#This Row],[Seconds of Use]]*100)</f>
        <v>15.499076923076924</v>
      </c>
    </row>
    <row r="18" spans="1:18" x14ac:dyDescent="0.35">
      <c r="A18" s="3" t="s">
        <v>39</v>
      </c>
      <c r="B18">
        <v>0</v>
      </c>
      <c r="C18">
        <v>0</v>
      </c>
      <c r="D18">
        <v>37</v>
      </c>
      <c r="E18">
        <v>0</v>
      </c>
      <c r="F18">
        <v>875</v>
      </c>
      <c r="G18">
        <v>14</v>
      </c>
      <c r="H18">
        <v>0</v>
      </c>
      <c r="I18">
        <v>11</v>
      </c>
      <c r="J18">
        <v>2</v>
      </c>
      <c r="K18">
        <v>1</v>
      </c>
      <c r="L18">
        <v>2</v>
      </c>
      <c r="M18">
        <v>25</v>
      </c>
      <c r="N18">
        <v>40.005000000000003</v>
      </c>
      <c r="O18">
        <v>1</v>
      </c>
      <c r="P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" t="str">
        <f>IF(Table1[[#This Row],[Fraud_Score]]&gt;=6, "High Risk",IF(Table1[[#This Row],[Fraud_Score]]&gt;=3, "Medium Risk", "Low Risk"))</f>
        <v>Low Risk</v>
      </c>
      <c r="R18">
        <f>IF(Table1[[#This Row],[Seconds of Use]]=0,0,Table1[[#This Row],[Customer Value]]/Table1[[#This Row],[Seconds of Use]]*100)</f>
        <v>4.5720000000000001</v>
      </c>
    </row>
    <row r="19" spans="1:18" x14ac:dyDescent="0.35">
      <c r="A19" s="3" t="s">
        <v>40</v>
      </c>
      <c r="B19">
        <v>2</v>
      </c>
      <c r="C19">
        <v>0</v>
      </c>
      <c r="D19">
        <v>38</v>
      </c>
      <c r="E19">
        <v>0</v>
      </c>
      <c r="F19">
        <v>710</v>
      </c>
      <c r="G19">
        <v>14</v>
      </c>
      <c r="H19">
        <v>13</v>
      </c>
      <c r="I19">
        <v>8</v>
      </c>
      <c r="J19">
        <v>3</v>
      </c>
      <c r="K19">
        <v>1</v>
      </c>
      <c r="L19">
        <v>2</v>
      </c>
      <c r="M19">
        <v>30</v>
      </c>
      <c r="N19">
        <v>80.959999999999994</v>
      </c>
      <c r="O19">
        <v>0</v>
      </c>
      <c r="P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" t="str">
        <f>IF(Table1[[#This Row],[Fraud_Score]]&gt;=6, "High Risk",IF(Table1[[#This Row],[Fraud_Score]]&gt;=3, "Medium Risk", "Low Risk"))</f>
        <v>Low Risk</v>
      </c>
      <c r="R19">
        <f>IF(Table1[[#This Row],[Seconds of Use]]=0,0,Table1[[#This Row],[Customer Value]]/Table1[[#This Row],[Seconds of Use]]*100)</f>
        <v>11.40281690140845</v>
      </c>
    </row>
    <row r="20" spans="1:18" x14ac:dyDescent="0.35">
      <c r="A20" s="3" t="s">
        <v>41</v>
      </c>
      <c r="B20">
        <v>0</v>
      </c>
      <c r="C20">
        <v>0</v>
      </c>
      <c r="D20">
        <v>37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1</v>
      </c>
      <c r="L20">
        <v>2</v>
      </c>
      <c r="M20">
        <v>25</v>
      </c>
      <c r="N20">
        <v>0</v>
      </c>
      <c r="O20">
        <v>1</v>
      </c>
      <c r="P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" t="str">
        <f>IF(Table1[[#This Row],[Fraud_Score]]&gt;=6, "High Risk",IF(Table1[[#This Row],[Fraud_Score]]&gt;=3, "Medium Risk", "Low Risk"))</f>
        <v>Low Risk</v>
      </c>
      <c r="R20">
        <f>IF(Table1[[#This Row],[Seconds of Use]]=0,0,Table1[[#This Row],[Customer Value]]/Table1[[#This Row],[Seconds of Use]]*100)</f>
        <v>0</v>
      </c>
    </row>
    <row r="21" spans="1:18" x14ac:dyDescent="0.35">
      <c r="A21" s="3" t="s">
        <v>42</v>
      </c>
      <c r="B21">
        <v>3</v>
      </c>
      <c r="C21">
        <v>0</v>
      </c>
      <c r="D21">
        <v>37</v>
      </c>
      <c r="E21">
        <v>0</v>
      </c>
      <c r="F21">
        <v>7508</v>
      </c>
      <c r="G21">
        <v>127</v>
      </c>
      <c r="H21">
        <v>384</v>
      </c>
      <c r="I21">
        <v>43</v>
      </c>
      <c r="J21">
        <v>2</v>
      </c>
      <c r="K21">
        <v>1</v>
      </c>
      <c r="L21">
        <v>1</v>
      </c>
      <c r="M21">
        <v>25</v>
      </c>
      <c r="N21">
        <v>2071.5749999999998</v>
      </c>
      <c r="O21">
        <v>0</v>
      </c>
      <c r="P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" t="str">
        <f>IF(Table1[[#This Row],[Fraud_Score]]&gt;=6, "High Risk",IF(Table1[[#This Row],[Fraud_Score]]&gt;=3, "Medium Risk", "Low Risk"))</f>
        <v>Low Risk</v>
      </c>
      <c r="R21">
        <f>IF(Table1[[#This Row],[Seconds of Use]]=0,0,Table1[[#This Row],[Customer Value]]/Table1[[#This Row],[Seconds of Use]]*100)</f>
        <v>27.591568993074052</v>
      </c>
    </row>
    <row r="22" spans="1:18" x14ac:dyDescent="0.35">
      <c r="A22" s="3" t="s">
        <v>43</v>
      </c>
      <c r="B22">
        <v>7</v>
      </c>
      <c r="C22">
        <v>0</v>
      </c>
      <c r="D22">
        <v>37</v>
      </c>
      <c r="E22">
        <v>1</v>
      </c>
      <c r="F22">
        <v>11465</v>
      </c>
      <c r="G22">
        <v>154</v>
      </c>
      <c r="H22">
        <v>11</v>
      </c>
      <c r="I22">
        <v>47</v>
      </c>
      <c r="J22">
        <v>4</v>
      </c>
      <c r="K22">
        <v>1</v>
      </c>
      <c r="L22">
        <v>1</v>
      </c>
      <c r="M22">
        <v>45</v>
      </c>
      <c r="N22">
        <v>317.97500000000002</v>
      </c>
      <c r="O22">
        <v>0</v>
      </c>
      <c r="P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" t="str">
        <f>IF(Table1[[#This Row],[Fraud_Score]]&gt;=6, "High Risk",IF(Table1[[#This Row],[Fraud_Score]]&gt;=3, "Medium Risk", "Low Risk"))</f>
        <v>Low Risk</v>
      </c>
      <c r="R22">
        <f>IF(Table1[[#This Row],[Seconds of Use]]=0,0,Table1[[#This Row],[Customer Value]]/Table1[[#This Row],[Seconds of Use]]*100)</f>
        <v>2.7734409071085917</v>
      </c>
    </row>
    <row r="23" spans="1:18" x14ac:dyDescent="0.35">
      <c r="A23" s="3" t="s">
        <v>44</v>
      </c>
      <c r="B23">
        <v>8</v>
      </c>
      <c r="C23">
        <v>0</v>
      </c>
      <c r="D23">
        <v>37</v>
      </c>
      <c r="E23">
        <v>1</v>
      </c>
      <c r="F23">
        <v>6718</v>
      </c>
      <c r="G23">
        <v>75</v>
      </c>
      <c r="H23">
        <v>108</v>
      </c>
      <c r="I23">
        <v>37</v>
      </c>
      <c r="J23">
        <v>2</v>
      </c>
      <c r="K23">
        <v>1</v>
      </c>
      <c r="L23">
        <v>1</v>
      </c>
      <c r="M23">
        <v>25</v>
      </c>
      <c r="N23">
        <v>791.68499999999995</v>
      </c>
      <c r="O23">
        <v>0</v>
      </c>
      <c r="P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" t="str">
        <f>IF(Table1[[#This Row],[Fraud_Score]]&gt;=6, "High Risk",IF(Table1[[#This Row],[Fraud_Score]]&gt;=3, "Medium Risk", "Low Risk"))</f>
        <v>Low Risk</v>
      </c>
      <c r="R23">
        <f>IF(Table1[[#This Row],[Seconds of Use]]=0,0,Table1[[#This Row],[Customer Value]]/Table1[[#This Row],[Seconds of Use]]*100)</f>
        <v>11.784534087526048</v>
      </c>
    </row>
    <row r="24" spans="1:18" x14ac:dyDescent="0.35">
      <c r="A24" s="3" t="s">
        <v>45</v>
      </c>
      <c r="B24">
        <v>23</v>
      </c>
      <c r="C24">
        <v>1</v>
      </c>
      <c r="D24">
        <v>33</v>
      </c>
      <c r="E24">
        <v>0</v>
      </c>
      <c r="F24">
        <v>955</v>
      </c>
      <c r="G24">
        <v>47</v>
      </c>
      <c r="H24">
        <v>16</v>
      </c>
      <c r="I24">
        <v>17</v>
      </c>
      <c r="J24">
        <v>2</v>
      </c>
      <c r="K24">
        <v>1</v>
      </c>
      <c r="L24">
        <v>2</v>
      </c>
      <c r="M24">
        <v>25</v>
      </c>
      <c r="N24">
        <v>117.09</v>
      </c>
      <c r="O24">
        <v>1</v>
      </c>
      <c r="P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" t="str">
        <f>IF(Table1[[#This Row],[Fraud_Score]]&gt;=6, "High Risk",IF(Table1[[#This Row],[Fraud_Score]]&gt;=3, "Medium Risk", "Low Risk"))</f>
        <v>Medium Risk</v>
      </c>
      <c r="R24">
        <f>IF(Table1[[#This Row],[Seconds of Use]]=0,0,Table1[[#This Row],[Customer Value]]/Table1[[#This Row],[Seconds of Use]]*100)</f>
        <v>12.260732984293195</v>
      </c>
    </row>
    <row r="25" spans="1:18" x14ac:dyDescent="0.35">
      <c r="A25" s="3" t="s">
        <v>46</v>
      </c>
      <c r="B25">
        <v>21</v>
      </c>
      <c r="C25">
        <v>1</v>
      </c>
      <c r="D25">
        <v>36</v>
      </c>
      <c r="E25">
        <v>8</v>
      </c>
      <c r="F25">
        <v>10435</v>
      </c>
      <c r="G25">
        <v>93</v>
      </c>
      <c r="H25">
        <v>1</v>
      </c>
      <c r="I25">
        <v>42</v>
      </c>
      <c r="J25">
        <v>5</v>
      </c>
      <c r="K25">
        <v>2</v>
      </c>
      <c r="L25">
        <v>1</v>
      </c>
      <c r="M25">
        <v>55</v>
      </c>
      <c r="N25">
        <v>159.41999999999999</v>
      </c>
      <c r="O25">
        <v>0</v>
      </c>
      <c r="P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5" t="str">
        <f>IF(Table1[[#This Row],[Fraud_Score]]&gt;=6, "High Risk",IF(Table1[[#This Row],[Fraud_Score]]&gt;=3, "Medium Risk", "Low Risk"))</f>
        <v>Medium Risk</v>
      </c>
      <c r="R25">
        <f>IF(Table1[[#This Row],[Seconds of Use]]=0,0,Table1[[#This Row],[Customer Value]]/Table1[[#This Row],[Seconds of Use]]*100)</f>
        <v>1.5277431720172496</v>
      </c>
    </row>
    <row r="26" spans="1:18" x14ac:dyDescent="0.35">
      <c r="A26" s="3" t="s">
        <v>47</v>
      </c>
      <c r="B26">
        <v>13</v>
      </c>
      <c r="C26">
        <v>1</v>
      </c>
      <c r="D26">
        <v>36</v>
      </c>
      <c r="E26">
        <v>1</v>
      </c>
      <c r="F26">
        <v>5818</v>
      </c>
      <c r="G26">
        <v>98</v>
      </c>
      <c r="H26">
        <v>26</v>
      </c>
      <c r="I26">
        <v>24</v>
      </c>
      <c r="J26">
        <v>2</v>
      </c>
      <c r="K26">
        <v>1</v>
      </c>
      <c r="L26">
        <v>1</v>
      </c>
      <c r="M26">
        <v>25</v>
      </c>
      <c r="N26">
        <v>383.22</v>
      </c>
      <c r="O26">
        <v>1</v>
      </c>
      <c r="P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" t="str">
        <f>IF(Table1[[#This Row],[Fraud_Score]]&gt;=6, "High Risk",IF(Table1[[#This Row],[Fraud_Score]]&gt;=3, "Medium Risk", "Low Risk"))</f>
        <v>Medium Risk</v>
      </c>
      <c r="R26">
        <f>IF(Table1[[#This Row],[Seconds of Use]]=0,0,Table1[[#This Row],[Customer Value]]/Table1[[#This Row],[Seconds of Use]]*100)</f>
        <v>6.5867995874871088</v>
      </c>
    </row>
    <row r="27" spans="1:18" x14ac:dyDescent="0.35">
      <c r="A27" s="3" t="s">
        <v>48</v>
      </c>
      <c r="B27">
        <v>1</v>
      </c>
      <c r="C27">
        <v>0</v>
      </c>
      <c r="D27">
        <v>34</v>
      </c>
      <c r="E27">
        <v>0</v>
      </c>
      <c r="F27">
        <v>2840</v>
      </c>
      <c r="G27">
        <v>22</v>
      </c>
      <c r="H27">
        <v>0</v>
      </c>
      <c r="I27">
        <v>14</v>
      </c>
      <c r="J27">
        <v>3</v>
      </c>
      <c r="K27">
        <v>1</v>
      </c>
      <c r="L27">
        <v>1</v>
      </c>
      <c r="M27">
        <v>30</v>
      </c>
      <c r="N27">
        <v>114.48</v>
      </c>
      <c r="O27">
        <v>0</v>
      </c>
      <c r="P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" t="str">
        <f>IF(Table1[[#This Row],[Fraud_Score]]&gt;=6, "High Risk",IF(Table1[[#This Row],[Fraud_Score]]&gt;=3, "Medium Risk", "Low Risk"))</f>
        <v>Low Risk</v>
      </c>
      <c r="R27">
        <f>IF(Table1[[#This Row],[Seconds of Use]]=0,0,Table1[[#This Row],[Customer Value]]/Table1[[#This Row],[Seconds of Use]]*100)</f>
        <v>4.0309859154929581</v>
      </c>
    </row>
    <row r="28" spans="1:18" x14ac:dyDescent="0.35">
      <c r="A28" s="3" t="s">
        <v>49</v>
      </c>
      <c r="B28">
        <v>9</v>
      </c>
      <c r="C28">
        <v>0</v>
      </c>
      <c r="D28">
        <v>35</v>
      </c>
      <c r="E28">
        <v>0</v>
      </c>
      <c r="F28">
        <v>2990</v>
      </c>
      <c r="G28">
        <v>41</v>
      </c>
      <c r="H28">
        <v>9</v>
      </c>
      <c r="I28">
        <v>16</v>
      </c>
      <c r="J28">
        <v>3</v>
      </c>
      <c r="K28">
        <v>1</v>
      </c>
      <c r="L28">
        <v>2</v>
      </c>
      <c r="M28">
        <v>30</v>
      </c>
      <c r="N28">
        <v>157.24</v>
      </c>
      <c r="O28">
        <v>1</v>
      </c>
      <c r="P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" t="str">
        <f>IF(Table1[[#This Row],[Fraud_Score]]&gt;=6, "High Risk",IF(Table1[[#This Row],[Fraud_Score]]&gt;=3, "Medium Risk", "Low Risk"))</f>
        <v>Low Risk</v>
      </c>
      <c r="R28">
        <f>IF(Table1[[#This Row],[Seconds of Use]]=0,0,Table1[[#This Row],[Customer Value]]/Table1[[#This Row],[Seconds of Use]]*100)</f>
        <v>5.2588628762541809</v>
      </c>
    </row>
    <row r="29" spans="1:18" x14ac:dyDescent="0.35">
      <c r="A29" s="3" t="s">
        <v>50</v>
      </c>
      <c r="B29">
        <v>9</v>
      </c>
      <c r="C29">
        <v>1</v>
      </c>
      <c r="D29">
        <v>36</v>
      </c>
      <c r="E29">
        <v>0</v>
      </c>
      <c r="F29">
        <v>2268</v>
      </c>
      <c r="G29">
        <v>44</v>
      </c>
      <c r="H29">
        <v>34</v>
      </c>
      <c r="I29">
        <v>31</v>
      </c>
      <c r="J29">
        <v>3</v>
      </c>
      <c r="K29">
        <v>1</v>
      </c>
      <c r="L29">
        <v>2</v>
      </c>
      <c r="M29">
        <v>30</v>
      </c>
      <c r="N29">
        <v>228.48</v>
      </c>
      <c r="O29">
        <v>1</v>
      </c>
      <c r="P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" t="str">
        <f>IF(Table1[[#This Row],[Fraud_Score]]&gt;=6, "High Risk",IF(Table1[[#This Row],[Fraud_Score]]&gt;=3, "Medium Risk", "Low Risk"))</f>
        <v>Medium Risk</v>
      </c>
      <c r="R29">
        <f>IF(Table1[[#This Row],[Seconds of Use]]=0,0,Table1[[#This Row],[Customer Value]]/Table1[[#This Row],[Seconds of Use]]*100)</f>
        <v>10.074074074074074</v>
      </c>
    </row>
    <row r="30" spans="1:18" x14ac:dyDescent="0.35">
      <c r="A30" s="3" t="s">
        <v>51</v>
      </c>
      <c r="B30">
        <v>0</v>
      </c>
      <c r="C30">
        <v>0</v>
      </c>
      <c r="D30">
        <v>36</v>
      </c>
      <c r="E30">
        <v>0</v>
      </c>
      <c r="F30">
        <v>133</v>
      </c>
      <c r="G30">
        <v>2</v>
      </c>
      <c r="H30">
        <v>0</v>
      </c>
      <c r="I30">
        <v>2</v>
      </c>
      <c r="J30">
        <v>3</v>
      </c>
      <c r="K30">
        <v>1</v>
      </c>
      <c r="L30">
        <v>2</v>
      </c>
      <c r="M30">
        <v>30</v>
      </c>
      <c r="N30">
        <v>5.4</v>
      </c>
      <c r="O30">
        <v>1</v>
      </c>
      <c r="P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" t="str">
        <f>IF(Table1[[#This Row],[Fraud_Score]]&gt;=6, "High Risk",IF(Table1[[#This Row],[Fraud_Score]]&gt;=3, "Medium Risk", "Low Risk"))</f>
        <v>Low Risk</v>
      </c>
      <c r="R30">
        <f>IF(Table1[[#This Row],[Seconds of Use]]=0,0,Table1[[#This Row],[Customer Value]]/Table1[[#This Row],[Seconds of Use]]*100)</f>
        <v>4.0601503759398501</v>
      </c>
    </row>
    <row r="31" spans="1:18" x14ac:dyDescent="0.35">
      <c r="A31" s="3" t="s">
        <v>52</v>
      </c>
      <c r="B31">
        <v>1</v>
      </c>
      <c r="C31">
        <v>0</v>
      </c>
      <c r="D31">
        <v>36</v>
      </c>
      <c r="E31">
        <v>0</v>
      </c>
      <c r="F31">
        <v>1668</v>
      </c>
      <c r="G31">
        <v>25</v>
      </c>
      <c r="H31">
        <v>0</v>
      </c>
      <c r="I31">
        <v>6</v>
      </c>
      <c r="J31">
        <v>3</v>
      </c>
      <c r="K31">
        <v>1</v>
      </c>
      <c r="L31">
        <v>1</v>
      </c>
      <c r="M31">
        <v>30</v>
      </c>
      <c r="N31">
        <v>67.72</v>
      </c>
      <c r="O31">
        <v>0</v>
      </c>
      <c r="P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" t="str">
        <f>IF(Table1[[#This Row],[Fraud_Score]]&gt;=6, "High Risk",IF(Table1[[#This Row],[Fraud_Score]]&gt;=3, "Medium Risk", "Low Risk"))</f>
        <v>Low Risk</v>
      </c>
      <c r="R31">
        <f>IF(Table1[[#This Row],[Seconds of Use]]=0,0,Table1[[#This Row],[Customer Value]]/Table1[[#This Row],[Seconds of Use]]*100)</f>
        <v>4.0599520383693042</v>
      </c>
    </row>
    <row r="32" spans="1:18" x14ac:dyDescent="0.35">
      <c r="A32" s="3" t="s">
        <v>53</v>
      </c>
      <c r="B32">
        <v>3</v>
      </c>
      <c r="C32">
        <v>0</v>
      </c>
      <c r="D32">
        <v>33</v>
      </c>
      <c r="E32">
        <v>1</v>
      </c>
      <c r="F32">
        <v>6785</v>
      </c>
      <c r="G32">
        <v>97</v>
      </c>
      <c r="H32">
        <v>14</v>
      </c>
      <c r="I32">
        <v>22</v>
      </c>
      <c r="J32">
        <v>5</v>
      </c>
      <c r="K32">
        <v>1</v>
      </c>
      <c r="L32">
        <v>1</v>
      </c>
      <c r="M32">
        <v>55</v>
      </c>
      <c r="N32">
        <v>124.23</v>
      </c>
      <c r="O32">
        <v>0</v>
      </c>
      <c r="P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2" t="str">
        <f>IF(Table1[[#This Row],[Fraud_Score]]&gt;=6, "High Risk",IF(Table1[[#This Row],[Fraud_Score]]&gt;=3, "Medium Risk", "Low Risk"))</f>
        <v>Low Risk</v>
      </c>
      <c r="R32">
        <f>IF(Table1[[#This Row],[Seconds of Use]]=0,0,Table1[[#This Row],[Customer Value]]/Table1[[#This Row],[Seconds of Use]]*100)</f>
        <v>1.8309506263817246</v>
      </c>
    </row>
    <row r="33" spans="1:18" x14ac:dyDescent="0.35">
      <c r="A33" s="3" t="s">
        <v>54</v>
      </c>
      <c r="B33">
        <v>0</v>
      </c>
      <c r="C33">
        <v>1</v>
      </c>
      <c r="D33">
        <v>36</v>
      </c>
      <c r="E33">
        <v>0</v>
      </c>
      <c r="F33">
        <v>628</v>
      </c>
      <c r="G33">
        <v>7</v>
      </c>
      <c r="H33">
        <v>9</v>
      </c>
      <c r="I33">
        <v>4</v>
      </c>
      <c r="J33">
        <v>4</v>
      </c>
      <c r="K33">
        <v>1</v>
      </c>
      <c r="L33">
        <v>2</v>
      </c>
      <c r="M33">
        <v>45</v>
      </c>
      <c r="N33">
        <v>38.375</v>
      </c>
      <c r="O33">
        <v>1</v>
      </c>
      <c r="P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3" t="str">
        <f>IF(Table1[[#This Row],[Fraud_Score]]&gt;=6, "High Risk",IF(Table1[[#This Row],[Fraud_Score]]&gt;=3, "Medium Risk", "Low Risk"))</f>
        <v>Medium Risk</v>
      </c>
      <c r="R33">
        <f>IF(Table1[[#This Row],[Seconds of Use]]=0,0,Table1[[#This Row],[Customer Value]]/Table1[[#This Row],[Seconds of Use]]*100)</f>
        <v>6.1106687898089174</v>
      </c>
    </row>
    <row r="34" spans="1:18" x14ac:dyDescent="0.35">
      <c r="A34" s="3" t="s">
        <v>55</v>
      </c>
      <c r="B34">
        <v>0</v>
      </c>
      <c r="C34">
        <v>0</v>
      </c>
      <c r="D34">
        <v>36</v>
      </c>
      <c r="E34">
        <v>1</v>
      </c>
      <c r="F34">
        <v>338</v>
      </c>
      <c r="G34">
        <v>4</v>
      </c>
      <c r="H34">
        <v>4</v>
      </c>
      <c r="I34">
        <v>2</v>
      </c>
      <c r="J34">
        <v>5</v>
      </c>
      <c r="K34">
        <v>1</v>
      </c>
      <c r="L34">
        <v>1</v>
      </c>
      <c r="M34">
        <v>55</v>
      </c>
      <c r="N34">
        <v>11.13</v>
      </c>
      <c r="O34">
        <v>0</v>
      </c>
      <c r="P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4" t="str">
        <f>IF(Table1[[#This Row],[Fraud_Score]]&gt;=6, "High Risk",IF(Table1[[#This Row],[Fraud_Score]]&gt;=3, "Medium Risk", "Low Risk"))</f>
        <v>Low Risk</v>
      </c>
      <c r="R34">
        <f>IF(Table1[[#This Row],[Seconds of Use]]=0,0,Table1[[#This Row],[Customer Value]]/Table1[[#This Row],[Seconds of Use]]*100)</f>
        <v>3.2928994082840237</v>
      </c>
    </row>
    <row r="35" spans="1:18" x14ac:dyDescent="0.35">
      <c r="A35" s="3" t="s">
        <v>56</v>
      </c>
      <c r="B35">
        <v>25</v>
      </c>
      <c r="C35">
        <v>0</v>
      </c>
      <c r="D35">
        <v>31</v>
      </c>
      <c r="E35">
        <v>3</v>
      </c>
      <c r="F35">
        <v>16075</v>
      </c>
      <c r="G35">
        <v>238</v>
      </c>
      <c r="H35">
        <v>0</v>
      </c>
      <c r="I35">
        <v>80</v>
      </c>
      <c r="J35">
        <v>2</v>
      </c>
      <c r="K35">
        <v>2</v>
      </c>
      <c r="L35">
        <v>1</v>
      </c>
      <c r="M35">
        <v>25</v>
      </c>
      <c r="N35">
        <v>734.08500000000004</v>
      </c>
      <c r="O35">
        <v>0</v>
      </c>
      <c r="P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5" t="str">
        <f>IF(Table1[[#This Row],[Fraud_Score]]&gt;=6, "High Risk",IF(Table1[[#This Row],[Fraud_Score]]&gt;=3, "Medium Risk", "Low Risk"))</f>
        <v>Medium Risk</v>
      </c>
      <c r="R35">
        <f>IF(Table1[[#This Row],[Seconds of Use]]=0,0,Table1[[#This Row],[Customer Value]]/Table1[[#This Row],[Seconds of Use]]*100)</f>
        <v>4.5666251944012446</v>
      </c>
    </row>
    <row r="36" spans="1:18" x14ac:dyDescent="0.35">
      <c r="A36" s="3" t="s">
        <v>57</v>
      </c>
      <c r="B36">
        <v>6</v>
      </c>
      <c r="C36">
        <v>0</v>
      </c>
      <c r="D36">
        <v>34</v>
      </c>
      <c r="E36">
        <v>3</v>
      </c>
      <c r="F36">
        <v>6965</v>
      </c>
      <c r="G36">
        <v>116</v>
      </c>
      <c r="H36">
        <v>271</v>
      </c>
      <c r="I36">
        <v>33</v>
      </c>
      <c r="J36">
        <v>2</v>
      </c>
      <c r="K36">
        <v>2</v>
      </c>
      <c r="L36">
        <v>1</v>
      </c>
      <c r="M36">
        <v>25</v>
      </c>
      <c r="N36">
        <v>1538.145</v>
      </c>
      <c r="O36">
        <v>0</v>
      </c>
      <c r="P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6" t="str">
        <f>IF(Table1[[#This Row],[Fraud_Score]]&gt;=6, "High Risk",IF(Table1[[#This Row],[Fraud_Score]]&gt;=3, "Medium Risk", "Low Risk"))</f>
        <v>Low Risk</v>
      </c>
      <c r="R36">
        <f>IF(Table1[[#This Row],[Seconds of Use]]=0,0,Table1[[#This Row],[Customer Value]]/Table1[[#This Row],[Seconds of Use]]*100)</f>
        <v>22.083919597989947</v>
      </c>
    </row>
    <row r="37" spans="1:18" x14ac:dyDescent="0.35">
      <c r="A37" s="3" t="s">
        <v>58</v>
      </c>
      <c r="B37">
        <v>2</v>
      </c>
      <c r="C37">
        <v>0</v>
      </c>
      <c r="D37">
        <v>36</v>
      </c>
      <c r="E37">
        <v>0</v>
      </c>
      <c r="F37">
        <v>3718</v>
      </c>
      <c r="G37">
        <v>82</v>
      </c>
      <c r="H37">
        <v>2</v>
      </c>
      <c r="I37">
        <v>28</v>
      </c>
      <c r="J37">
        <v>2</v>
      </c>
      <c r="K37">
        <v>1</v>
      </c>
      <c r="L37">
        <v>1</v>
      </c>
      <c r="M37">
        <v>25</v>
      </c>
      <c r="N37">
        <v>180</v>
      </c>
      <c r="O37">
        <v>0</v>
      </c>
      <c r="P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7" t="str">
        <f>IF(Table1[[#This Row],[Fraud_Score]]&gt;=6, "High Risk",IF(Table1[[#This Row],[Fraud_Score]]&gt;=3, "Medium Risk", "Low Risk"))</f>
        <v>Low Risk</v>
      </c>
      <c r="R37">
        <f>IF(Table1[[#This Row],[Seconds of Use]]=0,0,Table1[[#This Row],[Customer Value]]/Table1[[#This Row],[Seconds of Use]]*100)</f>
        <v>4.8413125336202265</v>
      </c>
    </row>
    <row r="38" spans="1:18" x14ac:dyDescent="0.35">
      <c r="A38" s="3" t="s">
        <v>59</v>
      </c>
      <c r="B38">
        <v>3</v>
      </c>
      <c r="C38">
        <v>0</v>
      </c>
      <c r="D38">
        <v>35</v>
      </c>
      <c r="E38">
        <v>0</v>
      </c>
      <c r="F38">
        <v>1665</v>
      </c>
      <c r="G38">
        <v>44</v>
      </c>
      <c r="H38">
        <v>38</v>
      </c>
      <c r="I38">
        <v>20</v>
      </c>
      <c r="J38">
        <v>3</v>
      </c>
      <c r="K38">
        <v>1</v>
      </c>
      <c r="L38">
        <v>2</v>
      </c>
      <c r="M38">
        <v>30</v>
      </c>
      <c r="N38">
        <v>220.36</v>
      </c>
      <c r="O38">
        <v>0</v>
      </c>
      <c r="P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8" t="str">
        <f>IF(Table1[[#This Row],[Fraud_Score]]&gt;=6, "High Risk",IF(Table1[[#This Row],[Fraud_Score]]&gt;=3, "Medium Risk", "Low Risk"))</f>
        <v>Low Risk</v>
      </c>
      <c r="R38">
        <f>IF(Table1[[#This Row],[Seconds of Use]]=0,0,Table1[[#This Row],[Customer Value]]/Table1[[#This Row],[Seconds of Use]]*100)</f>
        <v>13.234834834834835</v>
      </c>
    </row>
    <row r="39" spans="1:18" x14ac:dyDescent="0.35">
      <c r="A39" s="3" t="s">
        <v>60</v>
      </c>
      <c r="B39">
        <v>6</v>
      </c>
      <c r="C39">
        <v>0</v>
      </c>
      <c r="D39">
        <v>36</v>
      </c>
      <c r="E39">
        <v>0</v>
      </c>
      <c r="F39">
        <v>2780</v>
      </c>
      <c r="G39">
        <v>53</v>
      </c>
      <c r="H39">
        <v>175</v>
      </c>
      <c r="I39">
        <v>23</v>
      </c>
      <c r="J39">
        <v>2</v>
      </c>
      <c r="K39">
        <v>1</v>
      </c>
      <c r="L39">
        <v>1</v>
      </c>
      <c r="M39">
        <v>25</v>
      </c>
      <c r="N39">
        <v>914.98500000000001</v>
      </c>
      <c r="O39">
        <v>0</v>
      </c>
      <c r="P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9" t="str">
        <f>IF(Table1[[#This Row],[Fraud_Score]]&gt;=6, "High Risk",IF(Table1[[#This Row],[Fraud_Score]]&gt;=3, "Medium Risk", "Low Risk"))</f>
        <v>Low Risk</v>
      </c>
      <c r="R39">
        <f>IF(Table1[[#This Row],[Seconds of Use]]=0,0,Table1[[#This Row],[Customer Value]]/Table1[[#This Row],[Seconds of Use]]*100)</f>
        <v>32.913129496402874</v>
      </c>
    </row>
    <row r="40" spans="1:18" x14ac:dyDescent="0.35">
      <c r="A40" s="3" t="s">
        <v>61</v>
      </c>
      <c r="B40">
        <v>4</v>
      </c>
      <c r="C40">
        <v>0</v>
      </c>
      <c r="D40">
        <v>27</v>
      </c>
      <c r="E40">
        <v>1</v>
      </c>
      <c r="F40">
        <v>1315</v>
      </c>
      <c r="G40">
        <v>36</v>
      </c>
      <c r="H40">
        <v>193</v>
      </c>
      <c r="I40">
        <v>11</v>
      </c>
      <c r="J40">
        <v>2</v>
      </c>
      <c r="K40">
        <v>2</v>
      </c>
      <c r="L40">
        <v>1</v>
      </c>
      <c r="M40">
        <v>25</v>
      </c>
      <c r="N40">
        <v>929.29499999999996</v>
      </c>
      <c r="O40">
        <v>0</v>
      </c>
      <c r="P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0" t="str">
        <f>IF(Table1[[#This Row],[Fraud_Score]]&gt;=6, "High Risk",IF(Table1[[#This Row],[Fraud_Score]]&gt;=3, "Medium Risk", "Low Risk"))</f>
        <v>Low Risk</v>
      </c>
      <c r="R40">
        <f>IF(Table1[[#This Row],[Seconds of Use]]=0,0,Table1[[#This Row],[Customer Value]]/Table1[[#This Row],[Seconds of Use]]*100)</f>
        <v>70.668821292775661</v>
      </c>
    </row>
    <row r="41" spans="1:18" x14ac:dyDescent="0.35">
      <c r="A41" s="3" t="s">
        <v>62</v>
      </c>
      <c r="B41">
        <v>4</v>
      </c>
      <c r="C41">
        <v>0</v>
      </c>
      <c r="D41">
        <v>26</v>
      </c>
      <c r="E41">
        <v>0</v>
      </c>
      <c r="F41">
        <v>1568</v>
      </c>
      <c r="G41">
        <v>39</v>
      </c>
      <c r="H41">
        <v>30</v>
      </c>
      <c r="I41">
        <v>68</v>
      </c>
      <c r="J41">
        <v>4</v>
      </c>
      <c r="K41">
        <v>1</v>
      </c>
      <c r="L41">
        <v>1</v>
      </c>
      <c r="M41">
        <v>45</v>
      </c>
      <c r="N41">
        <v>115.175</v>
      </c>
      <c r="O41">
        <v>0</v>
      </c>
      <c r="P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1" t="str">
        <f>IF(Table1[[#This Row],[Fraud_Score]]&gt;=6, "High Risk",IF(Table1[[#This Row],[Fraud_Score]]&gt;=3, "Medium Risk", "Low Risk"))</f>
        <v>Low Risk</v>
      </c>
      <c r="R41">
        <f>IF(Table1[[#This Row],[Seconds of Use]]=0,0,Table1[[#This Row],[Customer Value]]/Table1[[#This Row],[Seconds of Use]]*100)</f>
        <v>7.3453443877551026</v>
      </c>
    </row>
    <row r="42" spans="1:18" x14ac:dyDescent="0.35">
      <c r="A42" s="3" t="s">
        <v>63</v>
      </c>
      <c r="B42">
        <v>11</v>
      </c>
      <c r="C42">
        <v>0</v>
      </c>
      <c r="D42">
        <v>27</v>
      </c>
      <c r="E42">
        <v>0</v>
      </c>
      <c r="F42">
        <v>700</v>
      </c>
      <c r="G42">
        <v>25</v>
      </c>
      <c r="H42">
        <v>10</v>
      </c>
      <c r="I42">
        <v>7</v>
      </c>
      <c r="J42">
        <v>2</v>
      </c>
      <c r="K42">
        <v>1</v>
      </c>
      <c r="L42">
        <v>2</v>
      </c>
      <c r="M42">
        <v>25</v>
      </c>
      <c r="N42">
        <v>77.625</v>
      </c>
      <c r="O42">
        <v>0</v>
      </c>
      <c r="P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2" t="str">
        <f>IF(Table1[[#This Row],[Fraud_Score]]&gt;=6, "High Risk",IF(Table1[[#This Row],[Fraud_Score]]&gt;=3, "Medium Risk", "Low Risk"))</f>
        <v>Medium Risk</v>
      </c>
      <c r="R42">
        <f>IF(Table1[[#This Row],[Seconds of Use]]=0,0,Table1[[#This Row],[Customer Value]]/Table1[[#This Row],[Seconds of Use]]*100)</f>
        <v>11.089285714285714</v>
      </c>
    </row>
    <row r="43" spans="1:18" x14ac:dyDescent="0.35">
      <c r="A43" s="3" t="s">
        <v>64</v>
      </c>
      <c r="B43">
        <v>0</v>
      </c>
      <c r="C43">
        <v>0</v>
      </c>
      <c r="D43">
        <v>26</v>
      </c>
      <c r="E43">
        <v>0</v>
      </c>
      <c r="F43">
        <v>825</v>
      </c>
      <c r="G43">
        <v>10</v>
      </c>
      <c r="H43">
        <v>21</v>
      </c>
      <c r="I43">
        <v>3</v>
      </c>
      <c r="J43">
        <v>4</v>
      </c>
      <c r="K43">
        <v>1</v>
      </c>
      <c r="L43">
        <v>2</v>
      </c>
      <c r="M43">
        <v>45</v>
      </c>
      <c r="N43">
        <v>73.375</v>
      </c>
      <c r="O43">
        <v>1</v>
      </c>
      <c r="P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" t="str">
        <f>IF(Table1[[#This Row],[Fraud_Score]]&gt;=6, "High Risk",IF(Table1[[#This Row],[Fraud_Score]]&gt;=3, "Medium Risk", "Low Risk"))</f>
        <v>Low Risk</v>
      </c>
      <c r="R43">
        <f>IF(Table1[[#This Row],[Seconds of Use]]=0,0,Table1[[#This Row],[Customer Value]]/Table1[[#This Row],[Seconds of Use]]*100)</f>
        <v>8.8939393939393945</v>
      </c>
    </row>
    <row r="44" spans="1:18" x14ac:dyDescent="0.35">
      <c r="A44" s="3" t="s">
        <v>65</v>
      </c>
      <c r="B44">
        <v>10</v>
      </c>
      <c r="C44">
        <v>0</v>
      </c>
      <c r="D44">
        <v>25</v>
      </c>
      <c r="E44">
        <v>0</v>
      </c>
      <c r="F44">
        <v>1225</v>
      </c>
      <c r="G44">
        <v>32</v>
      </c>
      <c r="H44">
        <v>19</v>
      </c>
      <c r="I44">
        <v>13</v>
      </c>
      <c r="J44">
        <v>2</v>
      </c>
      <c r="K44">
        <v>1</v>
      </c>
      <c r="L44">
        <v>1</v>
      </c>
      <c r="M44">
        <v>25</v>
      </c>
      <c r="N44">
        <v>142.065</v>
      </c>
      <c r="O44">
        <v>0</v>
      </c>
      <c r="P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4" t="str">
        <f>IF(Table1[[#This Row],[Fraud_Score]]&gt;=6, "High Risk",IF(Table1[[#This Row],[Fraud_Score]]&gt;=3, "Medium Risk", "Low Risk"))</f>
        <v>Low Risk</v>
      </c>
      <c r="R44">
        <f>IF(Table1[[#This Row],[Seconds of Use]]=0,0,Table1[[#This Row],[Customer Value]]/Table1[[#This Row],[Seconds of Use]]*100)</f>
        <v>11.597142857142858</v>
      </c>
    </row>
    <row r="45" spans="1:18" x14ac:dyDescent="0.35">
      <c r="A45" s="3" t="s">
        <v>66</v>
      </c>
      <c r="B45">
        <v>2</v>
      </c>
      <c r="C45">
        <v>0</v>
      </c>
      <c r="D45">
        <v>25</v>
      </c>
      <c r="E45">
        <v>0</v>
      </c>
      <c r="F45">
        <v>3225</v>
      </c>
      <c r="G45">
        <v>61</v>
      </c>
      <c r="H45">
        <v>8</v>
      </c>
      <c r="I45">
        <v>23</v>
      </c>
      <c r="J45">
        <v>3</v>
      </c>
      <c r="K45">
        <v>1</v>
      </c>
      <c r="L45">
        <v>1</v>
      </c>
      <c r="M45">
        <v>30</v>
      </c>
      <c r="N45">
        <v>163.44</v>
      </c>
      <c r="O45">
        <v>0</v>
      </c>
      <c r="P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5" t="str">
        <f>IF(Table1[[#This Row],[Fraud_Score]]&gt;=6, "High Risk",IF(Table1[[#This Row],[Fraud_Score]]&gt;=3, "Medium Risk", "Low Risk"))</f>
        <v>Low Risk</v>
      </c>
      <c r="R45">
        <f>IF(Table1[[#This Row],[Seconds of Use]]=0,0,Table1[[#This Row],[Customer Value]]/Table1[[#This Row],[Seconds of Use]]*100)</f>
        <v>5.0679069767441858</v>
      </c>
    </row>
    <row r="46" spans="1:18" x14ac:dyDescent="0.35">
      <c r="A46" s="3" t="s">
        <v>67</v>
      </c>
      <c r="B46">
        <v>2</v>
      </c>
      <c r="C46">
        <v>0</v>
      </c>
      <c r="D46">
        <v>18</v>
      </c>
      <c r="E46">
        <v>0</v>
      </c>
      <c r="F46">
        <v>1695</v>
      </c>
      <c r="G46">
        <v>26</v>
      </c>
      <c r="H46">
        <v>28</v>
      </c>
      <c r="I46">
        <v>14</v>
      </c>
      <c r="J46">
        <v>2</v>
      </c>
      <c r="K46">
        <v>1</v>
      </c>
      <c r="L46">
        <v>1</v>
      </c>
      <c r="M46">
        <v>25</v>
      </c>
      <c r="N46">
        <v>203.44499999999999</v>
      </c>
      <c r="O46">
        <v>0</v>
      </c>
      <c r="P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6" t="str">
        <f>IF(Table1[[#This Row],[Fraud_Score]]&gt;=6, "High Risk",IF(Table1[[#This Row],[Fraud_Score]]&gt;=3, "Medium Risk", "Low Risk"))</f>
        <v>Low Risk</v>
      </c>
      <c r="R46">
        <f>IF(Table1[[#This Row],[Seconds of Use]]=0,0,Table1[[#This Row],[Customer Value]]/Table1[[#This Row],[Seconds of Use]]*100)</f>
        <v>12.002654867256638</v>
      </c>
    </row>
    <row r="47" spans="1:18" x14ac:dyDescent="0.35">
      <c r="A47" s="3" t="s">
        <v>68</v>
      </c>
      <c r="B47">
        <v>16</v>
      </c>
      <c r="C47">
        <v>0</v>
      </c>
      <c r="D47">
        <v>17</v>
      </c>
      <c r="E47">
        <v>1</v>
      </c>
      <c r="F47">
        <v>6393</v>
      </c>
      <c r="G47">
        <v>141</v>
      </c>
      <c r="H47">
        <v>85</v>
      </c>
      <c r="I47">
        <v>42</v>
      </c>
      <c r="J47">
        <v>2</v>
      </c>
      <c r="K47">
        <v>2</v>
      </c>
      <c r="L47">
        <v>1</v>
      </c>
      <c r="M47">
        <v>25</v>
      </c>
      <c r="N47">
        <v>676.53</v>
      </c>
      <c r="O47">
        <v>0</v>
      </c>
      <c r="P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47" t="str">
        <f>IF(Table1[[#This Row],[Fraud_Score]]&gt;=6, "High Risk",IF(Table1[[#This Row],[Fraud_Score]]&gt;=3, "Medium Risk", "Low Risk"))</f>
        <v>Medium Risk</v>
      </c>
      <c r="R47">
        <f>IF(Table1[[#This Row],[Seconds of Use]]=0,0,Table1[[#This Row],[Customer Value]]/Table1[[#This Row],[Seconds of Use]]*100)</f>
        <v>10.582355701548568</v>
      </c>
    </row>
    <row r="48" spans="1:18" x14ac:dyDescent="0.35">
      <c r="A48" s="3" t="s">
        <v>69</v>
      </c>
      <c r="B48">
        <v>12</v>
      </c>
      <c r="C48">
        <v>0</v>
      </c>
      <c r="D48">
        <v>15</v>
      </c>
      <c r="E48">
        <v>0</v>
      </c>
      <c r="F48">
        <v>8933</v>
      </c>
      <c r="G48">
        <v>171</v>
      </c>
      <c r="H48">
        <v>73</v>
      </c>
      <c r="I48">
        <v>40</v>
      </c>
      <c r="J48">
        <v>4</v>
      </c>
      <c r="K48">
        <v>1</v>
      </c>
      <c r="L48">
        <v>1</v>
      </c>
      <c r="M48">
        <v>45</v>
      </c>
      <c r="N48">
        <v>410.1</v>
      </c>
      <c r="O48">
        <v>0</v>
      </c>
      <c r="P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8" t="str">
        <f>IF(Table1[[#This Row],[Fraud_Score]]&gt;=6, "High Risk",IF(Table1[[#This Row],[Fraud_Score]]&gt;=3, "Medium Risk", "Low Risk"))</f>
        <v>Medium Risk</v>
      </c>
      <c r="R48">
        <f>IF(Table1[[#This Row],[Seconds of Use]]=0,0,Table1[[#This Row],[Customer Value]]/Table1[[#This Row],[Seconds of Use]]*100)</f>
        <v>4.5908429419008172</v>
      </c>
    </row>
    <row r="49" spans="1:18" x14ac:dyDescent="0.35">
      <c r="A49" s="3" t="s">
        <v>70</v>
      </c>
      <c r="B49">
        <v>8</v>
      </c>
      <c r="C49">
        <v>0</v>
      </c>
      <c r="D49">
        <v>16</v>
      </c>
      <c r="E49">
        <v>3</v>
      </c>
      <c r="F49">
        <v>2853</v>
      </c>
      <c r="G49">
        <v>45</v>
      </c>
      <c r="H49">
        <v>31</v>
      </c>
      <c r="I49">
        <v>19</v>
      </c>
      <c r="J49">
        <v>3</v>
      </c>
      <c r="K49">
        <v>2</v>
      </c>
      <c r="L49">
        <v>1</v>
      </c>
      <c r="M49">
        <v>30</v>
      </c>
      <c r="N49">
        <v>239.92</v>
      </c>
      <c r="O49">
        <v>0</v>
      </c>
      <c r="P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9" t="str">
        <f>IF(Table1[[#This Row],[Fraud_Score]]&gt;=6, "High Risk",IF(Table1[[#This Row],[Fraud_Score]]&gt;=3, "Medium Risk", "Low Risk"))</f>
        <v>Low Risk</v>
      </c>
      <c r="R49">
        <f>IF(Table1[[#This Row],[Seconds of Use]]=0,0,Table1[[#This Row],[Customer Value]]/Table1[[#This Row],[Seconds of Use]]*100)</f>
        <v>8.4093936207500875</v>
      </c>
    </row>
    <row r="50" spans="1:18" x14ac:dyDescent="0.35">
      <c r="A50" s="3" t="s">
        <v>71</v>
      </c>
      <c r="B50">
        <v>2</v>
      </c>
      <c r="C50">
        <v>0</v>
      </c>
      <c r="D50">
        <v>9</v>
      </c>
      <c r="E50">
        <v>1</v>
      </c>
      <c r="F50">
        <v>4390</v>
      </c>
      <c r="G50">
        <v>40</v>
      </c>
      <c r="H50">
        <v>215</v>
      </c>
      <c r="I50">
        <v>10</v>
      </c>
      <c r="J50">
        <v>3</v>
      </c>
      <c r="K50">
        <v>1</v>
      </c>
      <c r="L50">
        <v>1</v>
      </c>
      <c r="M50">
        <v>30</v>
      </c>
      <c r="N50">
        <v>1037.2</v>
      </c>
      <c r="O50">
        <v>0</v>
      </c>
      <c r="P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0" t="str">
        <f>IF(Table1[[#This Row],[Fraud_Score]]&gt;=6, "High Risk",IF(Table1[[#This Row],[Fraud_Score]]&gt;=3, "Medium Risk", "Low Risk"))</f>
        <v>Low Risk</v>
      </c>
      <c r="R50">
        <f>IF(Table1[[#This Row],[Seconds of Use]]=0,0,Table1[[#This Row],[Customer Value]]/Table1[[#This Row],[Seconds of Use]]*100)</f>
        <v>23.626423690205012</v>
      </c>
    </row>
    <row r="51" spans="1:18" x14ac:dyDescent="0.35">
      <c r="A51" s="3" t="s">
        <v>72</v>
      </c>
      <c r="B51">
        <v>3</v>
      </c>
      <c r="C51">
        <v>0</v>
      </c>
      <c r="D51">
        <v>9</v>
      </c>
      <c r="E51">
        <v>1</v>
      </c>
      <c r="F51">
        <v>1488</v>
      </c>
      <c r="G51">
        <v>19</v>
      </c>
      <c r="H51">
        <v>0</v>
      </c>
      <c r="I51">
        <v>7</v>
      </c>
      <c r="J51">
        <v>3</v>
      </c>
      <c r="K51">
        <v>1</v>
      </c>
      <c r="L51">
        <v>1</v>
      </c>
      <c r="M51">
        <v>30</v>
      </c>
      <c r="N51">
        <v>60.28</v>
      </c>
      <c r="O51">
        <v>1</v>
      </c>
      <c r="P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1" t="str">
        <f>IF(Table1[[#This Row],[Fraud_Score]]&gt;=6, "High Risk",IF(Table1[[#This Row],[Fraud_Score]]&gt;=3, "Medium Risk", "Low Risk"))</f>
        <v>Low Risk</v>
      </c>
      <c r="R51">
        <f>IF(Table1[[#This Row],[Seconds of Use]]=0,0,Table1[[#This Row],[Customer Value]]/Table1[[#This Row],[Seconds of Use]]*100)</f>
        <v>4.051075268817204</v>
      </c>
    </row>
    <row r="52" spans="1:18" x14ac:dyDescent="0.35">
      <c r="A52" s="3" t="s">
        <v>73</v>
      </c>
      <c r="B52">
        <v>11</v>
      </c>
      <c r="C52">
        <v>0</v>
      </c>
      <c r="D52">
        <v>40</v>
      </c>
      <c r="E52">
        <v>1</v>
      </c>
      <c r="F52">
        <v>4430</v>
      </c>
      <c r="G52">
        <v>74</v>
      </c>
      <c r="H52">
        <v>10</v>
      </c>
      <c r="I52">
        <v>19</v>
      </c>
      <c r="J52">
        <v>3</v>
      </c>
      <c r="K52">
        <v>1</v>
      </c>
      <c r="L52">
        <v>1</v>
      </c>
      <c r="M52">
        <v>30</v>
      </c>
      <c r="N52">
        <v>220.16</v>
      </c>
      <c r="O52">
        <v>0</v>
      </c>
      <c r="P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2" t="str">
        <f>IF(Table1[[#This Row],[Fraud_Score]]&gt;=6, "High Risk",IF(Table1[[#This Row],[Fraud_Score]]&gt;=3, "Medium Risk", "Low Risk"))</f>
        <v>Low Risk</v>
      </c>
      <c r="R52">
        <f>IF(Table1[[#This Row],[Seconds of Use]]=0,0,Table1[[#This Row],[Customer Value]]/Table1[[#This Row],[Seconds of Use]]*100)</f>
        <v>4.9697516930022569</v>
      </c>
    </row>
    <row r="53" spans="1:18" x14ac:dyDescent="0.35">
      <c r="A53" s="3" t="s">
        <v>74</v>
      </c>
      <c r="B53">
        <v>3</v>
      </c>
      <c r="C53">
        <v>0</v>
      </c>
      <c r="D53">
        <v>41</v>
      </c>
      <c r="E53">
        <v>1</v>
      </c>
      <c r="F53">
        <v>378</v>
      </c>
      <c r="G53">
        <v>8</v>
      </c>
      <c r="H53">
        <v>12</v>
      </c>
      <c r="I53">
        <v>6</v>
      </c>
      <c r="J53">
        <v>3</v>
      </c>
      <c r="K53">
        <v>1</v>
      </c>
      <c r="L53">
        <v>1</v>
      </c>
      <c r="M53">
        <v>30</v>
      </c>
      <c r="N53">
        <v>63.44</v>
      </c>
      <c r="O53">
        <v>0</v>
      </c>
      <c r="P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3" t="str">
        <f>IF(Table1[[#This Row],[Fraud_Score]]&gt;=6, "High Risk",IF(Table1[[#This Row],[Fraud_Score]]&gt;=3, "Medium Risk", "Low Risk"))</f>
        <v>Low Risk</v>
      </c>
      <c r="R53">
        <f>IF(Table1[[#This Row],[Seconds of Use]]=0,0,Table1[[#This Row],[Customer Value]]/Table1[[#This Row],[Seconds of Use]]*100)</f>
        <v>16.783068783068781</v>
      </c>
    </row>
    <row r="54" spans="1:18" x14ac:dyDescent="0.35">
      <c r="A54" s="3" t="s">
        <v>75</v>
      </c>
      <c r="B54">
        <v>13</v>
      </c>
      <c r="C54">
        <v>0</v>
      </c>
      <c r="D54">
        <v>39</v>
      </c>
      <c r="E54">
        <v>1</v>
      </c>
      <c r="F54">
        <v>2513</v>
      </c>
      <c r="G54">
        <v>63</v>
      </c>
      <c r="H54">
        <v>364</v>
      </c>
      <c r="I54">
        <v>26</v>
      </c>
      <c r="J54">
        <v>3</v>
      </c>
      <c r="K54">
        <v>1</v>
      </c>
      <c r="L54">
        <v>1</v>
      </c>
      <c r="M54">
        <v>30</v>
      </c>
      <c r="N54">
        <v>1559.04</v>
      </c>
      <c r="O54">
        <v>0</v>
      </c>
      <c r="P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4" t="str">
        <f>IF(Table1[[#This Row],[Fraud_Score]]&gt;=6, "High Risk",IF(Table1[[#This Row],[Fraud_Score]]&gt;=3, "Medium Risk", "Low Risk"))</f>
        <v>Low Risk</v>
      </c>
      <c r="R54">
        <f>IF(Table1[[#This Row],[Seconds of Use]]=0,0,Table1[[#This Row],[Customer Value]]/Table1[[#This Row],[Seconds of Use]]*100)</f>
        <v>62.038997214484681</v>
      </c>
    </row>
    <row r="55" spans="1:18" x14ac:dyDescent="0.35">
      <c r="A55" s="3" t="s">
        <v>76</v>
      </c>
      <c r="B55">
        <v>13</v>
      </c>
      <c r="C55">
        <v>0</v>
      </c>
      <c r="D55">
        <v>40</v>
      </c>
      <c r="E55">
        <v>1</v>
      </c>
      <c r="F55">
        <v>4258</v>
      </c>
      <c r="G55">
        <v>69</v>
      </c>
      <c r="H55">
        <v>6</v>
      </c>
      <c r="I55">
        <v>37</v>
      </c>
      <c r="J55">
        <v>1</v>
      </c>
      <c r="K55">
        <v>1</v>
      </c>
      <c r="L55">
        <v>1</v>
      </c>
      <c r="M55">
        <v>15</v>
      </c>
      <c r="N55">
        <v>270.98500000000001</v>
      </c>
      <c r="O55">
        <v>0</v>
      </c>
      <c r="P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5" t="str">
        <f>IF(Table1[[#This Row],[Fraud_Score]]&gt;=6, "High Risk",IF(Table1[[#This Row],[Fraud_Score]]&gt;=3, "Medium Risk", "Low Risk"))</f>
        <v>Low Risk</v>
      </c>
      <c r="R55">
        <f>IF(Table1[[#This Row],[Seconds of Use]]=0,0,Table1[[#This Row],[Customer Value]]/Table1[[#This Row],[Seconds of Use]]*100)</f>
        <v>6.3641380930014089</v>
      </c>
    </row>
    <row r="56" spans="1:18" x14ac:dyDescent="0.35">
      <c r="A56" s="3" t="s">
        <v>77</v>
      </c>
      <c r="B56">
        <v>6</v>
      </c>
      <c r="C56">
        <v>0</v>
      </c>
      <c r="D56">
        <v>40</v>
      </c>
      <c r="E56">
        <v>1</v>
      </c>
      <c r="F56">
        <v>2453</v>
      </c>
      <c r="G56">
        <v>61</v>
      </c>
      <c r="H56">
        <v>7</v>
      </c>
      <c r="I56">
        <v>35</v>
      </c>
      <c r="J56">
        <v>2</v>
      </c>
      <c r="K56">
        <v>1</v>
      </c>
      <c r="L56">
        <v>1</v>
      </c>
      <c r="M56">
        <v>25</v>
      </c>
      <c r="N56">
        <v>144.63</v>
      </c>
      <c r="O56">
        <v>0</v>
      </c>
      <c r="P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6" t="str">
        <f>IF(Table1[[#This Row],[Fraud_Score]]&gt;=6, "High Risk",IF(Table1[[#This Row],[Fraud_Score]]&gt;=3, "Medium Risk", "Low Risk"))</f>
        <v>Low Risk</v>
      </c>
      <c r="R56">
        <f>IF(Table1[[#This Row],[Seconds of Use]]=0,0,Table1[[#This Row],[Customer Value]]/Table1[[#This Row],[Seconds of Use]]*100)</f>
        <v>5.8960456583774965</v>
      </c>
    </row>
    <row r="57" spans="1:18" x14ac:dyDescent="0.35">
      <c r="A57" s="3" t="s">
        <v>78</v>
      </c>
      <c r="B57">
        <v>14</v>
      </c>
      <c r="C57">
        <v>0</v>
      </c>
      <c r="D57">
        <v>40</v>
      </c>
      <c r="E57">
        <v>2</v>
      </c>
      <c r="F57">
        <v>3835</v>
      </c>
      <c r="G57">
        <v>85</v>
      </c>
      <c r="H57">
        <v>37</v>
      </c>
      <c r="I57">
        <v>30</v>
      </c>
      <c r="J57">
        <v>3</v>
      </c>
      <c r="K57">
        <v>2</v>
      </c>
      <c r="L57">
        <v>1</v>
      </c>
      <c r="M57">
        <v>30</v>
      </c>
      <c r="N57">
        <v>304.8</v>
      </c>
      <c r="O57">
        <v>0</v>
      </c>
      <c r="P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7" t="str">
        <f>IF(Table1[[#This Row],[Fraud_Score]]&gt;=6, "High Risk",IF(Table1[[#This Row],[Fraud_Score]]&gt;=3, "Medium Risk", "Low Risk"))</f>
        <v>Low Risk</v>
      </c>
      <c r="R57">
        <f>IF(Table1[[#This Row],[Seconds of Use]]=0,0,Table1[[#This Row],[Customer Value]]/Table1[[#This Row],[Seconds of Use]]*100)</f>
        <v>7.9478487614080846</v>
      </c>
    </row>
    <row r="58" spans="1:18" x14ac:dyDescent="0.35">
      <c r="A58" s="3" t="s">
        <v>79</v>
      </c>
      <c r="B58">
        <v>7</v>
      </c>
      <c r="C58">
        <v>0</v>
      </c>
      <c r="D58">
        <v>40</v>
      </c>
      <c r="E58">
        <v>1</v>
      </c>
      <c r="F58">
        <v>2420</v>
      </c>
      <c r="G58">
        <v>42</v>
      </c>
      <c r="H58">
        <v>290</v>
      </c>
      <c r="I58">
        <v>20</v>
      </c>
      <c r="J58">
        <v>3</v>
      </c>
      <c r="K58">
        <v>1</v>
      </c>
      <c r="L58">
        <v>1</v>
      </c>
      <c r="M58">
        <v>30</v>
      </c>
      <c r="N58">
        <v>1258.48</v>
      </c>
      <c r="O58">
        <v>0</v>
      </c>
      <c r="P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8" t="str">
        <f>IF(Table1[[#This Row],[Fraud_Score]]&gt;=6, "High Risk",IF(Table1[[#This Row],[Fraud_Score]]&gt;=3, "Medium Risk", "Low Risk"))</f>
        <v>Low Risk</v>
      </c>
      <c r="R58">
        <f>IF(Table1[[#This Row],[Seconds of Use]]=0,0,Table1[[#This Row],[Customer Value]]/Table1[[#This Row],[Seconds of Use]]*100)</f>
        <v>52.003305785123963</v>
      </c>
    </row>
    <row r="59" spans="1:18" x14ac:dyDescent="0.35">
      <c r="A59" s="3" t="s">
        <v>80</v>
      </c>
      <c r="B59">
        <v>16</v>
      </c>
      <c r="C59">
        <v>0</v>
      </c>
      <c r="D59">
        <v>39</v>
      </c>
      <c r="E59">
        <v>3</v>
      </c>
      <c r="F59">
        <v>9175</v>
      </c>
      <c r="G59">
        <v>124</v>
      </c>
      <c r="H59">
        <v>149</v>
      </c>
      <c r="I59">
        <v>45</v>
      </c>
      <c r="J59">
        <v>3</v>
      </c>
      <c r="K59">
        <v>1</v>
      </c>
      <c r="L59">
        <v>1</v>
      </c>
      <c r="M59">
        <v>30</v>
      </c>
      <c r="N59">
        <v>967.96</v>
      </c>
      <c r="O59">
        <v>0</v>
      </c>
      <c r="P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9" t="str">
        <f>IF(Table1[[#This Row],[Fraud_Score]]&gt;=6, "High Risk",IF(Table1[[#This Row],[Fraud_Score]]&gt;=3, "Medium Risk", "Low Risk"))</f>
        <v>Low Risk</v>
      </c>
      <c r="R59">
        <f>IF(Table1[[#This Row],[Seconds of Use]]=0,0,Table1[[#This Row],[Customer Value]]/Table1[[#This Row],[Seconds of Use]]*100)</f>
        <v>10.549972752043598</v>
      </c>
    </row>
    <row r="60" spans="1:18" x14ac:dyDescent="0.35">
      <c r="A60" s="3" t="s">
        <v>81</v>
      </c>
      <c r="B60">
        <v>10</v>
      </c>
      <c r="C60">
        <v>0</v>
      </c>
      <c r="D60">
        <v>40</v>
      </c>
      <c r="E60">
        <v>1</v>
      </c>
      <c r="F60">
        <v>13833</v>
      </c>
      <c r="G60">
        <v>172</v>
      </c>
      <c r="H60">
        <v>5</v>
      </c>
      <c r="I60">
        <v>46</v>
      </c>
      <c r="J60">
        <v>3</v>
      </c>
      <c r="K60">
        <v>1</v>
      </c>
      <c r="L60">
        <v>1</v>
      </c>
      <c r="M60">
        <v>30</v>
      </c>
      <c r="N60">
        <v>580.20000000000005</v>
      </c>
      <c r="O60">
        <v>0</v>
      </c>
      <c r="P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0" t="str">
        <f>IF(Table1[[#This Row],[Fraud_Score]]&gt;=6, "High Risk",IF(Table1[[#This Row],[Fraud_Score]]&gt;=3, "Medium Risk", "Low Risk"))</f>
        <v>Low Risk</v>
      </c>
      <c r="R60">
        <f>IF(Table1[[#This Row],[Seconds of Use]]=0,0,Table1[[#This Row],[Customer Value]]/Table1[[#This Row],[Seconds of Use]]*100)</f>
        <v>4.1943179353719371</v>
      </c>
    </row>
    <row r="61" spans="1:18" x14ac:dyDescent="0.35">
      <c r="A61" s="3" t="s">
        <v>82</v>
      </c>
      <c r="B61">
        <v>10</v>
      </c>
      <c r="C61">
        <v>0</v>
      </c>
      <c r="D61">
        <v>40</v>
      </c>
      <c r="E61">
        <v>2</v>
      </c>
      <c r="F61">
        <v>4575</v>
      </c>
      <c r="G61">
        <v>86</v>
      </c>
      <c r="H61">
        <v>7</v>
      </c>
      <c r="I61">
        <v>27</v>
      </c>
      <c r="J61">
        <v>3</v>
      </c>
      <c r="K61">
        <v>1</v>
      </c>
      <c r="L61">
        <v>1</v>
      </c>
      <c r="M61">
        <v>30</v>
      </c>
      <c r="N61">
        <v>214.44</v>
      </c>
      <c r="O61">
        <v>0</v>
      </c>
      <c r="P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1" t="str">
        <f>IF(Table1[[#This Row],[Fraud_Score]]&gt;=6, "High Risk",IF(Table1[[#This Row],[Fraud_Score]]&gt;=3, "Medium Risk", "Low Risk"))</f>
        <v>Low Risk</v>
      </c>
      <c r="R61">
        <f>IF(Table1[[#This Row],[Seconds of Use]]=0,0,Table1[[#This Row],[Customer Value]]/Table1[[#This Row],[Seconds of Use]]*100)</f>
        <v>4.6872131147540985</v>
      </c>
    </row>
    <row r="62" spans="1:18" x14ac:dyDescent="0.35">
      <c r="A62" s="3" t="s">
        <v>83</v>
      </c>
      <c r="B62">
        <v>9</v>
      </c>
      <c r="C62">
        <v>0</v>
      </c>
      <c r="D62">
        <v>40</v>
      </c>
      <c r="E62">
        <v>1</v>
      </c>
      <c r="F62">
        <v>5978</v>
      </c>
      <c r="G62">
        <v>98</v>
      </c>
      <c r="H62">
        <v>12</v>
      </c>
      <c r="I62">
        <v>14</v>
      </c>
      <c r="J62">
        <v>3</v>
      </c>
      <c r="K62">
        <v>1</v>
      </c>
      <c r="L62">
        <v>1</v>
      </c>
      <c r="M62">
        <v>30</v>
      </c>
      <c r="N62">
        <v>291.04000000000002</v>
      </c>
      <c r="O62">
        <v>0</v>
      </c>
      <c r="P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2" t="str">
        <f>IF(Table1[[#This Row],[Fraud_Score]]&gt;=6, "High Risk",IF(Table1[[#This Row],[Fraud_Score]]&gt;=3, "Medium Risk", "Low Risk"))</f>
        <v>Low Risk</v>
      </c>
      <c r="R62">
        <f>IF(Table1[[#This Row],[Seconds of Use]]=0,0,Table1[[#This Row],[Customer Value]]/Table1[[#This Row],[Seconds of Use]]*100)</f>
        <v>4.8685178989628639</v>
      </c>
    </row>
    <row r="63" spans="1:18" x14ac:dyDescent="0.35">
      <c r="A63" s="3" t="s">
        <v>84</v>
      </c>
      <c r="B63">
        <v>12</v>
      </c>
      <c r="C63">
        <v>0</v>
      </c>
      <c r="D63">
        <v>40</v>
      </c>
      <c r="E63">
        <v>1</v>
      </c>
      <c r="F63">
        <v>2298</v>
      </c>
      <c r="G63">
        <v>57</v>
      </c>
      <c r="H63">
        <v>13</v>
      </c>
      <c r="I63">
        <v>19</v>
      </c>
      <c r="J63">
        <v>3</v>
      </c>
      <c r="K63">
        <v>1</v>
      </c>
      <c r="L63">
        <v>1</v>
      </c>
      <c r="M63">
        <v>30</v>
      </c>
      <c r="N63">
        <v>146.19999999999999</v>
      </c>
      <c r="O63">
        <v>0</v>
      </c>
      <c r="P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3" t="str">
        <f>IF(Table1[[#This Row],[Fraud_Score]]&gt;=6, "High Risk",IF(Table1[[#This Row],[Fraud_Score]]&gt;=3, "Medium Risk", "Low Risk"))</f>
        <v>Low Risk</v>
      </c>
      <c r="R63">
        <f>IF(Table1[[#This Row],[Seconds of Use]]=0,0,Table1[[#This Row],[Customer Value]]/Table1[[#This Row],[Seconds of Use]]*100)</f>
        <v>6.362053959965186</v>
      </c>
    </row>
    <row r="64" spans="1:18" x14ac:dyDescent="0.35">
      <c r="A64" s="3" t="s">
        <v>85</v>
      </c>
      <c r="B64">
        <v>28</v>
      </c>
      <c r="C64">
        <v>0</v>
      </c>
      <c r="D64">
        <v>40</v>
      </c>
      <c r="E64">
        <v>4</v>
      </c>
      <c r="F64">
        <v>15200</v>
      </c>
      <c r="G64">
        <v>228</v>
      </c>
      <c r="H64">
        <v>59</v>
      </c>
      <c r="I64">
        <v>34</v>
      </c>
      <c r="J64">
        <v>3</v>
      </c>
      <c r="K64">
        <v>1</v>
      </c>
      <c r="L64">
        <v>1</v>
      </c>
      <c r="M64">
        <v>30</v>
      </c>
      <c r="N64">
        <v>853.12</v>
      </c>
      <c r="O64">
        <v>0</v>
      </c>
      <c r="P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64" t="str">
        <f>IF(Table1[[#This Row],[Fraud_Score]]&gt;=6, "High Risk",IF(Table1[[#This Row],[Fraud_Score]]&gt;=3, "Medium Risk", "Low Risk"))</f>
        <v>Medium Risk</v>
      </c>
      <c r="R64">
        <f>IF(Table1[[#This Row],[Seconds of Use]]=0,0,Table1[[#This Row],[Customer Value]]/Table1[[#This Row],[Seconds of Use]]*100)</f>
        <v>5.6126315789473686</v>
      </c>
    </row>
    <row r="65" spans="1:18" x14ac:dyDescent="0.35">
      <c r="A65" s="3" t="s">
        <v>86</v>
      </c>
      <c r="B65">
        <v>7</v>
      </c>
      <c r="C65">
        <v>0</v>
      </c>
      <c r="D65">
        <v>40</v>
      </c>
      <c r="E65">
        <v>2</v>
      </c>
      <c r="F65">
        <v>3155</v>
      </c>
      <c r="G65">
        <v>30</v>
      </c>
      <c r="H65">
        <v>488</v>
      </c>
      <c r="I65">
        <v>10</v>
      </c>
      <c r="J65">
        <v>3</v>
      </c>
      <c r="K65">
        <v>1</v>
      </c>
      <c r="L65">
        <v>1</v>
      </c>
      <c r="M65">
        <v>30</v>
      </c>
      <c r="N65">
        <v>2079.4</v>
      </c>
      <c r="O65">
        <v>0</v>
      </c>
      <c r="P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5" t="str">
        <f>IF(Table1[[#This Row],[Fraud_Score]]&gt;=6, "High Risk",IF(Table1[[#This Row],[Fraud_Score]]&gt;=3, "Medium Risk", "Low Risk"))</f>
        <v>Low Risk</v>
      </c>
      <c r="R65">
        <f>IF(Table1[[#This Row],[Seconds of Use]]=0,0,Table1[[#This Row],[Customer Value]]/Table1[[#This Row],[Seconds of Use]]*100)</f>
        <v>65.908082408874805</v>
      </c>
    </row>
    <row r="66" spans="1:18" x14ac:dyDescent="0.35">
      <c r="A66" s="3" t="s">
        <v>87</v>
      </c>
      <c r="B66">
        <v>12</v>
      </c>
      <c r="C66">
        <v>0</v>
      </c>
      <c r="D66">
        <v>39</v>
      </c>
      <c r="E66">
        <v>1</v>
      </c>
      <c r="F66">
        <v>15545</v>
      </c>
      <c r="G66">
        <v>185</v>
      </c>
      <c r="H66">
        <v>155</v>
      </c>
      <c r="I66">
        <v>32</v>
      </c>
      <c r="J66">
        <v>2</v>
      </c>
      <c r="K66">
        <v>1</v>
      </c>
      <c r="L66">
        <v>1</v>
      </c>
      <c r="M66">
        <v>25</v>
      </c>
      <c r="N66">
        <v>1405.35</v>
      </c>
      <c r="O66">
        <v>0</v>
      </c>
      <c r="P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66" t="str">
        <f>IF(Table1[[#This Row],[Fraud_Score]]&gt;=6, "High Risk",IF(Table1[[#This Row],[Fraud_Score]]&gt;=3, "Medium Risk", "Low Risk"))</f>
        <v>Medium Risk</v>
      </c>
      <c r="R66">
        <f>IF(Table1[[#This Row],[Seconds of Use]]=0,0,Table1[[#This Row],[Customer Value]]/Table1[[#This Row],[Seconds of Use]]*100)</f>
        <v>9.0405275008041155</v>
      </c>
    </row>
    <row r="67" spans="1:18" x14ac:dyDescent="0.35">
      <c r="A67" s="3" t="s">
        <v>88</v>
      </c>
      <c r="B67">
        <v>6</v>
      </c>
      <c r="C67">
        <v>0</v>
      </c>
      <c r="D67">
        <v>39</v>
      </c>
      <c r="E67">
        <v>2</v>
      </c>
      <c r="F67">
        <v>6560</v>
      </c>
      <c r="G67">
        <v>89</v>
      </c>
      <c r="H67">
        <v>191</v>
      </c>
      <c r="I67">
        <v>28</v>
      </c>
      <c r="J67">
        <v>3</v>
      </c>
      <c r="K67">
        <v>1</v>
      </c>
      <c r="L67">
        <v>1</v>
      </c>
      <c r="M67">
        <v>30</v>
      </c>
      <c r="N67">
        <v>1029.96</v>
      </c>
      <c r="O67">
        <v>0</v>
      </c>
      <c r="P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7" t="str">
        <f>IF(Table1[[#This Row],[Fraud_Score]]&gt;=6, "High Risk",IF(Table1[[#This Row],[Fraud_Score]]&gt;=3, "Medium Risk", "Low Risk"))</f>
        <v>Low Risk</v>
      </c>
      <c r="R67">
        <f>IF(Table1[[#This Row],[Seconds of Use]]=0,0,Table1[[#This Row],[Customer Value]]/Table1[[#This Row],[Seconds of Use]]*100)</f>
        <v>15.700609756097561</v>
      </c>
    </row>
    <row r="68" spans="1:18" x14ac:dyDescent="0.35">
      <c r="A68" s="3" t="s">
        <v>89</v>
      </c>
      <c r="B68">
        <v>3</v>
      </c>
      <c r="C68">
        <v>0</v>
      </c>
      <c r="D68">
        <v>39</v>
      </c>
      <c r="E68">
        <v>1</v>
      </c>
      <c r="F68">
        <v>935</v>
      </c>
      <c r="G68">
        <v>17</v>
      </c>
      <c r="H68">
        <v>5</v>
      </c>
      <c r="I68">
        <v>13</v>
      </c>
      <c r="J68">
        <v>2</v>
      </c>
      <c r="K68">
        <v>1</v>
      </c>
      <c r="L68">
        <v>1</v>
      </c>
      <c r="M68">
        <v>25</v>
      </c>
      <c r="N68">
        <v>65.34</v>
      </c>
      <c r="O68">
        <v>0</v>
      </c>
      <c r="P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8" t="str">
        <f>IF(Table1[[#This Row],[Fraud_Score]]&gt;=6, "High Risk",IF(Table1[[#This Row],[Fraud_Score]]&gt;=3, "Medium Risk", "Low Risk"))</f>
        <v>Low Risk</v>
      </c>
      <c r="R68">
        <f>IF(Table1[[#This Row],[Seconds of Use]]=0,0,Table1[[#This Row],[Customer Value]]/Table1[[#This Row],[Seconds of Use]]*100)</f>
        <v>6.988235294117648</v>
      </c>
    </row>
    <row r="69" spans="1:18" x14ac:dyDescent="0.35">
      <c r="A69" s="3" t="s">
        <v>90</v>
      </c>
      <c r="B69">
        <v>5</v>
      </c>
      <c r="C69">
        <v>0</v>
      </c>
      <c r="D69">
        <v>40</v>
      </c>
      <c r="E69">
        <v>1</v>
      </c>
      <c r="F69">
        <v>770</v>
      </c>
      <c r="G69">
        <v>17</v>
      </c>
      <c r="H69">
        <v>18</v>
      </c>
      <c r="I69">
        <v>10</v>
      </c>
      <c r="J69">
        <v>3</v>
      </c>
      <c r="K69">
        <v>1</v>
      </c>
      <c r="L69">
        <v>1</v>
      </c>
      <c r="M69">
        <v>30</v>
      </c>
      <c r="N69">
        <v>103.48</v>
      </c>
      <c r="O69">
        <v>0</v>
      </c>
      <c r="P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9" t="str">
        <f>IF(Table1[[#This Row],[Fraud_Score]]&gt;=6, "High Risk",IF(Table1[[#This Row],[Fraud_Score]]&gt;=3, "Medium Risk", "Low Risk"))</f>
        <v>Low Risk</v>
      </c>
      <c r="R69">
        <f>IF(Table1[[#This Row],[Seconds of Use]]=0,0,Table1[[#This Row],[Customer Value]]/Table1[[#This Row],[Seconds of Use]]*100)</f>
        <v>13.43896103896104</v>
      </c>
    </row>
    <row r="70" spans="1:18" x14ac:dyDescent="0.35">
      <c r="A70" s="3" t="s">
        <v>91</v>
      </c>
      <c r="B70">
        <v>3</v>
      </c>
      <c r="C70">
        <v>1</v>
      </c>
      <c r="D70">
        <v>39</v>
      </c>
      <c r="E70">
        <v>1</v>
      </c>
      <c r="F70">
        <v>60</v>
      </c>
      <c r="G70">
        <v>3</v>
      </c>
      <c r="H70">
        <v>5</v>
      </c>
      <c r="I70">
        <v>2</v>
      </c>
      <c r="J70">
        <v>2</v>
      </c>
      <c r="K70">
        <v>1</v>
      </c>
      <c r="L70">
        <v>1</v>
      </c>
      <c r="M70">
        <v>25</v>
      </c>
      <c r="N70">
        <v>25.335000000000001</v>
      </c>
      <c r="O70">
        <v>1</v>
      </c>
      <c r="P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0" t="str">
        <f>IF(Table1[[#This Row],[Fraud_Score]]&gt;=6, "High Risk",IF(Table1[[#This Row],[Fraud_Score]]&gt;=3, "Medium Risk", "Low Risk"))</f>
        <v>Low Risk</v>
      </c>
      <c r="R70">
        <f>IF(Table1[[#This Row],[Seconds of Use]]=0,0,Table1[[#This Row],[Customer Value]]/Table1[[#This Row],[Seconds of Use]]*100)</f>
        <v>42.225000000000001</v>
      </c>
    </row>
    <row r="71" spans="1:18" x14ac:dyDescent="0.35">
      <c r="A71" s="3" t="s">
        <v>92</v>
      </c>
      <c r="B71">
        <v>6</v>
      </c>
      <c r="C71">
        <v>0</v>
      </c>
      <c r="D71">
        <v>39</v>
      </c>
      <c r="E71">
        <v>1</v>
      </c>
      <c r="F71">
        <v>7568</v>
      </c>
      <c r="G71">
        <v>130</v>
      </c>
      <c r="H71">
        <v>389</v>
      </c>
      <c r="I71">
        <v>45</v>
      </c>
      <c r="J71">
        <v>3</v>
      </c>
      <c r="K71">
        <v>1</v>
      </c>
      <c r="L71">
        <v>1</v>
      </c>
      <c r="M71">
        <v>30</v>
      </c>
      <c r="N71">
        <v>1863.92</v>
      </c>
      <c r="O71">
        <v>0</v>
      </c>
      <c r="P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1" t="str">
        <f>IF(Table1[[#This Row],[Fraud_Score]]&gt;=6, "High Risk",IF(Table1[[#This Row],[Fraud_Score]]&gt;=3, "Medium Risk", "Low Risk"))</f>
        <v>Low Risk</v>
      </c>
      <c r="R71">
        <f>IF(Table1[[#This Row],[Seconds of Use]]=0,0,Table1[[#This Row],[Customer Value]]/Table1[[#This Row],[Seconds of Use]]*100)</f>
        <v>24.628964059196619</v>
      </c>
    </row>
    <row r="72" spans="1:18" x14ac:dyDescent="0.35">
      <c r="A72" s="3" t="s">
        <v>93</v>
      </c>
      <c r="B72">
        <v>10</v>
      </c>
      <c r="C72">
        <v>0</v>
      </c>
      <c r="D72">
        <v>39</v>
      </c>
      <c r="E72">
        <v>2</v>
      </c>
      <c r="F72">
        <v>11525</v>
      </c>
      <c r="G72">
        <v>157</v>
      </c>
      <c r="H72">
        <v>16</v>
      </c>
      <c r="I72">
        <v>49</v>
      </c>
      <c r="J72">
        <v>4</v>
      </c>
      <c r="K72">
        <v>2</v>
      </c>
      <c r="L72">
        <v>1</v>
      </c>
      <c r="M72">
        <v>45</v>
      </c>
      <c r="N72">
        <v>332.05</v>
      </c>
      <c r="O72">
        <v>0</v>
      </c>
      <c r="P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2" t="str">
        <f>IF(Table1[[#This Row],[Fraud_Score]]&gt;=6, "High Risk",IF(Table1[[#This Row],[Fraud_Score]]&gt;=3, "Medium Risk", "Low Risk"))</f>
        <v>Medium Risk</v>
      </c>
      <c r="R72">
        <f>IF(Table1[[#This Row],[Seconds of Use]]=0,0,Table1[[#This Row],[Customer Value]]/Table1[[#This Row],[Seconds of Use]]*100)</f>
        <v>2.8811279826464209</v>
      </c>
    </row>
    <row r="73" spans="1:18" x14ac:dyDescent="0.35">
      <c r="A73" s="3" t="s">
        <v>94</v>
      </c>
      <c r="B73">
        <v>11</v>
      </c>
      <c r="C73">
        <v>0</v>
      </c>
      <c r="D73">
        <v>39</v>
      </c>
      <c r="E73">
        <v>2</v>
      </c>
      <c r="F73">
        <v>6778</v>
      </c>
      <c r="G73">
        <v>78</v>
      </c>
      <c r="H73">
        <v>113</v>
      </c>
      <c r="I73">
        <v>39</v>
      </c>
      <c r="J73">
        <v>2</v>
      </c>
      <c r="K73">
        <v>1</v>
      </c>
      <c r="L73">
        <v>1</v>
      </c>
      <c r="M73">
        <v>25</v>
      </c>
      <c r="N73">
        <v>817.02</v>
      </c>
      <c r="O73">
        <v>0</v>
      </c>
      <c r="P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3" t="str">
        <f>IF(Table1[[#This Row],[Fraud_Score]]&gt;=6, "High Risk",IF(Table1[[#This Row],[Fraud_Score]]&gt;=3, "Medium Risk", "Low Risk"))</f>
        <v>Low Risk</v>
      </c>
      <c r="R73">
        <f>IF(Table1[[#This Row],[Seconds of Use]]=0,0,Table1[[#This Row],[Customer Value]]/Table1[[#This Row],[Seconds of Use]]*100)</f>
        <v>12.053998229566243</v>
      </c>
    </row>
    <row r="74" spans="1:18" x14ac:dyDescent="0.35">
      <c r="A74" s="3" t="s">
        <v>95</v>
      </c>
      <c r="B74">
        <v>26</v>
      </c>
      <c r="C74">
        <v>1</v>
      </c>
      <c r="D74">
        <v>35</v>
      </c>
      <c r="E74">
        <v>1</v>
      </c>
      <c r="F74">
        <v>1015</v>
      </c>
      <c r="G74">
        <v>50</v>
      </c>
      <c r="H74">
        <v>21</v>
      </c>
      <c r="I74">
        <v>19</v>
      </c>
      <c r="J74">
        <v>3</v>
      </c>
      <c r="K74">
        <v>1</v>
      </c>
      <c r="L74">
        <v>1</v>
      </c>
      <c r="M74">
        <v>30</v>
      </c>
      <c r="N74">
        <v>126.6</v>
      </c>
      <c r="O74">
        <v>1</v>
      </c>
      <c r="P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74" t="str">
        <f>IF(Table1[[#This Row],[Fraud_Score]]&gt;=6, "High Risk",IF(Table1[[#This Row],[Fraud_Score]]&gt;=3, "Medium Risk", "Low Risk"))</f>
        <v>Medium Risk</v>
      </c>
      <c r="R74">
        <f>IF(Table1[[#This Row],[Seconds of Use]]=0,0,Table1[[#This Row],[Customer Value]]/Table1[[#This Row],[Seconds of Use]]*100)</f>
        <v>12.472906403940886</v>
      </c>
    </row>
    <row r="75" spans="1:18" x14ac:dyDescent="0.35">
      <c r="A75" s="3" t="s">
        <v>96</v>
      </c>
      <c r="B75">
        <v>24</v>
      </c>
      <c r="C75">
        <v>1</v>
      </c>
      <c r="D75">
        <v>38</v>
      </c>
      <c r="E75">
        <v>9</v>
      </c>
      <c r="F75">
        <v>10495</v>
      </c>
      <c r="G75">
        <v>96</v>
      </c>
      <c r="H75">
        <v>6</v>
      </c>
      <c r="I75">
        <v>44</v>
      </c>
      <c r="J75">
        <v>5</v>
      </c>
      <c r="K75">
        <v>2</v>
      </c>
      <c r="L75">
        <v>1</v>
      </c>
      <c r="M75">
        <v>55</v>
      </c>
      <c r="N75">
        <v>167.86500000000001</v>
      </c>
      <c r="O75">
        <v>0</v>
      </c>
      <c r="P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75" t="str">
        <f>IF(Table1[[#This Row],[Fraud_Score]]&gt;=6, "High Risk",IF(Table1[[#This Row],[Fraud_Score]]&gt;=3, "Medium Risk", "Low Risk"))</f>
        <v>Medium Risk</v>
      </c>
      <c r="R75">
        <f>IF(Table1[[#This Row],[Seconds of Use]]=0,0,Table1[[#This Row],[Customer Value]]/Table1[[#This Row],[Seconds of Use]]*100)</f>
        <v>1.5994759409242498</v>
      </c>
    </row>
    <row r="76" spans="1:18" x14ac:dyDescent="0.35">
      <c r="A76" s="3" t="s">
        <v>97</v>
      </c>
      <c r="B76">
        <v>16</v>
      </c>
      <c r="C76">
        <v>0</v>
      </c>
      <c r="D76">
        <v>38</v>
      </c>
      <c r="E76">
        <v>2</v>
      </c>
      <c r="F76">
        <v>5878</v>
      </c>
      <c r="G76">
        <v>101</v>
      </c>
      <c r="H76">
        <v>31</v>
      </c>
      <c r="I76">
        <v>26</v>
      </c>
      <c r="J76">
        <v>2</v>
      </c>
      <c r="K76">
        <v>1</v>
      </c>
      <c r="L76">
        <v>1</v>
      </c>
      <c r="M76">
        <v>25</v>
      </c>
      <c r="N76">
        <v>408.55500000000001</v>
      </c>
      <c r="O76">
        <v>0</v>
      </c>
      <c r="P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6" t="str">
        <f>IF(Table1[[#This Row],[Fraud_Score]]&gt;=6, "High Risk",IF(Table1[[#This Row],[Fraud_Score]]&gt;=3, "Medium Risk", "Low Risk"))</f>
        <v>Low Risk</v>
      </c>
      <c r="R76">
        <f>IF(Table1[[#This Row],[Seconds of Use]]=0,0,Table1[[#This Row],[Customer Value]]/Table1[[#This Row],[Seconds of Use]]*100)</f>
        <v>6.9505784280367466</v>
      </c>
    </row>
    <row r="77" spans="1:18" x14ac:dyDescent="0.35">
      <c r="A77" s="3" t="s">
        <v>98</v>
      </c>
      <c r="B77">
        <v>4</v>
      </c>
      <c r="C77">
        <v>0</v>
      </c>
      <c r="D77">
        <v>36</v>
      </c>
      <c r="E77">
        <v>1</v>
      </c>
      <c r="F77">
        <v>2900</v>
      </c>
      <c r="G77">
        <v>25</v>
      </c>
      <c r="H77">
        <v>5</v>
      </c>
      <c r="I77">
        <v>16</v>
      </c>
      <c r="J77">
        <v>3</v>
      </c>
      <c r="K77">
        <v>1</v>
      </c>
      <c r="L77">
        <v>1</v>
      </c>
      <c r="M77">
        <v>30</v>
      </c>
      <c r="N77">
        <v>137</v>
      </c>
      <c r="O77">
        <v>0</v>
      </c>
      <c r="P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7" t="str">
        <f>IF(Table1[[#This Row],[Fraud_Score]]&gt;=6, "High Risk",IF(Table1[[#This Row],[Fraud_Score]]&gt;=3, "Medium Risk", "Low Risk"))</f>
        <v>Low Risk</v>
      </c>
      <c r="R77">
        <f>IF(Table1[[#This Row],[Seconds of Use]]=0,0,Table1[[#This Row],[Customer Value]]/Table1[[#This Row],[Seconds of Use]]*100)</f>
        <v>4.7241379310344822</v>
      </c>
    </row>
    <row r="78" spans="1:18" x14ac:dyDescent="0.35">
      <c r="A78" s="3" t="s">
        <v>99</v>
      </c>
      <c r="B78">
        <v>12</v>
      </c>
      <c r="C78">
        <v>0</v>
      </c>
      <c r="D78">
        <v>37</v>
      </c>
      <c r="E78">
        <v>1</v>
      </c>
      <c r="F78">
        <v>3050</v>
      </c>
      <c r="G78">
        <v>44</v>
      </c>
      <c r="H78">
        <v>14</v>
      </c>
      <c r="I78">
        <v>18</v>
      </c>
      <c r="J78">
        <v>3</v>
      </c>
      <c r="K78">
        <v>1</v>
      </c>
      <c r="L78">
        <v>1</v>
      </c>
      <c r="M78">
        <v>30</v>
      </c>
      <c r="N78">
        <v>179.76</v>
      </c>
      <c r="O78">
        <v>1</v>
      </c>
      <c r="P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8" t="str">
        <f>IF(Table1[[#This Row],[Fraud_Score]]&gt;=6, "High Risk",IF(Table1[[#This Row],[Fraud_Score]]&gt;=3, "Medium Risk", "Low Risk"))</f>
        <v>Low Risk</v>
      </c>
      <c r="R78">
        <f>IF(Table1[[#This Row],[Seconds of Use]]=0,0,Table1[[#This Row],[Customer Value]]/Table1[[#This Row],[Seconds of Use]]*100)</f>
        <v>5.8937704918032781</v>
      </c>
    </row>
    <row r="79" spans="1:18" x14ac:dyDescent="0.35">
      <c r="A79" s="3" t="s">
        <v>100</v>
      </c>
      <c r="B79">
        <v>12</v>
      </c>
      <c r="C79">
        <v>1</v>
      </c>
      <c r="D79">
        <v>38</v>
      </c>
      <c r="E79">
        <v>1</v>
      </c>
      <c r="F79">
        <v>2328</v>
      </c>
      <c r="G79">
        <v>47</v>
      </c>
      <c r="H79">
        <v>39</v>
      </c>
      <c r="I79">
        <v>33</v>
      </c>
      <c r="J79">
        <v>3</v>
      </c>
      <c r="K79">
        <v>1</v>
      </c>
      <c r="L79">
        <v>1</v>
      </c>
      <c r="M79">
        <v>30</v>
      </c>
      <c r="N79">
        <v>251</v>
      </c>
      <c r="O79">
        <v>1</v>
      </c>
      <c r="P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79" t="str">
        <f>IF(Table1[[#This Row],[Fraud_Score]]&gt;=6, "High Risk",IF(Table1[[#This Row],[Fraud_Score]]&gt;=3, "Medium Risk", "Low Risk"))</f>
        <v>Medium Risk</v>
      </c>
      <c r="R79">
        <f>IF(Table1[[#This Row],[Seconds of Use]]=0,0,Table1[[#This Row],[Customer Value]]/Table1[[#This Row],[Seconds of Use]]*100)</f>
        <v>10.781786941580757</v>
      </c>
    </row>
    <row r="80" spans="1:18" x14ac:dyDescent="0.35">
      <c r="A80" s="3" t="s">
        <v>101</v>
      </c>
      <c r="B80">
        <v>3</v>
      </c>
      <c r="C80">
        <v>0</v>
      </c>
      <c r="D80">
        <v>38</v>
      </c>
      <c r="E80">
        <v>1</v>
      </c>
      <c r="F80">
        <v>193</v>
      </c>
      <c r="G80">
        <v>5</v>
      </c>
      <c r="H80">
        <v>5</v>
      </c>
      <c r="I80">
        <v>4</v>
      </c>
      <c r="J80">
        <v>3</v>
      </c>
      <c r="K80">
        <v>1</v>
      </c>
      <c r="L80">
        <v>1</v>
      </c>
      <c r="M80">
        <v>30</v>
      </c>
      <c r="N80">
        <v>27.92</v>
      </c>
      <c r="O80">
        <v>1</v>
      </c>
      <c r="P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0" t="str">
        <f>IF(Table1[[#This Row],[Fraud_Score]]&gt;=6, "High Risk",IF(Table1[[#This Row],[Fraud_Score]]&gt;=3, "Medium Risk", "Low Risk"))</f>
        <v>Low Risk</v>
      </c>
      <c r="R80">
        <f>IF(Table1[[#This Row],[Seconds of Use]]=0,0,Table1[[#This Row],[Customer Value]]/Table1[[#This Row],[Seconds of Use]]*100)</f>
        <v>14.466321243523318</v>
      </c>
    </row>
    <row r="81" spans="1:18" x14ac:dyDescent="0.35">
      <c r="A81" s="3" t="s">
        <v>102</v>
      </c>
      <c r="B81">
        <v>4</v>
      </c>
      <c r="C81">
        <v>0</v>
      </c>
      <c r="D81">
        <v>38</v>
      </c>
      <c r="E81">
        <v>1</v>
      </c>
      <c r="F81">
        <v>1728</v>
      </c>
      <c r="G81">
        <v>28</v>
      </c>
      <c r="H81">
        <v>5</v>
      </c>
      <c r="I81">
        <v>8</v>
      </c>
      <c r="J81">
        <v>4</v>
      </c>
      <c r="K81">
        <v>1</v>
      </c>
      <c r="L81">
        <v>1</v>
      </c>
      <c r="M81">
        <v>45</v>
      </c>
      <c r="N81">
        <v>56.4</v>
      </c>
      <c r="O81">
        <v>0</v>
      </c>
      <c r="P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1" t="str">
        <f>IF(Table1[[#This Row],[Fraud_Score]]&gt;=6, "High Risk",IF(Table1[[#This Row],[Fraud_Score]]&gt;=3, "Medium Risk", "Low Risk"))</f>
        <v>Low Risk</v>
      </c>
      <c r="R81">
        <f>IF(Table1[[#This Row],[Seconds of Use]]=0,0,Table1[[#This Row],[Customer Value]]/Table1[[#This Row],[Seconds of Use]]*100)</f>
        <v>3.2638888888888893</v>
      </c>
    </row>
    <row r="82" spans="1:18" x14ac:dyDescent="0.35">
      <c r="A82" s="3" t="s">
        <v>103</v>
      </c>
      <c r="B82">
        <v>6</v>
      </c>
      <c r="C82">
        <v>0</v>
      </c>
      <c r="D82">
        <v>35</v>
      </c>
      <c r="E82">
        <v>2</v>
      </c>
      <c r="F82">
        <v>6845</v>
      </c>
      <c r="G82">
        <v>100</v>
      </c>
      <c r="H82">
        <v>19</v>
      </c>
      <c r="I82">
        <v>24</v>
      </c>
      <c r="J82">
        <v>5</v>
      </c>
      <c r="K82">
        <v>1</v>
      </c>
      <c r="L82">
        <v>1</v>
      </c>
      <c r="M82">
        <v>55</v>
      </c>
      <c r="N82">
        <v>132.67500000000001</v>
      </c>
      <c r="O82">
        <v>0</v>
      </c>
      <c r="P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2" t="str">
        <f>IF(Table1[[#This Row],[Fraud_Score]]&gt;=6, "High Risk",IF(Table1[[#This Row],[Fraud_Score]]&gt;=3, "Medium Risk", "Low Risk"))</f>
        <v>Low Risk</v>
      </c>
      <c r="R82">
        <f>IF(Table1[[#This Row],[Seconds of Use]]=0,0,Table1[[#This Row],[Customer Value]]/Table1[[#This Row],[Seconds of Use]]*100)</f>
        <v>1.9382761139517899</v>
      </c>
    </row>
    <row r="83" spans="1:18" x14ac:dyDescent="0.35">
      <c r="A83" s="3" t="s">
        <v>104</v>
      </c>
      <c r="B83">
        <v>3</v>
      </c>
      <c r="C83">
        <v>0</v>
      </c>
      <c r="D83">
        <v>38</v>
      </c>
      <c r="E83">
        <v>1</v>
      </c>
      <c r="F83">
        <v>688</v>
      </c>
      <c r="G83">
        <v>10</v>
      </c>
      <c r="H83">
        <v>14</v>
      </c>
      <c r="I83">
        <v>6</v>
      </c>
      <c r="J83">
        <v>4</v>
      </c>
      <c r="K83">
        <v>1</v>
      </c>
      <c r="L83">
        <v>1</v>
      </c>
      <c r="M83">
        <v>45</v>
      </c>
      <c r="N83">
        <v>52.45</v>
      </c>
      <c r="O83">
        <v>1</v>
      </c>
      <c r="P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3" t="str">
        <f>IF(Table1[[#This Row],[Fraud_Score]]&gt;=6, "High Risk",IF(Table1[[#This Row],[Fraud_Score]]&gt;=3, "Medium Risk", "Low Risk"))</f>
        <v>Low Risk</v>
      </c>
      <c r="R83">
        <f>IF(Table1[[#This Row],[Seconds of Use]]=0,0,Table1[[#This Row],[Customer Value]]/Table1[[#This Row],[Seconds of Use]]*100)</f>
        <v>7.6235465116279073</v>
      </c>
    </row>
    <row r="84" spans="1:18" x14ac:dyDescent="0.35">
      <c r="A84" s="3" t="s">
        <v>105</v>
      </c>
      <c r="B84">
        <v>3</v>
      </c>
      <c r="C84">
        <v>0</v>
      </c>
      <c r="D84">
        <v>38</v>
      </c>
      <c r="E84">
        <v>2</v>
      </c>
      <c r="F84">
        <v>398</v>
      </c>
      <c r="G84">
        <v>7</v>
      </c>
      <c r="H84">
        <v>9</v>
      </c>
      <c r="I84">
        <v>4</v>
      </c>
      <c r="J84">
        <v>5</v>
      </c>
      <c r="K84">
        <v>1</v>
      </c>
      <c r="L84">
        <v>1</v>
      </c>
      <c r="M84">
        <v>55</v>
      </c>
      <c r="N84">
        <v>19.574999999999999</v>
      </c>
      <c r="O84">
        <v>0</v>
      </c>
      <c r="P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4" t="str">
        <f>IF(Table1[[#This Row],[Fraud_Score]]&gt;=6, "High Risk",IF(Table1[[#This Row],[Fraud_Score]]&gt;=3, "Medium Risk", "Low Risk"))</f>
        <v>Low Risk</v>
      </c>
      <c r="R84">
        <f>IF(Table1[[#This Row],[Seconds of Use]]=0,0,Table1[[#This Row],[Customer Value]]/Table1[[#This Row],[Seconds of Use]]*100)</f>
        <v>4.9183417085427132</v>
      </c>
    </row>
    <row r="85" spans="1:18" x14ac:dyDescent="0.35">
      <c r="A85" s="3" t="s">
        <v>106</v>
      </c>
      <c r="B85">
        <v>28</v>
      </c>
      <c r="C85">
        <v>0</v>
      </c>
      <c r="D85">
        <v>33</v>
      </c>
      <c r="E85">
        <v>4</v>
      </c>
      <c r="F85">
        <v>16135</v>
      </c>
      <c r="G85">
        <v>241</v>
      </c>
      <c r="H85">
        <v>5</v>
      </c>
      <c r="I85">
        <v>82</v>
      </c>
      <c r="J85">
        <v>2</v>
      </c>
      <c r="K85">
        <v>1</v>
      </c>
      <c r="L85">
        <v>1</v>
      </c>
      <c r="M85">
        <v>25</v>
      </c>
      <c r="N85">
        <v>759.42</v>
      </c>
      <c r="O85">
        <v>0</v>
      </c>
      <c r="P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5" t="str">
        <f>IF(Table1[[#This Row],[Fraud_Score]]&gt;=6, "High Risk",IF(Table1[[#This Row],[Fraud_Score]]&gt;=3, "Medium Risk", "Low Risk"))</f>
        <v>Medium Risk</v>
      </c>
      <c r="R85">
        <f>IF(Table1[[#This Row],[Seconds of Use]]=0,0,Table1[[#This Row],[Customer Value]]/Table1[[#This Row],[Seconds of Use]]*100)</f>
        <v>4.706662534862101</v>
      </c>
    </row>
    <row r="86" spans="1:18" x14ac:dyDescent="0.35">
      <c r="A86" s="3" t="s">
        <v>107</v>
      </c>
      <c r="B86">
        <v>9</v>
      </c>
      <c r="C86">
        <v>1</v>
      </c>
      <c r="D86">
        <v>36</v>
      </c>
      <c r="E86">
        <v>4</v>
      </c>
      <c r="F86">
        <v>7025</v>
      </c>
      <c r="G86">
        <v>119</v>
      </c>
      <c r="H86">
        <v>276</v>
      </c>
      <c r="I86">
        <v>35</v>
      </c>
      <c r="J86">
        <v>3</v>
      </c>
      <c r="K86">
        <v>2</v>
      </c>
      <c r="L86">
        <v>1</v>
      </c>
      <c r="M86">
        <v>30</v>
      </c>
      <c r="N86">
        <v>1389.76</v>
      </c>
      <c r="O86">
        <v>0</v>
      </c>
      <c r="P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6" t="str">
        <f>IF(Table1[[#This Row],[Fraud_Score]]&gt;=6, "High Risk",IF(Table1[[#This Row],[Fraud_Score]]&gt;=3, "Medium Risk", "Low Risk"))</f>
        <v>Low Risk</v>
      </c>
      <c r="R86">
        <f>IF(Table1[[#This Row],[Seconds of Use]]=0,0,Table1[[#This Row],[Customer Value]]/Table1[[#This Row],[Seconds of Use]]*100)</f>
        <v>19.783060498220639</v>
      </c>
    </row>
    <row r="87" spans="1:18" x14ac:dyDescent="0.35">
      <c r="A87" s="3" t="s">
        <v>108</v>
      </c>
      <c r="B87">
        <v>5</v>
      </c>
      <c r="C87">
        <v>0</v>
      </c>
      <c r="D87">
        <v>38</v>
      </c>
      <c r="E87">
        <v>1</v>
      </c>
      <c r="F87">
        <v>3778</v>
      </c>
      <c r="G87">
        <v>85</v>
      </c>
      <c r="H87">
        <v>7</v>
      </c>
      <c r="I87">
        <v>30</v>
      </c>
      <c r="J87">
        <v>3</v>
      </c>
      <c r="K87">
        <v>1</v>
      </c>
      <c r="L87">
        <v>1</v>
      </c>
      <c r="M87">
        <v>30</v>
      </c>
      <c r="N87">
        <v>182.52</v>
      </c>
      <c r="O87">
        <v>0</v>
      </c>
      <c r="P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7" t="str">
        <f>IF(Table1[[#This Row],[Fraud_Score]]&gt;=6, "High Risk",IF(Table1[[#This Row],[Fraud_Score]]&gt;=3, "Medium Risk", "Low Risk"))</f>
        <v>Low Risk</v>
      </c>
      <c r="R87">
        <f>IF(Table1[[#This Row],[Seconds of Use]]=0,0,Table1[[#This Row],[Customer Value]]/Table1[[#This Row],[Seconds of Use]]*100)</f>
        <v>4.8311275807305449</v>
      </c>
    </row>
    <row r="88" spans="1:18" x14ac:dyDescent="0.35">
      <c r="A88" s="3" t="s">
        <v>109</v>
      </c>
      <c r="B88">
        <v>6</v>
      </c>
      <c r="C88">
        <v>0</v>
      </c>
      <c r="D88">
        <v>37</v>
      </c>
      <c r="E88">
        <v>1</v>
      </c>
      <c r="F88">
        <v>1725</v>
      </c>
      <c r="G88">
        <v>47</v>
      </c>
      <c r="H88">
        <v>43</v>
      </c>
      <c r="I88">
        <v>22</v>
      </c>
      <c r="J88">
        <v>3</v>
      </c>
      <c r="K88">
        <v>1</v>
      </c>
      <c r="L88">
        <v>1</v>
      </c>
      <c r="M88">
        <v>30</v>
      </c>
      <c r="N88">
        <v>242.88</v>
      </c>
      <c r="O88">
        <v>0</v>
      </c>
      <c r="P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8" t="str">
        <f>IF(Table1[[#This Row],[Fraud_Score]]&gt;=6, "High Risk",IF(Table1[[#This Row],[Fraud_Score]]&gt;=3, "Medium Risk", "Low Risk"))</f>
        <v>Low Risk</v>
      </c>
      <c r="R88">
        <f>IF(Table1[[#This Row],[Seconds of Use]]=0,0,Table1[[#This Row],[Customer Value]]/Table1[[#This Row],[Seconds of Use]]*100)</f>
        <v>14.08</v>
      </c>
    </row>
    <row r="89" spans="1:18" x14ac:dyDescent="0.35">
      <c r="A89" s="3" t="s">
        <v>110</v>
      </c>
      <c r="B89">
        <v>9</v>
      </c>
      <c r="C89">
        <v>0</v>
      </c>
      <c r="D89">
        <v>38</v>
      </c>
      <c r="E89">
        <v>1</v>
      </c>
      <c r="F89">
        <v>2840</v>
      </c>
      <c r="G89">
        <v>56</v>
      </c>
      <c r="H89">
        <v>180</v>
      </c>
      <c r="I89">
        <v>25</v>
      </c>
      <c r="J89">
        <v>2</v>
      </c>
      <c r="K89">
        <v>1</v>
      </c>
      <c r="L89">
        <v>1</v>
      </c>
      <c r="M89">
        <v>25</v>
      </c>
      <c r="N89">
        <v>940.32</v>
      </c>
      <c r="O89">
        <v>0</v>
      </c>
      <c r="P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9" t="str">
        <f>IF(Table1[[#This Row],[Fraud_Score]]&gt;=6, "High Risk",IF(Table1[[#This Row],[Fraud_Score]]&gt;=3, "Medium Risk", "Low Risk"))</f>
        <v>Low Risk</v>
      </c>
      <c r="R89">
        <f>IF(Table1[[#This Row],[Seconds of Use]]=0,0,Table1[[#This Row],[Customer Value]]/Table1[[#This Row],[Seconds of Use]]*100)</f>
        <v>33.10985915492958</v>
      </c>
    </row>
    <row r="90" spans="1:18" x14ac:dyDescent="0.35">
      <c r="A90" s="3" t="s">
        <v>111</v>
      </c>
      <c r="B90">
        <v>7</v>
      </c>
      <c r="C90">
        <v>0</v>
      </c>
      <c r="D90">
        <v>29</v>
      </c>
      <c r="E90">
        <v>2</v>
      </c>
      <c r="F90">
        <v>1375</v>
      </c>
      <c r="G90">
        <v>39</v>
      </c>
      <c r="H90">
        <v>198</v>
      </c>
      <c r="I90">
        <v>13</v>
      </c>
      <c r="J90">
        <v>3</v>
      </c>
      <c r="K90">
        <v>2</v>
      </c>
      <c r="L90">
        <v>1</v>
      </c>
      <c r="M90">
        <v>30</v>
      </c>
      <c r="N90">
        <v>848.56</v>
      </c>
      <c r="O90">
        <v>0</v>
      </c>
      <c r="P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0" t="str">
        <f>IF(Table1[[#This Row],[Fraud_Score]]&gt;=6, "High Risk",IF(Table1[[#This Row],[Fraud_Score]]&gt;=3, "Medium Risk", "Low Risk"))</f>
        <v>Low Risk</v>
      </c>
      <c r="R90">
        <f>IF(Table1[[#This Row],[Seconds of Use]]=0,0,Table1[[#This Row],[Customer Value]]/Table1[[#This Row],[Seconds of Use]]*100)</f>
        <v>61.713454545454539</v>
      </c>
    </row>
    <row r="91" spans="1:18" x14ac:dyDescent="0.35">
      <c r="A91" s="3" t="s">
        <v>112</v>
      </c>
      <c r="B91">
        <v>7</v>
      </c>
      <c r="C91">
        <v>0</v>
      </c>
      <c r="D91">
        <v>28</v>
      </c>
      <c r="E91">
        <v>1</v>
      </c>
      <c r="F91">
        <v>1628</v>
      </c>
      <c r="G91">
        <v>42</v>
      </c>
      <c r="H91">
        <v>35</v>
      </c>
      <c r="I91">
        <v>70</v>
      </c>
      <c r="J91">
        <v>4</v>
      </c>
      <c r="K91">
        <v>1</v>
      </c>
      <c r="L91">
        <v>1</v>
      </c>
      <c r="M91">
        <v>45</v>
      </c>
      <c r="N91">
        <v>129.25</v>
      </c>
      <c r="O91">
        <v>0</v>
      </c>
      <c r="P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" t="str">
        <f>IF(Table1[[#This Row],[Fraud_Score]]&gt;=6, "High Risk",IF(Table1[[#This Row],[Fraud_Score]]&gt;=3, "Medium Risk", "Low Risk"))</f>
        <v>Low Risk</v>
      </c>
      <c r="R91">
        <f>IF(Table1[[#This Row],[Seconds of Use]]=0,0,Table1[[#This Row],[Customer Value]]/Table1[[#This Row],[Seconds of Use]]*100)</f>
        <v>7.9391891891891886</v>
      </c>
    </row>
    <row r="92" spans="1:18" x14ac:dyDescent="0.35">
      <c r="A92" s="3" t="s">
        <v>113</v>
      </c>
      <c r="B92">
        <v>14</v>
      </c>
      <c r="C92">
        <v>0</v>
      </c>
      <c r="D92">
        <v>29</v>
      </c>
      <c r="E92">
        <v>1</v>
      </c>
      <c r="F92">
        <v>760</v>
      </c>
      <c r="G92">
        <v>28</v>
      </c>
      <c r="H92">
        <v>15</v>
      </c>
      <c r="I92">
        <v>9</v>
      </c>
      <c r="J92">
        <v>3</v>
      </c>
      <c r="K92">
        <v>1</v>
      </c>
      <c r="L92">
        <v>1</v>
      </c>
      <c r="M92">
        <v>30</v>
      </c>
      <c r="N92">
        <v>91.52</v>
      </c>
      <c r="O92">
        <v>0</v>
      </c>
      <c r="P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2" t="str">
        <f>IF(Table1[[#This Row],[Fraud_Score]]&gt;=6, "High Risk",IF(Table1[[#This Row],[Fraud_Score]]&gt;=3, "Medium Risk", "Low Risk"))</f>
        <v>Low Risk</v>
      </c>
      <c r="R92">
        <f>IF(Table1[[#This Row],[Seconds of Use]]=0,0,Table1[[#This Row],[Customer Value]]/Table1[[#This Row],[Seconds of Use]]*100)</f>
        <v>12.042105263157895</v>
      </c>
    </row>
    <row r="93" spans="1:18" x14ac:dyDescent="0.35">
      <c r="A93" s="3" t="s">
        <v>114</v>
      </c>
      <c r="B93">
        <v>3</v>
      </c>
      <c r="C93">
        <v>0</v>
      </c>
      <c r="D93">
        <v>28</v>
      </c>
      <c r="E93">
        <v>1</v>
      </c>
      <c r="F93">
        <v>885</v>
      </c>
      <c r="G93">
        <v>13</v>
      </c>
      <c r="H93">
        <v>26</v>
      </c>
      <c r="I93">
        <v>5</v>
      </c>
      <c r="J93">
        <v>4</v>
      </c>
      <c r="K93">
        <v>1</v>
      </c>
      <c r="L93">
        <v>1</v>
      </c>
      <c r="M93">
        <v>45</v>
      </c>
      <c r="N93">
        <v>87.45</v>
      </c>
      <c r="O93">
        <v>0</v>
      </c>
      <c r="P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3" t="str">
        <f>IF(Table1[[#This Row],[Fraud_Score]]&gt;=6, "High Risk",IF(Table1[[#This Row],[Fraud_Score]]&gt;=3, "Medium Risk", "Low Risk"))</f>
        <v>Low Risk</v>
      </c>
      <c r="R93">
        <f>IF(Table1[[#This Row],[Seconds of Use]]=0,0,Table1[[#This Row],[Customer Value]]/Table1[[#This Row],[Seconds of Use]]*100)</f>
        <v>9.8813559322033893</v>
      </c>
    </row>
    <row r="94" spans="1:18" x14ac:dyDescent="0.35">
      <c r="A94" s="3" t="s">
        <v>115</v>
      </c>
      <c r="B94">
        <v>13</v>
      </c>
      <c r="C94">
        <v>0</v>
      </c>
      <c r="D94">
        <v>27</v>
      </c>
      <c r="E94">
        <v>1</v>
      </c>
      <c r="F94">
        <v>1285</v>
      </c>
      <c r="G94">
        <v>35</v>
      </c>
      <c r="H94">
        <v>24</v>
      </c>
      <c r="I94">
        <v>15</v>
      </c>
      <c r="J94">
        <v>2</v>
      </c>
      <c r="K94">
        <v>1</v>
      </c>
      <c r="L94">
        <v>1</v>
      </c>
      <c r="M94">
        <v>25</v>
      </c>
      <c r="N94">
        <v>167.4</v>
      </c>
      <c r="O94">
        <v>0</v>
      </c>
      <c r="P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4" t="str">
        <f>IF(Table1[[#This Row],[Fraud_Score]]&gt;=6, "High Risk",IF(Table1[[#This Row],[Fraud_Score]]&gt;=3, "Medium Risk", "Low Risk"))</f>
        <v>Low Risk</v>
      </c>
      <c r="R94">
        <f>IF(Table1[[#This Row],[Seconds of Use]]=0,0,Table1[[#This Row],[Customer Value]]/Table1[[#This Row],[Seconds of Use]]*100)</f>
        <v>13.027237354085603</v>
      </c>
    </row>
    <row r="95" spans="1:18" x14ac:dyDescent="0.35">
      <c r="A95" s="3" t="s">
        <v>116</v>
      </c>
      <c r="B95">
        <v>5</v>
      </c>
      <c r="C95">
        <v>0</v>
      </c>
      <c r="D95">
        <v>27</v>
      </c>
      <c r="E95">
        <v>1</v>
      </c>
      <c r="F95">
        <v>3285</v>
      </c>
      <c r="G95">
        <v>64</v>
      </c>
      <c r="H95">
        <v>13</v>
      </c>
      <c r="I95">
        <v>25</v>
      </c>
      <c r="J95">
        <v>3</v>
      </c>
      <c r="K95">
        <v>1</v>
      </c>
      <c r="L95">
        <v>1</v>
      </c>
      <c r="M95">
        <v>30</v>
      </c>
      <c r="N95">
        <v>185.96</v>
      </c>
      <c r="O95">
        <v>0</v>
      </c>
      <c r="P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5" t="str">
        <f>IF(Table1[[#This Row],[Fraud_Score]]&gt;=6, "High Risk",IF(Table1[[#This Row],[Fraud_Score]]&gt;=3, "Medium Risk", "Low Risk"))</f>
        <v>Low Risk</v>
      </c>
      <c r="R95">
        <f>IF(Table1[[#This Row],[Seconds of Use]]=0,0,Table1[[#This Row],[Customer Value]]/Table1[[#This Row],[Seconds of Use]]*100)</f>
        <v>5.6608828006088281</v>
      </c>
    </row>
    <row r="96" spans="1:18" x14ac:dyDescent="0.35">
      <c r="A96" s="3" t="s">
        <v>117</v>
      </c>
      <c r="B96">
        <v>5</v>
      </c>
      <c r="C96">
        <v>0</v>
      </c>
      <c r="D96">
        <v>20</v>
      </c>
      <c r="E96">
        <v>1</v>
      </c>
      <c r="F96">
        <v>1755</v>
      </c>
      <c r="G96">
        <v>29</v>
      </c>
      <c r="H96">
        <v>33</v>
      </c>
      <c r="I96">
        <v>16</v>
      </c>
      <c r="J96">
        <v>2</v>
      </c>
      <c r="K96">
        <v>1</v>
      </c>
      <c r="L96">
        <v>1</v>
      </c>
      <c r="M96">
        <v>25</v>
      </c>
      <c r="N96">
        <v>228.78</v>
      </c>
      <c r="O96">
        <v>0</v>
      </c>
      <c r="P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6" t="str">
        <f>IF(Table1[[#This Row],[Fraud_Score]]&gt;=6, "High Risk",IF(Table1[[#This Row],[Fraud_Score]]&gt;=3, "Medium Risk", "Low Risk"))</f>
        <v>Low Risk</v>
      </c>
      <c r="R96">
        <f>IF(Table1[[#This Row],[Seconds of Use]]=0,0,Table1[[#This Row],[Customer Value]]/Table1[[#This Row],[Seconds of Use]]*100)</f>
        <v>13.035897435897436</v>
      </c>
    </row>
    <row r="97" spans="1:18" x14ac:dyDescent="0.35">
      <c r="A97" s="3" t="s">
        <v>118</v>
      </c>
      <c r="B97">
        <v>19</v>
      </c>
      <c r="C97">
        <v>0</v>
      </c>
      <c r="D97">
        <v>19</v>
      </c>
      <c r="E97">
        <v>2</v>
      </c>
      <c r="F97">
        <v>6453</v>
      </c>
      <c r="G97">
        <v>144</v>
      </c>
      <c r="H97">
        <v>90</v>
      </c>
      <c r="I97">
        <v>44</v>
      </c>
      <c r="J97">
        <v>2</v>
      </c>
      <c r="K97">
        <v>2</v>
      </c>
      <c r="L97">
        <v>1</v>
      </c>
      <c r="M97">
        <v>25</v>
      </c>
      <c r="N97">
        <v>701.86500000000001</v>
      </c>
      <c r="O97">
        <v>0</v>
      </c>
      <c r="P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97" t="str">
        <f>IF(Table1[[#This Row],[Fraud_Score]]&gt;=6, "High Risk",IF(Table1[[#This Row],[Fraud_Score]]&gt;=3, "Medium Risk", "Low Risk"))</f>
        <v>Medium Risk</v>
      </c>
      <c r="R97">
        <f>IF(Table1[[#This Row],[Seconds of Use]]=0,0,Table1[[#This Row],[Customer Value]]/Table1[[#This Row],[Seconds of Use]]*100)</f>
        <v>10.876569037656903</v>
      </c>
    </row>
    <row r="98" spans="1:18" x14ac:dyDescent="0.35">
      <c r="A98" s="3" t="s">
        <v>119</v>
      </c>
      <c r="B98">
        <v>15</v>
      </c>
      <c r="C98">
        <v>0</v>
      </c>
      <c r="D98">
        <v>17</v>
      </c>
      <c r="E98">
        <v>1</v>
      </c>
      <c r="F98">
        <v>8993</v>
      </c>
      <c r="G98">
        <v>174</v>
      </c>
      <c r="H98">
        <v>78</v>
      </c>
      <c r="I98">
        <v>42</v>
      </c>
      <c r="J98">
        <v>5</v>
      </c>
      <c r="K98">
        <v>1</v>
      </c>
      <c r="L98">
        <v>1</v>
      </c>
      <c r="M98">
        <v>55</v>
      </c>
      <c r="N98">
        <v>254.505</v>
      </c>
      <c r="O98">
        <v>0</v>
      </c>
      <c r="P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98" t="str">
        <f>IF(Table1[[#This Row],[Fraud_Score]]&gt;=6, "High Risk",IF(Table1[[#This Row],[Fraud_Score]]&gt;=3, "Medium Risk", "Low Risk"))</f>
        <v>Medium Risk</v>
      </c>
      <c r="R98">
        <f>IF(Table1[[#This Row],[Seconds of Use]]=0,0,Table1[[#This Row],[Customer Value]]/Table1[[#This Row],[Seconds of Use]]*100)</f>
        <v>2.8300344712554208</v>
      </c>
    </row>
    <row r="99" spans="1:18" x14ac:dyDescent="0.35">
      <c r="A99" s="3" t="s">
        <v>120</v>
      </c>
      <c r="B99">
        <v>11</v>
      </c>
      <c r="C99">
        <v>0</v>
      </c>
      <c r="D99">
        <v>18</v>
      </c>
      <c r="E99">
        <v>4</v>
      </c>
      <c r="F99">
        <v>2913</v>
      </c>
      <c r="G99">
        <v>48</v>
      </c>
      <c r="H99">
        <v>36</v>
      </c>
      <c r="I99">
        <v>21</v>
      </c>
      <c r="J99">
        <v>3</v>
      </c>
      <c r="K99">
        <v>1</v>
      </c>
      <c r="L99">
        <v>1</v>
      </c>
      <c r="M99">
        <v>30</v>
      </c>
      <c r="N99">
        <v>262.44</v>
      </c>
      <c r="O99">
        <v>0</v>
      </c>
      <c r="P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9" t="str">
        <f>IF(Table1[[#This Row],[Fraud_Score]]&gt;=6, "High Risk",IF(Table1[[#This Row],[Fraud_Score]]&gt;=3, "Medium Risk", "Low Risk"))</f>
        <v>Low Risk</v>
      </c>
      <c r="R99">
        <f>IF(Table1[[#This Row],[Seconds of Use]]=0,0,Table1[[#This Row],[Customer Value]]/Table1[[#This Row],[Seconds of Use]]*100)</f>
        <v>9.0092687950566415</v>
      </c>
    </row>
    <row r="100" spans="1:18" x14ac:dyDescent="0.35">
      <c r="A100" s="3" t="s">
        <v>121</v>
      </c>
      <c r="B100">
        <v>5</v>
      </c>
      <c r="C100">
        <v>0</v>
      </c>
      <c r="D100">
        <v>11</v>
      </c>
      <c r="E100">
        <v>2</v>
      </c>
      <c r="F100">
        <v>4450</v>
      </c>
      <c r="G100">
        <v>43</v>
      </c>
      <c r="H100">
        <v>220</v>
      </c>
      <c r="I100">
        <v>12</v>
      </c>
      <c r="J100">
        <v>3</v>
      </c>
      <c r="K100">
        <v>1</v>
      </c>
      <c r="L100">
        <v>1</v>
      </c>
      <c r="M100">
        <v>30</v>
      </c>
      <c r="N100">
        <v>1059.72</v>
      </c>
      <c r="O100">
        <v>0</v>
      </c>
      <c r="P1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0" t="str">
        <f>IF(Table1[[#This Row],[Fraud_Score]]&gt;=6, "High Risk",IF(Table1[[#This Row],[Fraud_Score]]&gt;=3, "Medium Risk", "Low Risk"))</f>
        <v>Low Risk</v>
      </c>
      <c r="R100">
        <f>IF(Table1[[#This Row],[Seconds of Use]]=0,0,Table1[[#This Row],[Customer Value]]/Table1[[#This Row],[Seconds of Use]]*100)</f>
        <v>23.813932584269665</v>
      </c>
    </row>
    <row r="101" spans="1:18" x14ac:dyDescent="0.35">
      <c r="A101" s="3" t="s">
        <v>122</v>
      </c>
      <c r="B101">
        <v>6</v>
      </c>
      <c r="C101">
        <v>1</v>
      </c>
      <c r="D101">
        <v>11</v>
      </c>
      <c r="E101">
        <v>2</v>
      </c>
      <c r="F101">
        <v>1548</v>
      </c>
      <c r="G101">
        <v>22</v>
      </c>
      <c r="H101">
        <v>5</v>
      </c>
      <c r="I101">
        <v>9</v>
      </c>
      <c r="J101">
        <v>3</v>
      </c>
      <c r="K101">
        <v>1</v>
      </c>
      <c r="L101">
        <v>1</v>
      </c>
      <c r="M101">
        <v>30</v>
      </c>
      <c r="N101">
        <v>82.8</v>
      </c>
      <c r="O101">
        <v>1</v>
      </c>
      <c r="P1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1" t="str">
        <f>IF(Table1[[#This Row],[Fraud_Score]]&gt;=6, "High Risk",IF(Table1[[#This Row],[Fraud_Score]]&gt;=3, "Medium Risk", "Low Risk"))</f>
        <v>Low Risk</v>
      </c>
      <c r="R101">
        <f>IF(Table1[[#This Row],[Seconds of Use]]=0,0,Table1[[#This Row],[Customer Value]]/Table1[[#This Row],[Seconds of Use]]*100)</f>
        <v>5.3488372093023253</v>
      </c>
    </row>
    <row r="102" spans="1:18" x14ac:dyDescent="0.35">
      <c r="A102" s="3" t="s">
        <v>123</v>
      </c>
      <c r="B102">
        <v>5</v>
      </c>
      <c r="C102">
        <v>0</v>
      </c>
      <c r="D102">
        <v>36</v>
      </c>
      <c r="E102">
        <v>0</v>
      </c>
      <c r="F102">
        <v>4310</v>
      </c>
      <c r="G102">
        <v>68</v>
      </c>
      <c r="H102">
        <v>0</v>
      </c>
      <c r="I102">
        <v>15</v>
      </c>
      <c r="J102">
        <v>2</v>
      </c>
      <c r="K102">
        <v>1</v>
      </c>
      <c r="L102">
        <v>1</v>
      </c>
      <c r="M102">
        <v>25</v>
      </c>
      <c r="N102">
        <v>197.01</v>
      </c>
      <c r="O102">
        <v>0</v>
      </c>
      <c r="P1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2" t="str">
        <f>IF(Table1[[#This Row],[Fraud_Score]]&gt;=6, "High Risk",IF(Table1[[#This Row],[Fraud_Score]]&gt;=3, "Medium Risk", "Low Risk"))</f>
        <v>Low Risk</v>
      </c>
      <c r="R102">
        <f>IF(Table1[[#This Row],[Seconds of Use]]=0,0,Table1[[#This Row],[Customer Value]]/Table1[[#This Row],[Seconds of Use]]*100)</f>
        <v>4.5709976798143845</v>
      </c>
    </row>
    <row r="103" spans="1:18" x14ac:dyDescent="0.35">
      <c r="A103" s="3" t="s">
        <v>124</v>
      </c>
      <c r="B103">
        <v>0</v>
      </c>
      <c r="C103">
        <v>0</v>
      </c>
      <c r="D103">
        <v>37</v>
      </c>
      <c r="E103">
        <v>0</v>
      </c>
      <c r="F103">
        <v>258</v>
      </c>
      <c r="G103">
        <v>2</v>
      </c>
      <c r="H103">
        <v>2</v>
      </c>
      <c r="I103">
        <v>2</v>
      </c>
      <c r="J103">
        <v>2</v>
      </c>
      <c r="K103">
        <v>1</v>
      </c>
      <c r="L103">
        <v>2</v>
      </c>
      <c r="M103">
        <v>25</v>
      </c>
      <c r="N103">
        <v>20.7</v>
      </c>
      <c r="O103">
        <v>0</v>
      </c>
      <c r="P1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3" t="str">
        <f>IF(Table1[[#This Row],[Fraud_Score]]&gt;=6, "High Risk",IF(Table1[[#This Row],[Fraud_Score]]&gt;=3, "Medium Risk", "Low Risk"))</f>
        <v>Low Risk</v>
      </c>
      <c r="R103">
        <f>IF(Table1[[#This Row],[Seconds of Use]]=0,0,Table1[[#This Row],[Customer Value]]/Table1[[#This Row],[Seconds of Use]]*100)</f>
        <v>8.0232558139534884</v>
      </c>
    </row>
    <row r="104" spans="1:18" x14ac:dyDescent="0.35">
      <c r="A104" s="3" t="s">
        <v>125</v>
      </c>
      <c r="B104">
        <v>7</v>
      </c>
      <c r="C104">
        <v>0</v>
      </c>
      <c r="D104">
        <v>35</v>
      </c>
      <c r="E104">
        <v>0</v>
      </c>
      <c r="F104">
        <v>2393</v>
      </c>
      <c r="G104">
        <v>57</v>
      </c>
      <c r="H104">
        <v>354</v>
      </c>
      <c r="I104">
        <v>22</v>
      </c>
      <c r="J104">
        <v>2</v>
      </c>
      <c r="K104">
        <v>1</v>
      </c>
      <c r="L104">
        <v>1</v>
      </c>
      <c r="M104">
        <v>25</v>
      </c>
      <c r="N104">
        <v>1703.25</v>
      </c>
      <c r="O104">
        <v>0</v>
      </c>
      <c r="P1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4" t="str">
        <f>IF(Table1[[#This Row],[Fraud_Score]]&gt;=6, "High Risk",IF(Table1[[#This Row],[Fraud_Score]]&gt;=3, "Medium Risk", "Low Risk"))</f>
        <v>Low Risk</v>
      </c>
      <c r="R104">
        <f>IF(Table1[[#This Row],[Seconds of Use]]=0,0,Table1[[#This Row],[Customer Value]]/Table1[[#This Row],[Seconds of Use]]*100)</f>
        <v>71.176347680735475</v>
      </c>
    </row>
    <row r="105" spans="1:18" x14ac:dyDescent="0.35">
      <c r="A105" s="3" t="s">
        <v>126</v>
      </c>
      <c r="B105">
        <v>7</v>
      </c>
      <c r="C105">
        <v>0</v>
      </c>
      <c r="D105">
        <v>36</v>
      </c>
      <c r="E105">
        <v>0</v>
      </c>
      <c r="F105">
        <v>4138</v>
      </c>
      <c r="G105">
        <v>63</v>
      </c>
      <c r="H105">
        <v>0</v>
      </c>
      <c r="I105">
        <v>33</v>
      </c>
      <c r="J105">
        <v>1</v>
      </c>
      <c r="K105">
        <v>1</v>
      </c>
      <c r="L105">
        <v>1</v>
      </c>
      <c r="M105">
        <v>15</v>
      </c>
      <c r="N105">
        <v>231.05500000000001</v>
      </c>
      <c r="O105">
        <v>0</v>
      </c>
      <c r="P1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" t="str">
        <f>IF(Table1[[#This Row],[Fraud_Score]]&gt;=6, "High Risk",IF(Table1[[#This Row],[Fraud_Score]]&gt;=3, "Medium Risk", "Low Risk"))</f>
        <v>Low Risk</v>
      </c>
      <c r="R105">
        <f>IF(Table1[[#This Row],[Seconds of Use]]=0,0,Table1[[#This Row],[Customer Value]]/Table1[[#This Row],[Seconds of Use]]*100)</f>
        <v>5.5837361043982607</v>
      </c>
    </row>
    <row r="106" spans="1:18" x14ac:dyDescent="0.35">
      <c r="A106" s="3" t="s">
        <v>127</v>
      </c>
      <c r="B106">
        <v>0</v>
      </c>
      <c r="C106">
        <v>0</v>
      </c>
      <c r="D106">
        <v>36</v>
      </c>
      <c r="E106">
        <v>0</v>
      </c>
      <c r="F106">
        <v>2333</v>
      </c>
      <c r="G106">
        <v>55</v>
      </c>
      <c r="H106">
        <v>0</v>
      </c>
      <c r="I106">
        <v>31</v>
      </c>
      <c r="J106">
        <v>1</v>
      </c>
      <c r="K106">
        <v>1</v>
      </c>
      <c r="L106">
        <v>1</v>
      </c>
      <c r="M106">
        <v>15</v>
      </c>
      <c r="N106">
        <v>131.34</v>
      </c>
      <c r="O106">
        <v>0</v>
      </c>
      <c r="P1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" t="str">
        <f>IF(Table1[[#This Row],[Fraud_Score]]&gt;=6, "High Risk",IF(Table1[[#This Row],[Fraud_Score]]&gt;=3, "Medium Risk", "Low Risk"))</f>
        <v>Low Risk</v>
      </c>
      <c r="R106">
        <f>IF(Table1[[#This Row],[Seconds of Use]]=0,0,Table1[[#This Row],[Customer Value]]/Table1[[#This Row],[Seconds of Use]]*100)</f>
        <v>5.6296613801971711</v>
      </c>
    </row>
    <row r="107" spans="1:18" x14ac:dyDescent="0.35">
      <c r="A107" s="3" t="s">
        <v>128</v>
      </c>
      <c r="B107">
        <v>8</v>
      </c>
      <c r="C107">
        <v>0</v>
      </c>
      <c r="D107">
        <v>36</v>
      </c>
      <c r="E107">
        <v>0</v>
      </c>
      <c r="F107">
        <v>3715</v>
      </c>
      <c r="G107">
        <v>79</v>
      </c>
      <c r="H107">
        <v>27</v>
      </c>
      <c r="I107">
        <v>26</v>
      </c>
      <c r="J107">
        <v>3</v>
      </c>
      <c r="K107">
        <v>1</v>
      </c>
      <c r="L107">
        <v>1</v>
      </c>
      <c r="M107">
        <v>30</v>
      </c>
      <c r="N107">
        <v>259.76</v>
      </c>
      <c r="O107">
        <v>0</v>
      </c>
      <c r="P1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7" t="str">
        <f>IF(Table1[[#This Row],[Fraud_Score]]&gt;=6, "High Risk",IF(Table1[[#This Row],[Fraud_Score]]&gt;=3, "Medium Risk", "Low Risk"))</f>
        <v>Low Risk</v>
      </c>
      <c r="R107">
        <f>IF(Table1[[#This Row],[Seconds of Use]]=0,0,Table1[[#This Row],[Customer Value]]/Table1[[#This Row],[Seconds of Use]]*100)</f>
        <v>6.9921938088829076</v>
      </c>
    </row>
    <row r="108" spans="1:18" x14ac:dyDescent="0.35">
      <c r="A108" s="3" t="s">
        <v>129</v>
      </c>
      <c r="B108">
        <v>1</v>
      </c>
      <c r="C108">
        <v>0</v>
      </c>
      <c r="D108">
        <v>36</v>
      </c>
      <c r="E108">
        <v>0</v>
      </c>
      <c r="F108">
        <v>2300</v>
      </c>
      <c r="G108">
        <v>36</v>
      </c>
      <c r="H108">
        <v>280</v>
      </c>
      <c r="I108">
        <v>16</v>
      </c>
      <c r="J108">
        <v>3</v>
      </c>
      <c r="K108">
        <v>1</v>
      </c>
      <c r="L108">
        <v>1</v>
      </c>
      <c r="M108">
        <v>30</v>
      </c>
      <c r="N108">
        <v>1213.44</v>
      </c>
      <c r="O108">
        <v>0</v>
      </c>
      <c r="P1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" t="str">
        <f>IF(Table1[[#This Row],[Fraud_Score]]&gt;=6, "High Risk",IF(Table1[[#This Row],[Fraud_Score]]&gt;=3, "Medium Risk", "Low Risk"))</f>
        <v>Low Risk</v>
      </c>
      <c r="R108">
        <f>IF(Table1[[#This Row],[Seconds of Use]]=0,0,Table1[[#This Row],[Customer Value]]/Table1[[#This Row],[Seconds of Use]]*100)</f>
        <v>52.75826086956522</v>
      </c>
    </row>
    <row r="109" spans="1:18" x14ac:dyDescent="0.35">
      <c r="A109" s="3" t="s">
        <v>130</v>
      </c>
      <c r="B109">
        <v>10</v>
      </c>
      <c r="C109">
        <v>0</v>
      </c>
      <c r="D109">
        <v>35</v>
      </c>
      <c r="E109">
        <v>1</v>
      </c>
      <c r="F109">
        <v>9055</v>
      </c>
      <c r="G109">
        <v>118</v>
      </c>
      <c r="H109">
        <v>139</v>
      </c>
      <c r="I109">
        <v>41</v>
      </c>
      <c r="J109">
        <v>3</v>
      </c>
      <c r="K109">
        <v>1</v>
      </c>
      <c r="L109">
        <v>1</v>
      </c>
      <c r="M109">
        <v>30</v>
      </c>
      <c r="N109">
        <v>922.92</v>
      </c>
      <c r="O109">
        <v>0</v>
      </c>
      <c r="P1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9" t="str">
        <f>IF(Table1[[#This Row],[Fraud_Score]]&gt;=6, "High Risk",IF(Table1[[#This Row],[Fraud_Score]]&gt;=3, "Medium Risk", "Low Risk"))</f>
        <v>Low Risk</v>
      </c>
      <c r="R109">
        <f>IF(Table1[[#This Row],[Seconds of Use]]=0,0,Table1[[#This Row],[Customer Value]]/Table1[[#This Row],[Seconds of Use]]*100)</f>
        <v>10.192379900607399</v>
      </c>
    </row>
    <row r="110" spans="1:18" x14ac:dyDescent="0.35">
      <c r="A110" s="3" t="s">
        <v>131</v>
      </c>
      <c r="B110">
        <v>4</v>
      </c>
      <c r="C110">
        <v>0</v>
      </c>
      <c r="D110">
        <v>36</v>
      </c>
      <c r="E110">
        <v>0</v>
      </c>
      <c r="F110">
        <v>13713</v>
      </c>
      <c r="G110">
        <v>166</v>
      </c>
      <c r="H110">
        <v>0</v>
      </c>
      <c r="I110">
        <v>42</v>
      </c>
      <c r="J110">
        <v>3</v>
      </c>
      <c r="K110">
        <v>1</v>
      </c>
      <c r="L110">
        <v>1</v>
      </c>
      <c r="M110">
        <v>30</v>
      </c>
      <c r="N110">
        <v>555.16</v>
      </c>
      <c r="O110">
        <v>0</v>
      </c>
      <c r="P1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0" t="str">
        <f>IF(Table1[[#This Row],[Fraud_Score]]&gt;=6, "High Risk",IF(Table1[[#This Row],[Fraud_Score]]&gt;=3, "Medium Risk", "Low Risk"))</f>
        <v>Medium Risk</v>
      </c>
      <c r="R110">
        <f>IF(Table1[[#This Row],[Seconds of Use]]=0,0,Table1[[#This Row],[Customer Value]]/Table1[[#This Row],[Seconds of Use]]*100)</f>
        <v>4.0484212061547433</v>
      </c>
    </row>
    <row r="111" spans="1:18" x14ac:dyDescent="0.35">
      <c r="A111" s="3" t="s">
        <v>132</v>
      </c>
      <c r="B111">
        <v>4</v>
      </c>
      <c r="C111">
        <v>0</v>
      </c>
      <c r="D111">
        <v>36</v>
      </c>
      <c r="E111">
        <v>0</v>
      </c>
      <c r="F111">
        <v>4455</v>
      </c>
      <c r="G111">
        <v>80</v>
      </c>
      <c r="H111">
        <v>0</v>
      </c>
      <c r="I111">
        <v>23</v>
      </c>
      <c r="J111">
        <v>3</v>
      </c>
      <c r="K111">
        <v>1</v>
      </c>
      <c r="L111">
        <v>1</v>
      </c>
      <c r="M111">
        <v>30</v>
      </c>
      <c r="N111">
        <v>181.4</v>
      </c>
      <c r="O111">
        <v>0</v>
      </c>
      <c r="P1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1" t="str">
        <f>IF(Table1[[#This Row],[Fraud_Score]]&gt;=6, "High Risk",IF(Table1[[#This Row],[Fraud_Score]]&gt;=3, "Medium Risk", "Low Risk"))</f>
        <v>Low Risk</v>
      </c>
      <c r="R111">
        <f>IF(Table1[[#This Row],[Seconds of Use]]=0,0,Table1[[#This Row],[Customer Value]]/Table1[[#This Row],[Seconds of Use]]*100)</f>
        <v>4.0718294051627382</v>
      </c>
    </row>
    <row r="112" spans="1:18" x14ac:dyDescent="0.35">
      <c r="A112" s="3" t="s">
        <v>133</v>
      </c>
      <c r="B112">
        <v>3</v>
      </c>
      <c r="C112">
        <v>0</v>
      </c>
      <c r="D112">
        <v>36</v>
      </c>
      <c r="E112">
        <v>0</v>
      </c>
      <c r="F112">
        <v>5858</v>
      </c>
      <c r="G112">
        <v>92</v>
      </c>
      <c r="H112">
        <v>2</v>
      </c>
      <c r="I112">
        <v>10</v>
      </c>
      <c r="J112">
        <v>2</v>
      </c>
      <c r="K112">
        <v>1</v>
      </c>
      <c r="L112">
        <v>1</v>
      </c>
      <c r="M112">
        <v>25</v>
      </c>
      <c r="N112">
        <v>276.75</v>
      </c>
      <c r="O112">
        <v>0</v>
      </c>
      <c r="P1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2" t="str">
        <f>IF(Table1[[#This Row],[Fraud_Score]]&gt;=6, "High Risk",IF(Table1[[#This Row],[Fraud_Score]]&gt;=3, "Medium Risk", "Low Risk"))</f>
        <v>Low Risk</v>
      </c>
      <c r="R112">
        <f>IF(Table1[[#This Row],[Seconds of Use]]=0,0,Table1[[#This Row],[Customer Value]]/Table1[[#This Row],[Seconds of Use]]*100)</f>
        <v>4.7243086377603278</v>
      </c>
    </row>
    <row r="113" spans="1:18" x14ac:dyDescent="0.35">
      <c r="A113" s="3" t="s">
        <v>134</v>
      </c>
      <c r="B113">
        <v>6</v>
      </c>
      <c r="C113">
        <v>1</v>
      </c>
      <c r="D113">
        <v>36</v>
      </c>
      <c r="E113">
        <v>0</v>
      </c>
      <c r="F113">
        <v>2178</v>
      </c>
      <c r="G113">
        <v>51</v>
      </c>
      <c r="H113">
        <v>3</v>
      </c>
      <c r="I113">
        <v>15</v>
      </c>
      <c r="J113">
        <v>3</v>
      </c>
      <c r="K113">
        <v>1</v>
      </c>
      <c r="L113">
        <v>2</v>
      </c>
      <c r="M113">
        <v>30</v>
      </c>
      <c r="N113">
        <v>101.16</v>
      </c>
      <c r="O113">
        <v>0</v>
      </c>
      <c r="P1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3" t="str">
        <f>IF(Table1[[#This Row],[Fraud_Score]]&gt;=6, "High Risk",IF(Table1[[#This Row],[Fraud_Score]]&gt;=3, "Medium Risk", "Low Risk"))</f>
        <v>Medium Risk</v>
      </c>
      <c r="R113">
        <f>IF(Table1[[#This Row],[Seconds of Use]]=0,0,Table1[[#This Row],[Customer Value]]/Table1[[#This Row],[Seconds of Use]]*100)</f>
        <v>4.6446280991735538</v>
      </c>
    </row>
    <row r="114" spans="1:18" x14ac:dyDescent="0.35">
      <c r="A114" s="3" t="s">
        <v>135</v>
      </c>
      <c r="B114">
        <v>22</v>
      </c>
      <c r="C114">
        <v>0</v>
      </c>
      <c r="D114">
        <v>36</v>
      </c>
      <c r="E114">
        <v>2</v>
      </c>
      <c r="F114">
        <v>15080</v>
      </c>
      <c r="G114">
        <v>222</v>
      </c>
      <c r="H114">
        <v>49</v>
      </c>
      <c r="I114">
        <v>30</v>
      </c>
      <c r="J114">
        <v>3</v>
      </c>
      <c r="K114">
        <v>1</v>
      </c>
      <c r="L114">
        <v>1</v>
      </c>
      <c r="M114">
        <v>30</v>
      </c>
      <c r="N114">
        <v>808.08</v>
      </c>
      <c r="O114">
        <v>0</v>
      </c>
      <c r="P1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14" t="str">
        <f>IF(Table1[[#This Row],[Fraud_Score]]&gt;=6, "High Risk",IF(Table1[[#This Row],[Fraud_Score]]&gt;=3, "Medium Risk", "Low Risk"))</f>
        <v>Medium Risk</v>
      </c>
      <c r="R114">
        <f>IF(Table1[[#This Row],[Seconds of Use]]=0,0,Table1[[#This Row],[Customer Value]]/Table1[[#This Row],[Seconds of Use]]*100)</f>
        <v>5.3586206896551722</v>
      </c>
    </row>
    <row r="115" spans="1:18" x14ac:dyDescent="0.35">
      <c r="A115" s="3" t="s">
        <v>136</v>
      </c>
      <c r="B115">
        <v>1</v>
      </c>
      <c r="C115">
        <v>0</v>
      </c>
      <c r="D115">
        <v>36</v>
      </c>
      <c r="E115">
        <v>0</v>
      </c>
      <c r="F115">
        <v>3035</v>
      </c>
      <c r="G115">
        <v>24</v>
      </c>
      <c r="H115">
        <v>478</v>
      </c>
      <c r="I115">
        <v>6</v>
      </c>
      <c r="J115">
        <v>3</v>
      </c>
      <c r="K115">
        <v>1</v>
      </c>
      <c r="L115">
        <v>1</v>
      </c>
      <c r="M115">
        <v>30</v>
      </c>
      <c r="N115">
        <v>2034.36</v>
      </c>
      <c r="O115">
        <v>0</v>
      </c>
      <c r="P1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" t="str">
        <f>IF(Table1[[#This Row],[Fraud_Score]]&gt;=6, "High Risk",IF(Table1[[#This Row],[Fraud_Score]]&gt;=3, "Medium Risk", "Low Risk"))</f>
        <v>Low Risk</v>
      </c>
      <c r="R115">
        <f>IF(Table1[[#This Row],[Seconds of Use]]=0,0,Table1[[#This Row],[Customer Value]]/Table1[[#This Row],[Seconds of Use]]*100)</f>
        <v>67.029983525535414</v>
      </c>
    </row>
    <row r="116" spans="1:18" x14ac:dyDescent="0.35">
      <c r="A116" s="3" t="s">
        <v>137</v>
      </c>
      <c r="B116">
        <v>6</v>
      </c>
      <c r="C116">
        <v>0</v>
      </c>
      <c r="D116">
        <v>35</v>
      </c>
      <c r="E116">
        <v>0</v>
      </c>
      <c r="F116">
        <v>15425</v>
      </c>
      <c r="G116">
        <v>179</v>
      </c>
      <c r="H116">
        <v>145</v>
      </c>
      <c r="I116">
        <v>28</v>
      </c>
      <c r="J116">
        <v>2</v>
      </c>
      <c r="K116">
        <v>1</v>
      </c>
      <c r="L116">
        <v>1</v>
      </c>
      <c r="M116">
        <v>25</v>
      </c>
      <c r="N116">
        <v>1354.68</v>
      </c>
      <c r="O116">
        <v>0</v>
      </c>
      <c r="P1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6" t="str">
        <f>IF(Table1[[#This Row],[Fraud_Score]]&gt;=6, "High Risk",IF(Table1[[#This Row],[Fraud_Score]]&gt;=3, "Medium Risk", "Low Risk"))</f>
        <v>Medium Risk</v>
      </c>
      <c r="R116">
        <f>IF(Table1[[#This Row],[Seconds of Use]]=0,0,Table1[[#This Row],[Customer Value]]/Table1[[#This Row],[Seconds of Use]]*100)</f>
        <v>8.7823662884927067</v>
      </c>
    </row>
    <row r="117" spans="1:18" x14ac:dyDescent="0.35">
      <c r="A117" s="3" t="s">
        <v>138</v>
      </c>
      <c r="B117">
        <v>0</v>
      </c>
      <c r="C117">
        <v>0</v>
      </c>
      <c r="D117">
        <v>35</v>
      </c>
      <c r="E117">
        <v>0</v>
      </c>
      <c r="F117">
        <v>6440</v>
      </c>
      <c r="G117">
        <v>83</v>
      </c>
      <c r="H117">
        <v>181</v>
      </c>
      <c r="I117">
        <v>24</v>
      </c>
      <c r="J117">
        <v>3</v>
      </c>
      <c r="K117">
        <v>1</v>
      </c>
      <c r="L117">
        <v>1</v>
      </c>
      <c r="M117">
        <v>30</v>
      </c>
      <c r="N117">
        <v>984.92</v>
      </c>
      <c r="O117">
        <v>0</v>
      </c>
      <c r="P1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7" t="str">
        <f>IF(Table1[[#This Row],[Fraud_Score]]&gt;=6, "High Risk",IF(Table1[[#This Row],[Fraud_Score]]&gt;=3, "Medium Risk", "Low Risk"))</f>
        <v>Low Risk</v>
      </c>
      <c r="R117">
        <f>IF(Table1[[#This Row],[Seconds of Use]]=0,0,Table1[[#This Row],[Customer Value]]/Table1[[#This Row],[Seconds of Use]]*100)</f>
        <v>15.293788819875775</v>
      </c>
    </row>
    <row r="118" spans="1:18" x14ac:dyDescent="0.35">
      <c r="A118" s="3" t="s">
        <v>139</v>
      </c>
      <c r="B118">
        <v>0</v>
      </c>
      <c r="C118">
        <v>0</v>
      </c>
      <c r="D118">
        <v>35</v>
      </c>
      <c r="E118">
        <v>0</v>
      </c>
      <c r="F118">
        <v>815</v>
      </c>
      <c r="G118">
        <v>11</v>
      </c>
      <c r="H118">
        <v>0</v>
      </c>
      <c r="I118">
        <v>9</v>
      </c>
      <c r="J118">
        <v>2</v>
      </c>
      <c r="K118">
        <v>1</v>
      </c>
      <c r="L118">
        <v>2</v>
      </c>
      <c r="M118">
        <v>25</v>
      </c>
      <c r="N118">
        <v>37.17</v>
      </c>
      <c r="O118">
        <v>0</v>
      </c>
      <c r="P1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" t="str">
        <f>IF(Table1[[#This Row],[Fraud_Score]]&gt;=6, "High Risk",IF(Table1[[#This Row],[Fraud_Score]]&gt;=3, "Medium Risk", "Low Risk"))</f>
        <v>Low Risk</v>
      </c>
      <c r="R118">
        <f>IF(Table1[[#This Row],[Seconds of Use]]=0,0,Table1[[#This Row],[Customer Value]]/Table1[[#This Row],[Seconds of Use]]*100)</f>
        <v>4.5607361963190183</v>
      </c>
    </row>
    <row r="119" spans="1:18" x14ac:dyDescent="0.35">
      <c r="A119" s="3" t="s">
        <v>140</v>
      </c>
      <c r="B119">
        <v>0</v>
      </c>
      <c r="C119">
        <v>0</v>
      </c>
      <c r="D119">
        <v>36</v>
      </c>
      <c r="E119">
        <v>0</v>
      </c>
      <c r="F119">
        <v>650</v>
      </c>
      <c r="G119">
        <v>11</v>
      </c>
      <c r="H119">
        <v>8</v>
      </c>
      <c r="I119">
        <v>6</v>
      </c>
      <c r="J119">
        <v>2</v>
      </c>
      <c r="K119">
        <v>1</v>
      </c>
      <c r="L119">
        <v>2</v>
      </c>
      <c r="M119">
        <v>25</v>
      </c>
      <c r="N119">
        <v>65.745000000000005</v>
      </c>
      <c r="O119">
        <v>0</v>
      </c>
      <c r="P1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" t="str">
        <f>IF(Table1[[#This Row],[Fraud_Score]]&gt;=6, "High Risk",IF(Table1[[#This Row],[Fraud_Score]]&gt;=3, "Medium Risk", "Low Risk"))</f>
        <v>Low Risk</v>
      </c>
      <c r="R119">
        <f>IF(Table1[[#This Row],[Seconds of Use]]=0,0,Table1[[#This Row],[Customer Value]]/Table1[[#This Row],[Seconds of Use]]*100)</f>
        <v>10.114615384615385</v>
      </c>
    </row>
    <row r="120" spans="1:18" x14ac:dyDescent="0.35">
      <c r="A120" s="3" t="s">
        <v>141</v>
      </c>
      <c r="B120">
        <v>0</v>
      </c>
      <c r="C120">
        <v>0</v>
      </c>
      <c r="D120">
        <v>35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1</v>
      </c>
      <c r="L120">
        <v>2</v>
      </c>
      <c r="M120">
        <v>25</v>
      </c>
      <c r="N120">
        <v>0</v>
      </c>
      <c r="O120">
        <v>1</v>
      </c>
      <c r="P1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" t="str">
        <f>IF(Table1[[#This Row],[Fraud_Score]]&gt;=6, "High Risk",IF(Table1[[#This Row],[Fraud_Score]]&gt;=3, "Medium Risk", "Low Risk"))</f>
        <v>Low Risk</v>
      </c>
      <c r="R120">
        <f>IF(Table1[[#This Row],[Seconds of Use]]=0,0,Table1[[#This Row],[Customer Value]]/Table1[[#This Row],[Seconds of Use]]*100)</f>
        <v>0</v>
      </c>
    </row>
    <row r="121" spans="1:18" x14ac:dyDescent="0.35">
      <c r="A121" s="3" t="s">
        <v>142</v>
      </c>
      <c r="B121">
        <v>0</v>
      </c>
      <c r="C121">
        <v>0</v>
      </c>
      <c r="D121">
        <v>35</v>
      </c>
      <c r="E121">
        <v>0</v>
      </c>
      <c r="F121">
        <v>7448</v>
      </c>
      <c r="G121">
        <v>124</v>
      </c>
      <c r="H121">
        <v>379</v>
      </c>
      <c r="I121">
        <v>41</v>
      </c>
      <c r="J121">
        <v>2</v>
      </c>
      <c r="K121">
        <v>1</v>
      </c>
      <c r="L121">
        <v>1</v>
      </c>
      <c r="M121">
        <v>25</v>
      </c>
      <c r="N121">
        <v>2046.24</v>
      </c>
      <c r="O121">
        <v>0</v>
      </c>
      <c r="P1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1" t="str">
        <f>IF(Table1[[#This Row],[Fraud_Score]]&gt;=6, "High Risk",IF(Table1[[#This Row],[Fraud_Score]]&gt;=3, "Medium Risk", "Low Risk"))</f>
        <v>Low Risk</v>
      </c>
      <c r="R121">
        <f>IF(Table1[[#This Row],[Seconds of Use]]=0,0,Table1[[#This Row],[Customer Value]]/Table1[[#This Row],[Seconds of Use]]*100)</f>
        <v>27.473684210526315</v>
      </c>
    </row>
    <row r="122" spans="1:18" x14ac:dyDescent="0.35">
      <c r="A122" s="3" t="s">
        <v>143</v>
      </c>
      <c r="B122">
        <v>4</v>
      </c>
      <c r="C122">
        <v>0</v>
      </c>
      <c r="D122">
        <v>35</v>
      </c>
      <c r="E122">
        <v>0</v>
      </c>
      <c r="F122">
        <v>11405</v>
      </c>
      <c r="G122">
        <v>151</v>
      </c>
      <c r="H122">
        <v>6</v>
      </c>
      <c r="I122">
        <v>45</v>
      </c>
      <c r="J122">
        <v>3</v>
      </c>
      <c r="K122">
        <v>1</v>
      </c>
      <c r="L122">
        <v>1</v>
      </c>
      <c r="M122">
        <v>30</v>
      </c>
      <c r="N122">
        <v>486.24</v>
      </c>
      <c r="O122">
        <v>0</v>
      </c>
      <c r="P1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2" t="str">
        <f>IF(Table1[[#This Row],[Fraud_Score]]&gt;=6, "High Risk",IF(Table1[[#This Row],[Fraud_Score]]&gt;=3, "Medium Risk", "Low Risk"))</f>
        <v>Medium Risk</v>
      </c>
      <c r="R122">
        <f>IF(Table1[[#This Row],[Seconds of Use]]=0,0,Table1[[#This Row],[Customer Value]]/Table1[[#This Row],[Seconds of Use]]*100)</f>
        <v>4.263393248575186</v>
      </c>
    </row>
    <row r="123" spans="1:18" x14ac:dyDescent="0.35">
      <c r="A123" s="3" t="s">
        <v>144</v>
      </c>
      <c r="B123">
        <v>5</v>
      </c>
      <c r="C123">
        <v>0</v>
      </c>
      <c r="D123">
        <v>35</v>
      </c>
      <c r="E123">
        <v>0</v>
      </c>
      <c r="F123">
        <v>6658</v>
      </c>
      <c r="G123">
        <v>72</v>
      </c>
      <c r="H123">
        <v>103</v>
      </c>
      <c r="I123">
        <v>35</v>
      </c>
      <c r="J123">
        <v>2</v>
      </c>
      <c r="K123">
        <v>1</v>
      </c>
      <c r="L123">
        <v>1</v>
      </c>
      <c r="M123">
        <v>25</v>
      </c>
      <c r="N123">
        <v>766.35</v>
      </c>
      <c r="O123">
        <v>0</v>
      </c>
      <c r="P1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3" t="str">
        <f>IF(Table1[[#This Row],[Fraud_Score]]&gt;=6, "High Risk",IF(Table1[[#This Row],[Fraud_Score]]&gt;=3, "Medium Risk", "Low Risk"))</f>
        <v>Low Risk</v>
      </c>
      <c r="R123">
        <f>IF(Table1[[#This Row],[Seconds of Use]]=0,0,Table1[[#This Row],[Customer Value]]/Table1[[#This Row],[Seconds of Use]]*100)</f>
        <v>11.510213277260439</v>
      </c>
    </row>
    <row r="124" spans="1:18" x14ac:dyDescent="0.35">
      <c r="A124" s="3" t="s">
        <v>145</v>
      </c>
      <c r="B124">
        <v>20</v>
      </c>
      <c r="C124">
        <v>0</v>
      </c>
      <c r="D124">
        <v>31</v>
      </c>
      <c r="E124">
        <v>0</v>
      </c>
      <c r="F124">
        <v>895</v>
      </c>
      <c r="G124">
        <v>44</v>
      </c>
      <c r="H124">
        <v>11</v>
      </c>
      <c r="I124">
        <v>15</v>
      </c>
      <c r="J124">
        <v>2</v>
      </c>
      <c r="K124">
        <v>1</v>
      </c>
      <c r="L124">
        <v>2</v>
      </c>
      <c r="M124">
        <v>25</v>
      </c>
      <c r="N124">
        <v>91.754999999999995</v>
      </c>
      <c r="O124">
        <v>1</v>
      </c>
      <c r="P1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4" t="str">
        <f>IF(Table1[[#This Row],[Fraud_Score]]&gt;=6, "High Risk",IF(Table1[[#This Row],[Fraud_Score]]&gt;=3, "Medium Risk", "Low Risk"))</f>
        <v>Medium Risk</v>
      </c>
      <c r="R124">
        <f>IF(Table1[[#This Row],[Seconds of Use]]=0,0,Table1[[#This Row],[Customer Value]]/Table1[[#This Row],[Seconds of Use]]*100)</f>
        <v>10.25195530726257</v>
      </c>
    </row>
    <row r="125" spans="1:18" x14ac:dyDescent="0.35">
      <c r="A125" s="3" t="s">
        <v>146</v>
      </c>
      <c r="B125">
        <v>18</v>
      </c>
      <c r="C125">
        <v>0</v>
      </c>
      <c r="D125">
        <v>34</v>
      </c>
      <c r="E125">
        <v>7</v>
      </c>
      <c r="F125">
        <v>10375</v>
      </c>
      <c r="G125">
        <v>90</v>
      </c>
      <c r="H125">
        <v>0</v>
      </c>
      <c r="I125">
        <v>40</v>
      </c>
      <c r="J125">
        <v>4</v>
      </c>
      <c r="K125">
        <v>1</v>
      </c>
      <c r="L125">
        <v>1</v>
      </c>
      <c r="M125">
        <v>45</v>
      </c>
      <c r="N125">
        <v>261.625</v>
      </c>
      <c r="O125">
        <v>0</v>
      </c>
      <c r="P1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25" t="str">
        <f>IF(Table1[[#This Row],[Fraud_Score]]&gt;=6, "High Risk",IF(Table1[[#This Row],[Fraud_Score]]&gt;=3, "Medium Risk", "Low Risk"))</f>
        <v>Low Risk</v>
      </c>
      <c r="R125">
        <f>IF(Table1[[#This Row],[Seconds of Use]]=0,0,Table1[[#This Row],[Customer Value]]/Table1[[#This Row],[Seconds of Use]]*100)</f>
        <v>2.5216867469879518</v>
      </c>
    </row>
    <row r="126" spans="1:18" x14ac:dyDescent="0.35">
      <c r="A126" s="3" t="s">
        <v>147</v>
      </c>
      <c r="B126">
        <v>10</v>
      </c>
      <c r="C126">
        <v>0</v>
      </c>
      <c r="D126">
        <v>34</v>
      </c>
      <c r="E126">
        <v>0</v>
      </c>
      <c r="F126">
        <v>5758</v>
      </c>
      <c r="G126">
        <v>95</v>
      </c>
      <c r="H126">
        <v>21</v>
      </c>
      <c r="I126">
        <v>22</v>
      </c>
      <c r="J126">
        <v>2</v>
      </c>
      <c r="K126">
        <v>1</v>
      </c>
      <c r="L126">
        <v>1</v>
      </c>
      <c r="M126">
        <v>25</v>
      </c>
      <c r="N126">
        <v>357.88499999999999</v>
      </c>
      <c r="O126">
        <v>1</v>
      </c>
      <c r="P1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" t="str">
        <f>IF(Table1[[#This Row],[Fraud_Score]]&gt;=6, "High Risk",IF(Table1[[#This Row],[Fraud_Score]]&gt;=3, "Medium Risk", "Low Risk"))</f>
        <v>Low Risk</v>
      </c>
      <c r="R126">
        <f>IF(Table1[[#This Row],[Seconds of Use]]=0,0,Table1[[#This Row],[Customer Value]]/Table1[[#This Row],[Seconds of Use]]*100)</f>
        <v>6.2154393886766242</v>
      </c>
    </row>
    <row r="127" spans="1:18" x14ac:dyDescent="0.35">
      <c r="A127" s="3" t="s">
        <v>148</v>
      </c>
      <c r="B127">
        <v>0</v>
      </c>
      <c r="C127">
        <v>0</v>
      </c>
      <c r="D127">
        <v>32</v>
      </c>
      <c r="E127">
        <v>0</v>
      </c>
      <c r="F127">
        <v>2780</v>
      </c>
      <c r="G127">
        <v>19</v>
      </c>
      <c r="H127">
        <v>0</v>
      </c>
      <c r="I127">
        <v>12</v>
      </c>
      <c r="J127">
        <v>3</v>
      </c>
      <c r="K127">
        <v>1</v>
      </c>
      <c r="L127">
        <v>1</v>
      </c>
      <c r="M127">
        <v>30</v>
      </c>
      <c r="N127">
        <v>111.96</v>
      </c>
      <c r="O127">
        <v>0</v>
      </c>
      <c r="P1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7" t="str">
        <f>IF(Table1[[#This Row],[Fraud_Score]]&gt;=6, "High Risk",IF(Table1[[#This Row],[Fraud_Score]]&gt;=3, "Medium Risk", "Low Risk"))</f>
        <v>Low Risk</v>
      </c>
      <c r="R127">
        <f>IF(Table1[[#This Row],[Seconds of Use]]=0,0,Table1[[#This Row],[Customer Value]]/Table1[[#This Row],[Seconds of Use]]*100)</f>
        <v>4.0273381294964032</v>
      </c>
    </row>
    <row r="128" spans="1:18" x14ac:dyDescent="0.35">
      <c r="A128" s="3" t="s">
        <v>149</v>
      </c>
      <c r="B128">
        <v>6</v>
      </c>
      <c r="C128">
        <v>0</v>
      </c>
      <c r="D128">
        <v>33</v>
      </c>
      <c r="E128">
        <v>0</v>
      </c>
      <c r="F128">
        <v>2930</v>
      </c>
      <c r="G128">
        <v>38</v>
      </c>
      <c r="H128">
        <v>4</v>
      </c>
      <c r="I128">
        <v>14</v>
      </c>
      <c r="J128">
        <v>2</v>
      </c>
      <c r="K128">
        <v>1</v>
      </c>
      <c r="L128">
        <v>2</v>
      </c>
      <c r="M128">
        <v>25</v>
      </c>
      <c r="N128">
        <v>151.56</v>
      </c>
      <c r="O128">
        <v>1</v>
      </c>
      <c r="P1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" t="str">
        <f>IF(Table1[[#This Row],[Fraud_Score]]&gt;=6, "High Risk",IF(Table1[[#This Row],[Fraud_Score]]&gt;=3, "Medium Risk", "Low Risk"))</f>
        <v>Low Risk</v>
      </c>
      <c r="R128">
        <f>IF(Table1[[#This Row],[Seconds of Use]]=0,0,Table1[[#This Row],[Customer Value]]/Table1[[#This Row],[Seconds of Use]]*100)</f>
        <v>5.1726962457337882</v>
      </c>
    </row>
    <row r="129" spans="1:18" x14ac:dyDescent="0.35">
      <c r="A129" s="3" t="s">
        <v>150</v>
      </c>
      <c r="B129">
        <v>6</v>
      </c>
      <c r="C129">
        <v>1</v>
      </c>
      <c r="D129">
        <v>34</v>
      </c>
      <c r="E129">
        <v>0</v>
      </c>
      <c r="F129">
        <v>2208</v>
      </c>
      <c r="G129">
        <v>41</v>
      </c>
      <c r="H129">
        <v>29</v>
      </c>
      <c r="I129">
        <v>29</v>
      </c>
      <c r="J129">
        <v>3</v>
      </c>
      <c r="K129">
        <v>1</v>
      </c>
      <c r="L129">
        <v>2</v>
      </c>
      <c r="M129">
        <v>30</v>
      </c>
      <c r="N129">
        <v>205.96</v>
      </c>
      <c r="O129">
        <v>1</v>
      </c>
      <c r="P1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9" t="str">
        <f>IF(Table1[[#This Row],[Fraud_Score]]&gt;=6, "High Risk",IF(Table1[[#This Row],[Fraud_Score]]&gt;=3, "Medium Risk", "Low Risk"))</f>
        <v>Medium Risk</v>
      </c>
      <c r="R129">
        <f>IF(Table1[[#This Row],[Seconds of Use]]=0,0,Table1[[#This Row],[Customer Value]]/Table1[[#This Row],[Seconds of Use]]*100)</f>
        <v>9.3278985507246386</v>
      </c>
    </row>
    <row r="130" spans="1:18" x14ac:dyDescent="0.35">
      <c r="A130" s="3" t="s">
        <v>151</v>
      </c>
      <c r="B130">
        <v>0</v>
      </c>
      <c r="C130">
        <v>1</v>
      </c>
      <c r="D130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3</v>
      </c>
      <c r="K130">
        <v>1</v>
      </c>
      <c r="L130">
        <v>2</v>
      </c>
      <c r="M130">
        <v>30</v>
      </c>
      <c r="N130">
        <v>0</v>
      </c>
      <c r="O130">
        <v>1</v>
      </c>
      <c r="P1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0" t="str">
        <f>IF(Table1[[#This Row],[Fraud_Score]]&gt;=6, "High Risk",IF(Table1[[#This Row],[Fraud_Score]]&gt;=3, "Medium Risk", "Low Risk"))</f>
        <v>Medium Risk</v>
      </c>
      <c r="R130">
        <f>IF(Table1[[#This Row],[Seconds of Use]]=0,0,Table1[[#This Row],[Customer Value]]/Table1[[#This Row],[Seconds of Use]]*100)</f>
        <v>0</v>
      </c>
    </row>
    <row r="131" spans="1:18" x14ac:dyDescent="0.35">
      <c r="A131" s="3" t="s">
        <v>152</v>
      </c>
      <c r="B131">
        <v>0</v>
      </c>
      <c r="C131">
        <v>0</v>
      </c>
      <c r="D131">
        <v>34</v>
      </c>
      <c r="E131">
        <v>0</v>
      </c>
      <c r="F131">
        <v>1608</v>
      </c>
      <c r="G131">
        <v>22</v>
      </c>
      <c r="H131">
        <v>0</v>
      </c>
      <c r="I131">
        <v>4</v>
      </c>
      <c r="J131">
        <v>3</v>
      </c>
      <c r="K131">
        <v>1</v>
      </c>
      <c r="L131">
        <v>1</v>
      </c>
      <c r="M131">
        <v>30</v>
      </c>
      <c r="N131">
        <v>65.2</v>
      </c>
      <c r="O131">
        <v>0</v>
      </c>
      <c r="P1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1" t="str">
        <f>IF(Table1[[#This Row],[Fraud_Score]]&gt;=6, "High Risk",IF(Table1[[#This Row],[Fraud_Score]]&gt;=3, "Medium Risk", "Low Risk"))</f>
        <v>Low Risk</v>
      </c>
      <c r="R131">
        <f>IF(Table1[[#This Row],[Seconds of Use]]=0,0,Table1[[#This Row],[Customer Value]]/Table1[[#This Row],[Seconds of Use]]*100)</f>
        <v>4.0547263681592041</v>
      </c>
    </row>
    <row r="132" spans="1:18" x14ac:dyDescent="0.35">
      <c r="A132" s="3" t="s">
        <v>153</v>
      </c>
      <c r="B132">
        <v>0</v>
      </c>
      <c r="C132">
        <v>0</v>
      </c>
      <c r="D132">
        <v>31</v>
      </c>
      <c r="E132">
        <v>0</v>
      </c>
      <c r="F132">
        <v>6725</v>
      </c>
      <c r="G132">
        <v>94</v>
      </c>
      <c r="H132">
        <v>9</v>
      </c>
      <c r="I132">
        <v>20</v>
      </c>
      <c r="J132">
        <v>4</v>
      </c>
      <c r="K132">
        <v>1</v>
      </c>
      <c r="L132">
        <v>1</v>
      </c>
      <c r="M132">
        <v>45</v>
      </c>
      <c r="N132">
        <v>192.97499999999999</v>
      </c>
      <c r="O132">
        <v>0</v>
      </c>
      <c r="P1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2" t="str">
        <f>IF(Table1[[#This Row],[Fraud_Score]]&gt;=6, "High Risk",IF(Table1[[#This Row],[Fraud_Score]]&gt;=3, "Medium Risk", "Low Risk"))</f>
        <v>Low Risk</v>
      </c>
      <c r="R132">
        <f>IF(Table1[[#This Row],[Seconds of Use]]=0,0,Table1[[#This Row],[Customer Value]]/Table1[[#This Row],[Seconds of Use]]*100)</f>
        <v>2.8695167286245349</v>
      </c>
    </row>
    <row r="133" spans="1:18" x14ac:dyDescent="0.35">
      <c r="A133" s="3" t="s">
        <v>154</v>
      </c>
      <c r="B133">
        <v>0</v>
      </c>
      <c r="C133">
        <v>0</v>
      </c>
      <c r="D133">
        <v>34</v>
      </c>
      <c r="E133">
        <v>0</v>
      </c>
      <c r="F133">
        <v>568</v>
      </c>
      <c r="G133">
        <v>4</v>
      </c>
      <c r="H133">
        <v>4</v>
      </c>
      <c r="I133">
        <v>2</v>
      </c>
      <c r="J133">
        <v>4</v>
      </c>
      <c r="K133">
        <v>1</v>
      </c>
      <c r="L133">
        <v>2</v>
      </c>
      <c r="M133">
        <v>45</v>
      </c>
      <c r="N133">
        <v>24.3</v>
      </c>
      <c r="O133">
        <v>1</v>
      </c>
      <c r="P1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3" t="str">
        <f>IF(Table1[[#This Row],[Fraud_Score]]&gt;=6, "High Risk",IF(Table1[[#This Row],[Fraud_Score]]&gt;=3, "Medium Risk", "Low Risk"))</f>
        <v>Low Risk</v>
      </c>
      <c r="R133">
        <f>IF(Table1[[#This Row],[Seconds of Use]]=0,0,Table1[[#This Row],[Customer Value]]/Table1[[#This Row],[Seconds of Use]]*100)</f>
        <v>4.278169014084507</v>
      </c>
    </row>
    <row r="134" spans="1:18" x14ac:dyDescent="0.35">
      <c r="A134" s="3" t="s">
        <v>155</v>
      </c>
      <c r="B134">
        <v>0</v>
      </c>
      <c r="C134">
        <v>0</v>
      </c>
      <c r="D134">
        <v>34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</v>
      </c>
      <c r="K134">
        <v>1</v>
      </c>
      <c r="L134">
        <v>1</v>
      </c>
      <c r="M134">
        <v>55</v>
      </c>
      <c r="N134">
        <v>0</v>
      </c>
      <c r="O134">
        <v>0</v>
      </c>
      <c r="P1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4" t="str">
        <f>IF(Table1[[#This Row],[Fraud_Score]]&gt;=6, "High Risk",IF(Table1[[#This Row],[Fraud_Score]]&gt;=3, "Medium Risk", "Low Risk"))</f>
        <v>Low Risk</v>
      </c>
      <c r="R134">
        <f>IF(Table1[[#This Row],[Seconds of Use]]=0,0,Table1[[#This Row],[Customer Value]]/Table1[[#This Row],[Seconds of Use]]*100)</f>
        <v>0</v>
      </c>
    </row>
    <row r="135" spans="1:18" x14ac:dyDescent="0.35">
      <c r="A135" s="3" t="s">
        <v>156</v>
      </c>
      <c r="B135">
        <v>22</v>
      </c>
      <c r="C135">
        <v>0</v>
      </c>
      <c r="D135">
        <v>29</v>
      </c>
      <c r="E135">
        <v>2</v>
      </c>
      <c r="F135">
        <v>16015</v>
      </c>
      <c r="G135">
        <v>235</v>
      </c>
      <c r="H135">
        <v>0</v>
      </c>
      <c r="I135">
        <v>78</v>
      </c>
      <c r="J135">
        <v>2</v>
      </c>
      <c r="K135">
        <v>1</v>
      </c>
      <c r="L135">
        <v>1</v>
      </c>
      <c r="M135">
        <v>25</v>
      </c>
      <c r="N135">
        <v>731.25</v>
      </c>
      <c r="O135">
        <v>0</v>
      </c>
      <c r="P1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35" t="str">
        <f>IF(Table1[[#This Row],[Fraud_Score]]&gt;=6, "High Risk",IF(Table1[[#This Row],[Fraud_Score]]&gt;=3, "Medium Risk", "Low Risk"))</f>
        <v>Medium Risk</v>
      </c>
      <c r="R135">
        <f>IF(Table1[[#This Row],[Seconds of Use]]=0,0,Table1[[#This Row],[Customer Value]]/Table1[[#This Row],[Seconds of Use]]*100)</f>
        <v>4.5660318451451767</v>
      </c>
    </row>
    <row r="136" spans="1:18" x14ac:dyDescent="0.35">
      <c r="A136" s="3" t="s">
        <v>157</v>
      </c>
      <c r="B136">
        <v>3</v>
      </c>
      <c r="C136">
        <v>0</v>
      </c>
      <c r="D136">
        <v>32</v>
      </c>
      <c r="E136">
        <v>2</v>
      </c>
      <c r="F136">
        <v>6905</v>
      </c>
      <c r="G136">
        <v>113</v>
      </c>
      <c r="H136">
        <v>266</v>
      </c>
      <c r="I136">
        <v>31</v>
      </c>
      <c r="J136">
        <v>2</v>
      </c>
      <c r="K136">
        <v>2</v>
      </c>
      <c r="L136">
        <v>1</v>
      </c>
      <c r="M136">
        <v>25</v>
      </c>
      <c r="N136">
        <v>1512.81</v>
      </c>
      <c r="O136">
        <v>0</v>
      </c>
      <c r="P1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6" t="str">
        <f>IF(Table1[[#This Row],[Fraud_Score]]&gt;=6, "High Risk",IF(Table1[[#This Row],[Fraud_Score]]&gt;=3, "Medium Risk", "Low Risk"))</f>
        <v>Low Risk</v>
      </c>
      <c r="R136">
        <f>IF(Table1[[#This Row],[Seconds of Use]]=0,0,Table1[[#This Row],[Customer Value]]/Table1[[#This Row],[Seconds of Use]]*100)</f>
        <v>21.90890658942795</v>
      </c>
    </row>
    <row r="137" spans="1:18" x14ac:dyDescent="0.35">
      <c r="A137" s="3" t="s">
        <v>158</v>
      </c>
      <c r="B137">
        <v>0</v>
      </c>
      <c r="C137">
        <v>0</v>
      </c>
      <c r="D137">
        <v>34</v>
      </c>
      <c r="E137">
        <v>0</v>
      </c>
      <c r="F137">
        <v>3658</v>
      </c>
      <c r="G137">
        <v>79</v>
      </c>
      <c r="H137">
        <v>0</v>
      </c>
      <c r="I137">
        <v>26</v>
      </c>
      <c r="J137">
        <v>2</v>
      </c>
      <c r="K137">
        <v>1</v>
      </c>
      <c r="L137">
        <v>1</v>
      </c>
      <c r="M137">
        <v>25</v>
      </c>
      <c r="N137">
        <v>168.16499999999999</v>
      </c>
      <c r="O137">
        <v>0</v>
      </c>
      <c r="P1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7" t="str">
        <f>IF(Table1[[#This Row],[Fraud_Score]]&gt;=6, "High Risk",IF(Table1[[#This Row],[Fraud_Score]]&gt;=3, "Medium Risk", "Low Risk"))</f>
        <v>Low Risk</v>
      </c>
      <c r="R137">
        <f>IF(Table1[[#This Row],[Seconds of Use]]=0,0,Table1[[#This Row],[Customer Value]]/Table1[[#This Row],[Seconds of Use]]*100)</f>
        <v>4.597184253690541</v>
      </c>
    </row>
    <row r="138" spans="1:18" x14ac:dyDescent="0.35">
      <c r="A138" s="3" t="s">
        <v>159</v>
      </c>
      <c r="B138">
        <v>0</v>
      </c>
      <c r="C138">
        <v>0</v>
      </c>
      <c r="D138">
        <v>33</v>
      </c>
      <c r="E138">
        <v>0</v>
      </c>
      <c r="F138">
        <v>1605</v>
      </c>
      <c r="G138">
        <v>41</v>
      </c>
      <c r="H138">
        <v>33</v>
      </c>
      <c r="I138">
        <v>18</v>
      </c>
      <c r="J138">
        <v>3</v>
      </c>
      <c r="K138">
        <v>1</v>
      </c>
      <c r="L138">
        <v>2</v>
      </c>
      <c r="M138">
        <v>30</v>
      </c>
      <c r="N138">
        <v>197.84</v>
      </c>
      <c r="O138">
        <v>0</v>
      </c>
      <c r="P1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" t="str">
        <f>IF(Table1[[#This Row],[Fraud_Score]]&gt;=6, "High Risk",IF(Table1[[#This Row],[Fraud_Score]]&gt;=3, "Medium Risk", "Low Risk"))</f>
        <v>Low Risk</v>
      </c>
      <c r="R138">
        <f>IF(Table1[[#This Row],[Seconds of Use]]=0,0,Table1[[#This Row],[Customer Value]]/Table1[[#This Row],[Seconds of Use]]*100)</f>
        <v>12.326479750778816</v>
      </c>
    </row>
    <row r="139" spans="1:18" x14ac:dyDescent="0.35">
      <c r="A139" s="3" t="s">
        <v>160</v>
      </c>
      <c r="B139">
        <v>3</v>
      </c>
      <c r="C139">
        <v>0</v>
      </c>
      <c r="D139">
        <v>34</v>
      </c>
      <c r="E139">
        <v>0</v>
      </c>
      <c r="F139">
        <v>2720</v>
      </c>
      <c r="G139">
        <v>50</v>
      </c>
      <c r="H139">
        <v>170</v>
      </c>
      <c r="I139">
        <v>21</v>
      </c>
      <c r="J139">
        <v>2</v>
      </c>
      <c r="K139">
        <v>1</v>
      </c>
      <c r="L139">
        <v>1</v>
      </c>
      <c r="M139">
        <v>25</v>
      </c>
      <c r="N139">
        <v>889.65</v>
      </c>
      <c r="O139">
        <v>0</v>
      </c>
      <c r="P1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" t="str">
        <f>IF(Table1[[#This Row],[Fraud_Score]]&gt;=6, "High Risk",IF(Table1[[#This Row],[Fraud_Score]]&gt;=3, "Medium Risk", "Low Risk"))</f>
        <v>Low Risk</v>
      </c>
      <c r="R139">
        <f>IF(Table1[[#This Row],[Seconds of Use]]=0,0,Table1[[#This Row],[Customer Value]]/Table1[[#This Row],[Seconds of Use]]*100)</f>
        <v>32.707720588235297</v>
      </c>
    </row>
    <row r="140" spans="1:18" x14ac:dyDescent="0.35">
      <c r="A140" s="3" t="s">
        <v>161</v>
      </c>
      <c r="B140">
        <v>1</v>
      </c>
      <c r="C140">
        <v>0</v>
      </c>
      <c r="D140">
        <v>25</v>
      </c>
      <c r="E140">
        <v>0</v>
      </c>
      <c r="F140">
        <v>1255</v>
      </c>
      <c r="G140">
        <v>33</v>
      </c>
      <c r="H140">
        <v>188</v>
      </c>
      <c r="I140">
        <v>9</v>
      </c>
      <c r="J140">
        <v>2</v>
      </c>
      <c r="K140">
        <v>2</v>
      </c>
      <c r="L140">
        <v>1</v>
      </c>
      <c r="M140">
        <v>25</v>
      </c>
      <c r="N140">
        <v>903.96</v>
      </c>
      <c r="O140">
        <v>0</v>
      </c>
      <c r="P1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" t="str">
        <f>IF(Table1[[#This Row],[Fraud_Score]]&gt;=6, "High Risk",IF(Table1[[#This Row],[Fraud_Score]]&gt;=3, "Medium Risk", "Low Risk"))</f>
        <v>Low Risk</v>
      </c>
      <c r="R140">
        <f>IF(Table1[[#This Row],[Seconds of Use]]=0,0,Table1[[#This Row],[Customer Value]]/Table1[[#This Row],[Seconds of Use]]*100)</f>
        <v>72.028685258964146</v>
      </c>
    </row>
    <row r="141" spans="1:18" x14ac:dyDescent="0.35">
      <c r="A141" s="3" t="s">
        <v>162</v>
      </c>
      <c r="B141">
        <v>1</v>
      </c>
      <c r="C141">
        <v>0</v>
      </c>
      <c r="D141">
        <v>24</v>
      </c>
      <c r="E141">
        <v>0</v>
      </c>
      <c r="F141">
        <v>1508</v>
      </c>
      <c r="G141">
        <v>36</v>
      </c>
      <c r="H141">
        <v>25</v>
      </c>
      <c r="I141">
        <v>66</v>
      </c>
      <c r="J141">
        <v>4</v>
      </c>
      <c r="K141">
        <v>1</v>
      </c>
      <c r="L141">
        <v>1</v>
      </c>
      <c r="M141">
        <v>45</v>
      </c>
      <c r="N141">
        <v>101.1</v>
      </c>
      <c r="O141">
        <v>0</v>
      </c>
      <c r="P1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41" t="str">
        <f>IF(Table1[[#This Row],[Fraud_Score]]&gt;=6, "High Risk",IF(Table1[[#This Row],[Fraud_Score]]&gt;=3, "Medium Risk", "Low Risk"))</f>
        <v>Low Risk</v>
      </c>
      <c r="R141">
        <f>IF(Table1[[#This Row],[Seconds of Use]]=0,0,Table1[[#This Row],[Customer Value]]/Table1[[#This Row],[Seconds of Use]]*100)</f>
        <v>6.7042440318302381</v>
      </c>
    </row>
    <row r="142" spans="1:18" x14ac:dyDescent="0.35">
      <c r="A142" s="3" t="s">
        <v>163</v>
      </c>
      <c r="B142">
        <v>8</v>
      </c>
      <c r="C142">
        <v>0</v>
      </c>
      <c r="D142">
        <v>25</v>
      </c>
      <c r="E142">
        <v>0</v>
      </c>
      <c r="F142">
        <v>640</v>
      </c>
      <c r="G142">
        <v>22</v>
      </c>
      <c r="H142">
        <v>5</v>
      </c>
      <c r="I142">
        <v>5</v>
      </c>
      <c r="J142">
        <v>2</v>
      </c>
      <c r="K142">
        <v>1</v>
      </c>
      <c r="L142">
        <v>2</v>
      </c>
      <c r="M142">
        <v>25</v>
      </c>
      <c r="N142">
        <v>52.29</v>
      </c>
      <c r="O142">
        <v>0</v>
      </c>
      <c r="P1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2" t="str">
        <f>IF(Table1[[#This Row],[Fraud_Score]]&gt;=6, "High Risk",IF(Table1[[#This Row],[Fraud_Score]]&gt;=3, "Medium Risk", "Low Risk"))</f>
        <v>Low Risk</v>
      </c>
      <c r="R142">
        <f>IF(Table1[[#This Row],[Seconds of Use]]=0,0,Table1[[#This Row],[Customer Value]]/Table1[[#This Row],[Seconds of Use]]*100)</f>
        <v>8.1703124999999996</v>
      </c>
    </row>
    <row r="143" spans="1:18" x14ac:dyDescent="0.35">
      <c r="A143" s="3" t="s">
        <v>164</v>
      </c>
      <c r="B143">
        <v>0</v>
      </c>
      <c r="C143">
        <v>1</v>
      </c>
      <c r="D143">
        <v>24</v>
      </c>
      <c r="E143">
        <v>0</v>
      </c>
      <c r="F143">
        <v>765</v>
      </c>
      <c r="G143">
        <v>7</v>
      </c>
      <c r="H143">
        <v>16</v>
      </c>
      <c r="I143">
        <v>1</v>
      </c>
      <c r="J143">
        <v>4</v>
      </c>
      <c r="K143">
        <v>1</v>
      </c>
      <c r="L143">
        <v>2</v>
      </c>
      <c r="M143">
        <v>45</v>
      </c>
      <c r="N143">
        <v>59.3</v>
      </c>
      <c r="O143">
        <v>1</v>
      </c>
      <c r="P1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3" t="str">
        <f>IF(Table1[[#This Row],[Fraud_Score]]&gt;=6, "High Risk",IF(Table1[[#This Row],[Fraud_Score]]&gt;=3, "Medium Risk", "Low Risk"))</f>
        <v>Medium Risk</v>
      </c>
      <c r="R143">
        <f>IF(Table1[[#This Row],[Seconds of Use]]=0,0,Table1[[#This Row],[Customer Value]]/Table1[[#This Row],[Seconds of Use]]*100)</f>
        <v>7.7516339869281037</v>
      </c>
    </row>
    <row r="144" spans="1:18" x14ac:dyDescent="0.35">
      <c r="A144" s="3" t="s">
        <v>165</v>
      </c>
      <c r="B144">
        <v>7</v>
      </c>
      <c r="C144">
        <v>0</v>
      </c>
      <c r="D144">
        <v>23</v>
      </c>
      <c r="E144">
        <v>0</v>
      </c>
      <c r="F144">
        <v>1165</v>
      </c>
      <c r="G144">
        <v>29</v>
      </c>
      <c r="H144">
        <v>14</v>
      </c>
      <c r="I144">
        <v>11</v>
      </c>
      <c r="J144">
        <v>2</v>
      </c>
      <c r="K144">
        <v>1</v>
      </c>
      <c r="L144">
        <v>1</v>
      </c>
      <c r="M144">
        <v>25</v>
      </c>
      <c r="N144">
        <v>116.73</v>
      </c>
      <c r="O144">
        <v>0</v>
      </c>
      <c r="P1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4" t="str">
        <f>IF(Table1[[#This Row],[Fraud_Score]]&gt;=6, "High Risk",IF(Table1[[#This Row],[Fraud_Score]]&gt;=3, "Medium Risk", "Low Risk"))</f>
        <v>Low Risk</v>
      </c>
      <c r="R144">
        <f>IF(Table1[[#This Row],[Seconds of Use]]=0,0,Table1[[#This Row],[Customer Value]]/Table1[[#This Row],[Seconds of Use]]*100)</f>
        <v>10.019742489270387</v>
      </c>
    </row>
    <row r="145" spans="1:18" x14ac:dyDescent="0.35">
      <c r="A145" s="3" t="s">
        <v>166</v>
      </c>
      <c r="B145">
        <v>0</v>
      </c>
      <c r="C145">
        <v>0</v>
      </c>
      <c r="D145">
        <v>23</v>
      </c>
      <c r="E145">
        <v>0</v>
      </c>
      <c r="F145">
        <v>3165</v>
      </c>
      <c r="G145">
        <v>58</v>
      </c>
      <c r="H145">
        <v>3</v>
      </c>
      <c r="I145">
        <v>21</v>
      </c>
      <c r="J145">
        <v>3</v>
      </c>
      <c r="K145">
        <v>1</v>
      </c>
      <c r="L145">
        <v>1</v>
      </c>
      <c r="M145">
        <v>30</v>
      </c>
      <c r="N145">
        <v>140.91999999999999</v>
      </c>
      <c r="O145">
        <v>0</v>
      </c>
      <c r="P1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" t="str">
        <f>IF(Table1[[#This Row],[Fraud_Score]]&gt;=6, "High Risk",IF(Table1[[#This Row],[Fraud_Score]]&gt;=3, "Medium Risk", "Low Risk"))</f>
        <v>Low Risk</v>
      </c>
      <c r="R145">
        <f>IF(Table1[[#This Row],[Seconds of Use]]=0,0,Table1[[#This Row],[Customer Value]]/Table1[[#This Row],[Seconds of Use]]*100)</f>
        <v>4.4524486571879933</v>
      </c>
    </row>
    <row r="146" spans="1:18" x14ac:dyDescent="0.35">
      <c r="A146" s="3" t="s">
        <v>167</v>
      </c>
      <c r="B146">
        <v>0</v>
      </c>
      <c r="C146">
        <v>0</v>
      </c>
      <c r="D146">
        <v>16</v>
      </c>
      <c r="E146">
        <v>0</v>
      </c>
      <c r="F146">
        <v>1635</v>
      </c>
      <c r="G146">
        <v>23</v>
      </c>
      <c r="H146">
        <v>23</v>
      </c>
      <c r="I146">
        <v>12</v>
      </c>
      <c r="J146">
        <v>2</v>
      </c>
      <c r="K146">
        <v>1</v>
      </c>
      <c r="L146">
        <v>1</v>
      </c>
      <c r="M146">
        <v>25</v>
      </c>
      <c r="N146">
        <v>178.11</v>
      </c>
      <c r="O146">
        <v>0</v>
      </c>
      <c r="P1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" t="str">
        <f>IF(Table1[[#This Row],[Fraud_Score]]&gt;=6, "High Risk",IF(Table1[[#This Row],[Fraud_Score]]&gt;=3, "Medium Risk", "Low Risk"))</f>
        <v>Low Risk</v>
      </c>
      <c r="R146">
        <f>IF(Table1[[#This Row],[Seconds of Use]]=0,0,Table1[[#This Row],[Customer Value]]/Table1[[#This Row],[Seconds of Use]]*100)</f>
        <v>10.893577981651378</v>
      </c>
    </row>
    <row r="147" spans="1:18" x14ac:dyDescent="0.35">
      <c r="A147" s="3" t="s">
        <v>168</v>
      </c>
      <c r="B147">
        <v>13</v>
      </c>
      <c r="C147">
        <v>0</v>
      </c>
      <c r="D147">
        <v>15</v>
      </c>
      <c r="E147">
        <v>0</v>
      </c>
      <c r="F147">
        <v>6333</v>
      </c>
      <c r="G147">
        <v>138</v>
      </c>
      <c r="H147">
        <v>80</v>
      </c>
      <c r="I147">
        <v>40</v>
      </c>
      <c r="J147">
        <v>1</v>
      </c>
      <c r="K147">
        <v>2</v>
      </c>
      <c r="L147">
        <v>1</v>
      </c>
      <c r="M147">
        <v>15</v>
      </c>
      <c r="N147">
        <v>795.90499999999997</v>
      </c>
      <c r="O147">
        <v>0</v>
      </c>
      <c r="P1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7" t="str">
        <f>IF(Table1[[#This Row],[Fraud_Score]]&gt;=6, "High Risk",IF(Table1[[#This Row],[Fraud_Score]]&gt;=3, "Medium Risk", "Low Risk"))</f>
        <v>Medium Risk</v>
      </c>
      <c r="R147">
        <f>IF(Table1[[#This Row],[Seconds of Use]]=0,0,Table1[[#This Row],[Customer Value]]/Table1[[#This Row],[Seconds of Use]]*100)</f>
        <v>12.567582504342333</v>
      </c>
    </row>
    <row r="148" spans="1:18" x14ac:dyDescent="0.35">
      <c r="A148" s="3" t="s">
        <v>169</v>
      </c>
      <c r="B148">
        <v>9</v>
      </c>
      <c r="C148">
        <v>0</v>
      </c>
      <c r="D148">
        <v>13</v>
      </c>
      <c r="E148">
        <v>0</v>
      </c>
      <c r="F148">
        <v>8873</v>
      </c>
      <c r="G148">
        <v>168</v>
      </c>
      <c r="H148">
        <v>68</v>
      </c>
      <c r="I148">
        <v>38</v>
      </c>
      <c r="J148">
        <v>4</v>
      </c>
      <c r="K148">
        <v>1</v>
      </c>
      <c r="L148">
        <v>1</v>
      </c>
      <c r="M148">
        <v>45</v>
      </c>
      <c r="N148">
        <v>396.02499999999998</v>
      </c>
      <c r="O148">
        <v>0</v>
      </c>
      <c r="P1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8" t="str">
        <f>IF(Table1[[#This Row],[Fraud_Score]]&gt;=6, "High Risk",IF(Table1[[#This Row],[Fraud_Score]]&gt;=3, "Medium Risk", "Low Risk"))</f>
        <v>Medium Risk</v>
      </c>
      <c r="R148">
        <f>IF(Table1[[#This Row],[Seconds of Use]]=0,0,Table1[[#This Row],[Customer Value]]/Table1[[#This Row],[Seconds of Use]]*100)</f>
        <v>4.4632593260453062</v>
      </c>
    </row>
    <row r="149" spans="1:18" x14ac:dyDescent="0.35">
      <c r="A149" s="3" t="s">
        <v>170</v>
      </c>
      <c r="B149">
        <v>5</v>
      </c>
      <c r="C149">
        <v>0</v>
      </c>
      <c r="D149">
        <v>14</v>
      </c>
      <c r="E149">
        <v>2</v>
      </c>
      <c r="F149">
        <v>2793</v>
      </c>
      <c r="G149">
        <v>42</v>
      </c>
      <c r="H149">
        <v>26</v>
      </c>
      <c r="I149">
        <v>17</v>
      </c>
      <c r="J149">
        <v>3</v>
      </c>
      <c r="K149">
        <v>1</v>
      </c>
      <c r="L149">
        <v>1</v>
      </c>
      <c r="M149">
        <v>30</v>
      </c>
      <c r="N149">
        <v>217.4</v>
      </c>
      <c r="O149">
        <v>0</v>
      </c>
      <c r="P1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49" t="str">
        <f>IF(Table1[[#This Row],[Fraud_Score]]&gt;=6, "High Risk",IF(Table1[[#This Row],[Fraud_Score]]&gt;=3, "Medium Risk", "Low Risk"))</f>
        <v>Low Risk</v>
      </c>
      <c r="R149">
        <f>IF(Table1[[#This Row],[Seconds of Use]]=0,0,Table1[[#This Row],[Customer Value]]/Table1[[#This Row],[Seconds of Use]]*100)</f>
        <v>7.7837450769781604</v>
      </c>
    </row>
    <row r="150" spans="1:18" x14ac:dyDescent="0.35">
      <c r="A150" s="3" t="s">
        <v>171</v>
      </c>
      <c r="B150">
        <v>0</v>
      </c>
      <c r="C150">
        <v>0</v>
      </c>
      <c r="D150">
        <v>7</v>
      </c>
      <c r="E150">
        <v>0</v>
      </c>
      <c r="F150">
        <v>4330</v>
      </c>
      <c r="G150">
        <v>37</v>
      </c>
      <c r="H150">
        <v>210</v>
      </c>
      <c r="I150">
        <v>8</v>
      </c>
      <c r="J150">
        <v>3</v>
      </c>
      <c r="K150">
        <v>1</v>
      </c>
      <c r="L150">
        <v>1</v>
      </c>
      <c r="M150">
        <v>30</v>
      </c>
      <c r="N150">
        <v>1014.68</v>
      </c>
      <c r="O150">
        <v>0</v>
      </c>
      <c r="P1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0" t="str">
        <f>IF(Table1[[#This Row],[Fraud_Score]]&gt;=6, "High Risk",IF(Table1[[#This Row],[Fraud_Score]]&gt;=3, "Medium Risk", "Low Risk"))</f>
        <v>Low Risk</v>
      </c>
      <c r="R150">
        <f>IF(Table1[[#This Row],[Seconds of Use]]=0,0,Table1[[#This Row],[Customer Value]]/Table1[[#This Row],[Seconds of Use]]*100)</f>
        <v>23.433718244803696</v>
      </c>
    </row>
    <row r="151" spans="1:18" x14ac:dyDescent="0.35">
      <c r="A151" s="3" t="s">
        <v>172</v>
      </c>
      <c r="B151">
        <v>0</v>
      </c>
      <c r="C151">
        <v>0</v>
      </c>
      <c r="D151">
        <v>7</v>
      </c>
      <c r="E151">
        <v>0</v>
      </c>
      <c r="F151">
        <v>1428</v>
      </c>
      <c r="G151">
        <v>16</v>
      </c>
      <c r="H151">
        <v>0</v>
      </c>
      <c r="I151">
        <v>5</v>
      </c>
      <c r="J151">
        <v>3</v>
      </c>
      <c r="K151">
        <v>1</v>
      </c>
      <c r="L151">
        <v>1</v>
      </c>
      <c r="M151">
        <v>30</v>
      </c>
      <c r="N151">
        <v>57.76</v>
      </c>
      <c r="O151">
        <v>1</v>
      </c>
      <c r="P1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1" t="str">
        <f>IF(Table1[[#This Row],[Fraud_Score]]&gt;=6, "High Risk",IF(Table1[[#This Row],[Fraud_Score]]&gt;=3, "Medium Risk", "Low Risk"))</f>
        <v>Low Risk</v>
      </c>
      <c r="R151">
        <f>IF(Table1[[#This Row],[Seconds of Use]]=0,0,Table1[[#This Row],[Customer Value]]/Table1[[#This Row],[Seconds of Use]]*100)</f>
        <v>4.0448179271708682</v>
      </c>
    </row>
    <row r="152" spans="1:18" x14ac:dyDescent="0.35">
      <c r="A152" s="3" t="s">
        <v>173</v>
      </c>
      <c r="B152">
        <v>9</v>
      </c>
      <c r="C152">
        <v>0</v>
      </c>
      <c r="D152">
        <v>42</v>
      </c>
      <c r="E152">
        <v>1</v>
      </c>
      <c r="F152">
        <v>4450</v>
      </c>
      <c r="G152">
        <v>73</v>
      </c>
      <c r="H152">
        <v>15</v>
      </c>
      <c r="I152">
        <v>21</v>
      </c>
      <c r="J152">
        <v>3</v>
      </c>
      <c r="K152">
        <v>1</v>
      </c>
      <c r="L152">
        <v>1</v>
      </c>
      <c r="M152">
        <v>30</v>
      </c>
      <c r="N152">
        <v>240.92</v>
      </c>
      <c r="O152">
        <v>0</v>
      </c>
      <c r="P1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2" t="str">
        <f>IF(Table1[[#This Row],[Fraud_Score]]&gt;=6, "High Risk",IF(Table1[[#This Row],[Fraud_Score]]&gt;=3, "Medium Risk", "Low Risk"))</f>
        <v>Low Risk</v>
      </c>
      <c r="R152">
        <f>IF(Table1[[#This Row],[Seconds of Use]]=0,0,Table1[[#This Row],[Customer Value]]/Table1[[#This Row],[Seconds of Use]]*100)</f>
        <v>5.4139325842696628</v>
      </c>
    </row>
    <row r="153" spans="1:18" x14ac:dyDescent="0.35">
      <c r="A153" s="3" t="s">
        <v>174</v>
      </c>
      <c r="B153">
        <v>1</v>
      </c>
      <c r="C153">
        <v>1</v>
      </c>
      <c r="D153">
        <v>43</v>
      </c>
      <c r="E153">
        <v>0</v>
      </c>
      <c r="F153">
        <v>398</v>
      </c>
      <c r="G153">
        <v>7</v>
      </c>
      <c r="H153">
        <v>17</v>
      </c>
      <c r="I153">
        <v>8</v>
      </c>
      <c r="J153">
        <v>3</v>
      </c>
      <c r="K153">
        <v>1</v>
      </c>
      <c r="L153">
        <v>2</v>
      </c>
      <c r="M153">
        <v>30</v>
      </c>
      <c r="N153">
        <v>84.2</v>
      </c>
      <c r="O153">
        <v>1</v>
      </c>
      <c r="P1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3" t="str">
        <f>IF(Table1[[#This Row],[Fraud_Score]]&gt;=6, "High Risk",IF(Table1[[#This Row],[Fraud_Score]]&gt;=3, "Medium Risk", "Low Risk"))</f>
        <v>Medium Risk</v>
      </c>
      <c r="R153">
        <f>IF(Table1[[#This Row],[Seconds of Use]]=0,0,Table1[[#This Row],[Customer Value]]/Table1[[#This Row],[Seconds of Use]]*100)</f>
        <v>21.155778894472363</v>
      </c>
    </row>
    <row r="154" spans="1:18" x14ac:dyDescent="0.35">
      <c r="A154" s="3" t="s">
        <v>175</v>
      </c>
      <c r="B154">
        <v>11</v>
      </c>
      <c r="C154">
        <v>0</v>
      </c>
      <c r="D154">
        <v>41</v>
      </c>
      <c r="E154">
        <v>1</v>
      </c>
      <c r="F154">
        <v>2533</v>
      </c>
      <c r="G154">
        <v>62</v>
      </c>
      <c r="H154">
        <v>369</v>
      </c>
      <c r="I154">
        <v>28</v>
      </c>
      <c r="J154">
        <v>3</v>
      </c>
      <c r="K154">
        <v>1</v>
      </c>
      <c r="L154">
        <v>1</v>
      </c>
      <c r="M154">
        <v>30</v>
      </c>
      <c r="N154">
        <v>1579.8</v>
      </c>
      <c r="O154">
        <v>0</v>
      </c>
      <c r="P1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4" t="str">
        <f>IF(Table1[[#This Row],[Fraud_Score]]&gt;=6, "High Risk",IF(Table1[[#This Row],[Fraud_Score]]&gt;=3, "Medium Risk", "Low Risk"))</f>
        <v>Low Risk</v>
      </c>
      <c r="R154">
        <f>IF(Table1[[#This Row],[Seconds of Use]]=0,0,Table1[[#This Row],[Customer Value]]/Table1[[#This Row],[Seconds of Use]]*100)</f>
        <v>62.368732727990526</v>
      </c>
    </row>
    <row r="155" spans="1:18" x14ac:dyDescent="0.35">
      <c r="A155" s="3" t="s">
        <v>176</v>
      </c>
      <c r="B155">
        <v>11</v>
      </c>
      <c r="C155">
        <v>0</v>
      </c>
      <c r="D155">
        <v>42</v>
      </c>
      <c r="E155">
        <v>1</v>
      </c>
      <c r="F155">
        <v>4278</v>
      </c>
      <c r="G155">
        <v>68</v>
      </c>
      <c r="H155">
        <v>11</v>
      </c>
      <c r="I155">
        <v>39</v>
      </c>
      <c r="J155">
        <v>1</v>
      </c>
      <c r="K155">
        <v>1</v>
      </c>
      <c r="L155">
        <v>1</v>
      </c>
      <c r="M155">
        <v>15</v>
      </c>
      <c r="N155">
        <v>299.52999999999997</v>
      </c>
      <c r="O155">
        <v>0</v>
      </c>
      <c r="P1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5" t="str">
        <f>IF(Table1[[#This Row],[Fraud_Score]]&gt;=6, "High Risk",IF(Table1[[#This Row],[Fraud_Score]]&gt;=3, "Medium Risk", "Low Risk"))</f>
        <v>Low Risk</v>
      </c>
      <c r="R155">
        <f>IF(Table1[[#This Row],[Seconds of Use]]=0,0,Table1[[#This Row],[Customer Value]]/Table1[[#This Row],[Seconds of Use]]*100)</f>
        <v>7.0016362786348747</v>
      </c>
    </row>
    <row r="156" spans="1:18" x14ac:dyDescent="0.35">
      <c r="A156" s="3" t="s">
        <v>177</v>
      </c>
      <c r="B156">
        <v>4</v>
      </c>
      <c r="C156">
        <v>0</v>
      </c>
      <c r="D156">
        <v>42</v>
      </c>
      <c r="E156">
        <v>1</v>
      </c>
      <c r="F156">
        <v>2473</v>
      </c>
      <c r="G156">
        <v>60</v>
      </c>
      <c r="H156">
        <v>12</v>
      </c>
      <c r="I156">
        <v>37</v>
      </c>
      <c r="J156">
        <v>2</v>
      </c>
      <c r="K156">
        <v>1</v>
      </c>
      <c r="L156">
        <v>1</v>
      </c>
      <c r="M156">
        <v>25</v>
      </c>
      <c r="N156">
        <v>167.98500000000001</v>
      </c>
      <c r="O156">
        <v>0</v>
      </c>
      <c r="P1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6" t="str">
        <f>IF(Table1[[#This Row],[Fraud_Score]]&gt;=6, "High Risk",IF(Table1[[#This Row],[Fraud_Score]]&gt;=3, "Medium Risk", "Low Risk"))</f>
        <v>Low Risk</v>
      </c>
      <c r="R156">
        <f>IF(Table1[[#This Row],[Seconds of Use]]=0,0,Table1[[#This Row],[Customer Value]]/Table1[[#This Row],[Seconds of Use]]*100)</f>
        <v>6.7927618277395876</v>
      </c>
    </row>
    <row r="157" spans="1:18" x14ac:dyDescent="0.35">
      <c r="A157" s="3" t="s">
        <v>178</v>
      </c>
      <c r="B157">
        <v>12</v>
      </c>
      <c r="C157">
        <v>0</v>
      </c>
      <c r="D157">
        <v>42</v>
      </c>
      <c r="E157">
        <v>2</v>
      </c>
      <c r="F157">
        <v>3855</v>
      </c>
      <c r="G157">
        <v>84</v>
      </c>
      <c r="H157">
        <v>42</v>
      </c>
      <c r="I157">
        <v>32</v>
      </c>
      <c r="J157">
        <v>3</v>
      </c>
      <c r="K157">
        <v>1</v>
      </c>
      <c r="L157">
        <v>1</v>
      </c>
      <c r="M157">
        <v>30</v>
      </c>
      <c r="N157">
        <v>325.56</v>
      </c>
      <c r="O157">
        <v>0</v>
      </c>
      <c r="P1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7" t="str">
        <f>IF(Table1[[#This Row],[Fraud_Score]]&gt;=6, "High Risk",IF(Table1[[#This Row],[Fraud_Score]]&gt;=3, "Medium Risk", "Low Risk"))</f>
        <v>Low Risk</v>
      </c>
      <c r="R157">
        <f>IF(Table1[[#This Row],[Seconds of Use]]=0,0,Table1[[#This Row],[Customer Value]]/Table1[[#This Row],[Seconds of Use]]*100)</f>
        <v>8.4451361867704282</v>
      </c>
    </row>
    <row r="158" spans="1:18" x14ac:dyDescent="0.35">
      <c r="A158" s="3" t="s">
        <v>179</v>
      </c>
      <c r="B158">
        <v>5</v>
      </c>
      <c r="C158">
        <v>0</v>
      </c>
      <c r="D158">
        <v>42</v>
      </c>
      <c r="E158">
        <v>1</v>
      </c>
      <c r="F158">
        <v>2440</v>
      </c>
      <c r="G158">
        <v>41</v>
      </c>
      <c r="H158">
        <v>295</v>
      </c>
      <c r="I158">
        <v>22</v>
      </c>
      <c r="J158">
        <v>3</v>
      </c>
      <c r="K158">
        <v>1</v>
      </c>
      <c r="L158">
        <v>1</v>
      </c>
      <c r="M158">
        <v>30</v>
      </c>
      <c r="N158">
        <v>1279.24</v>
      </c>
      <c r="O158">
        <v>0</v>
      </c>
      <c r="P1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8" t="str">
        <f>IF(Table1[[#This Row],[Fraud_Score]]&gt;=6, "High Risk",IF(Table1[[#This Row],[Fraud_Score]]&gt;=3, "Medium Risk", "Low Risk"))</f>
        <v>Low Risk</v>
      </c>
      <c r="R158">
        <f>IF(Table1[[#This Row],[Seconds of Use]]=0,0,Table1[[#This Row],[Customer Value]]/Table1[[#This Row],[Seconds of Use]]*100)</f>
        <v>52.427868852459014</v>
      </c>
    </row>
    <row r="159" spans="1:18" x14ac:dyDescent="0.35">
      <c r="A159" s="3" t="s">
        <v>180</v>
      </c>
      <c r="B159">
        <v>14</v>
      </c>
      <c r="C159">
        <v>0</v>
      </c>
      <c r="D159">
        <v>41</v>
      </c>
      <c r="E159">
        <v>3</v>
      </c>
      <c r="F159">
        <v>9195</v>
      </c>
      <c r="G159">
        <v>123</v>
      </c>
      <c r="H159">
        <v>154</v>
      </c>
      <c r="I159">
        <v>47</v>
      </c>
      <c r="J159">
        <v>3</v>
      </c>
      <c r="K159">
        <v>1</v>
      </c>
      <c r="L159">
        <v>1</v>
      </c>
      <c r="M159">
        <v>30</v>
      </c>
      <c r="N159">
        <v>988.72</v>
      </c>
      <c r="O159">
        <v>0</v>
      </c>
      <c r="P1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9" t="str">
        <f>IF(Table1[[#This Row],[Fraud_Score]]&gt;=6, "High Risk",IF(Table1[[#This Row],[Fraud_Score]]&gt;=3, "Medium Risk", "Low Risk"))</f>
        <v>Low Risk</v>
      </c>
      <c r="R159">
        <f>IF(Table1[[#This Row],[Seconds of Use]]=0,0,Table1[[#This Row],[Customer Value]]/Table1[[#This Row],[Seconds of Use]]*100)</f>
        <v>10.752800435019031</v>
      </c>
    </row>
    <row r="160" spans="1:18" x14ac:dyDescent="0.35">
      <c r="A160" s="3" t="s">
        <v>181</v>
      </c>
      <c r="B160">
        <v>8</v>
      </c>
      <c r="C160">
        <v>0</v>
      </c>
      <c r="D160">
        <v>42</v>
      </c>
      <c r="E160">
        <v>1</v>
      </c>
      <c r="F160">
        <v>13853</v>
      </c>
      <c r="G160">
        <v>171</v>
      </c>
      <c r="H160">
        <v>10</v>
      </c>
      <c r="I160">
        <v>48</v>
      </c>
      <c r="J160">
        <v>3</v>
      </c>
      <c r="K160">
        <v>1</v>
      </c>
      <c r="L160">
        <v>1</v>
      </c>
      <c r="M160">
        <v>30</v>
      </c>
      <c r="N160">
        <v>600.96</v>
      </c>
      <c r="O160">
        <v>0</v>
      </c>
      <c r="P1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0" t="str">
        <f>IF(Table1[[#This Row],[Fraud_Score]]&gt;=6, "High Risk",IF(Table1[[#This Row],[Fraud_Score]]&gt;=3, "Medium Risk", "Low Risk"))</f>
        <v>Medium Risk</v>
      </c>
      <c r="R160">
        <f>IF(Table1[[#This Row],[Seconds of Use]]=0,0,Table1[[#This Row],[Customer Value]]/Table1[[#This Row],[Seconds of Use]]*100)</f>
        <v>4.3381217064895692</v>
      </c>
    </row>
    <row r="161" spans="1:18" x14ac:dyDescent="0.35">
      <c r="A161" s="3" t="s">
        <v>182</v>
      </c>
      <c r="B161">
        <v>8</v>
      </c>
      <c r="C161">
        <v>0</v>
      </c>
      <c r="D161">
        <v>42</v>
      </c>
      <c r="E161">
        <v>2</v>
      </c>
      <c r="F161">
        <v>4595</v>
      </c>
      <c r="G161">
        <v>85</v>
      </c>
      <c r="H161">
        <v>12</v>
      </c>
      <c r="I161">
        <v>29</v>
      </c>
      <c r="J161">
        <v>3</v>
      </c>
      <c r="K161">
        <v>1</v>
      </c>
      <c r="L161">
        <v>1</v>
      </c>
      <c r="M161">
        <v>30</v>
      </c>
      <c r="N161">
        <v>235.2</v>
      </c>
      <c r="O161">
        <v>0</v>
      </c>
      <c r="P1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1" t="str">
        <f>IF(Table1[[#This Row],[Fraud_Score]]&gt;=6, "High Risk",IF(Table1[[#This Row],[Fraud_Score]]&gt;=3, "Medium Risk", "Low Risk"))</f>
        <v>Low Risk</v>
      </c>
      <c r="R161">
        <f>IF(Table1[[#This Row],[Seconds of Use]]=0,0,Table1[[#This Row],[Customer Value]]/Table1[[#This Row],[Seconds of Use]]*100)</f>
        <v>5.11860718171926</v>
      </c>
    </row>
    <row r="162" spans="1:18" x14ac:dyDescent="0.35">
      <c r="A162" s="3" t="s">
        <v>183</v>
      </c>
      <c r="B162">
        <v>7</v>
      </c>
      <c r="C162">
        <v>0</v>
      </c>
      <c r="D162">
        <v>42</v>
      </c>
      <c r="E162">
        <v>1</v>
      </c>
      <c r="F162">
        <v>5998</v>
      </c>
      <c r="G162">
        <v>97</v>
      </c>
      <c r="H162">
        <v>17</v>
      </c>
      <c r="I162">
        <v>16</v>
      </c>
      <c r="J162">
        <v>3</v>
      </c>
      <c r="K162">
        <v>1</v>
      </c>
      <c r="L162">
        <v>1</v>
      </c>
      <c r="M162">
        <v>30</v>
      </c>
      <c r="N162">
        <v>311.8</v>
      </c>
      <c r="O162">
        <v>0</v>
      </c>
      <c r="P1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2" t="str">
        <f>IF(Table1[[#This Row],[Fraud_Score]]&gt;=6, "High Risk",IF(Table1[[#This Row],[Fraud_Score]]&gt;=3, "Medium Risk", "Low Risk"))</f>
        <v>Low Risk</v>
      </c>
      <c r="R162">
        <f>IF(Table1[[#This Row],[Seconds of Use]]=0,0,Table1[[#This Row],[Customer Value]]/Table1[[#This Row],[Seconds of Use]]*100)</f>
        <v>5.19839946648883</v>
      </c>
    </row>
    <row r="163" spans="1:18" x14ac:dyDescent="0.35">
      <c r="A163" s="3" t="s">
        <v>184</v>
      </c>
      <c r="B163">
        <v>10</v>
      </c>
      <c r="C163">
        <v>0</v>
      </c>
      <c r="D163">
        <v>42</v>
      </c>
      <c r="E163">
        <v>0</v>
      </c>
      <c r="F163">
        <v>2318</v>
      </c>
      <c r="G163">
        <v>56</v>
      </c>
      <c r="H163">
        <v>18</v>
      </c>
      <c r="I163">
        <v>21</v>
      </c>
      <c r="J163">
        <v>3</v>
      </c>
      <c r="K163">
        <v>1</v>
      </c>
      <c r="L163">
        <v>2</v>
      </c>
      <c r="M163">
        <v>30</v>
      </c>
      <c r="N163">
        <v>166.96</v>
      </c>
      <c r="O163">
        <v>0</v>
      </c>
      <c r="P1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3" t="str">
        <f>IF(Table1[[#This Row],[Fraud_Score]]&gt;=6, "High Risk",IF(Table1[[#This Row],[Fraud_Score]]&gt;=3, "Medium Risk", "Low Risk"))</f>
        <v>Low Risk</v>
      </c>
      <c r="R163">
        <f>IF(Table1[[#This Row],[Seconds of Use]]=0,0,Table1[[#This Row],[Customer Value]]/Table1[[#This Row],[Seconds of Use]]*100)</f>
        <v>7.2027610008628136</v>
      </c>
    </row>
    <row r="164" spans="1:18" x14ac:dyDescent="0.35">
      <c r="A164" s="3" t="s">
        <v>185</v>
      </c>
      <c r="B164">
        <v>26</v>
      </c>
      <c r="C164">
        <v>0</v>
      </c>
      <c r="D164">
        <v>42</v>
      </c>
      <c r="E164">
        <v>4</v>
      </c>
      <c r="F164">
        <v>15220</v>
      </c>
      <c r="G164">
        <v>227</v>
      </c>
      <c r="H164">
        <v>64</v>
      </c>
      <c r="I164">
        <v>36</v>
      </c>
      <c r="J164">
        <v>3</v>
      </c>
      <c r="K164">
        <v>2</v>
      </c>
      <c r="L164">
        <v>1</v>
      </c>
      <c r="M164">
        <v>30</v>
      </c>
      <c r="N164">
        <v>873.88</v>
      </c>
      <c r="O164">
        <v>0</v>
      </c>
      <c r="P1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64" t="str">
        <f>IF(Table1[[#This Row],[Fraud_Score]]&gt;=6, "High Risk",IF(Table1[[#This Row],[Fraud_Score]]&gt;=3, "Medium Risk", "Low Risk"))</f>
        <v>Medium Risk</v>
      </c>
      <c r="R164">
        <f>IF(Table1[[#This Row],[Seconds of Use]]=0,0,Table1[[#This Row],[Customer Value]]/Table1[[#This Row],[Seconds of Use]]*100)</f>
        <v>5.7416557161629429</v>
      </c>
    </row>
    <row r="165" spans="1:18" x14ac:dyDescent="0.35">
      <c r="A165" s="3" t="s">
        <v>186</v>
      </c>
      <c r="B165">
        <v>5</v>
      </c>
      <c r="C165">
        <v>0</v>
      </c>
      <c r="D165">
        <v>42</v>
      </c>
      <c r="E165">
        <v>2</v>
      </c>
      <c r="F165">
        <v>3175</v>
      </c>
      <c r="G165">
        <v>29</v>
      </c>
      <c r="H165">
        <v>493</v>
      </c>
      <c r="I165">
        <v>12</v>
      </c>
      <c r="J165">
        <v>3</v>
      </c>
      <c r="K165">
        <v>1</v>
      </c>
      <c r="L165">
        <v>1</v>
      </c>
      <c r="M165">
        <v>30</v>
      </c>
      <c r="N165">
        <v>2100.16</v>
      </c>
      <c r="O165">
        <v>0</v>
      </c>
      <c r="P1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5" t="str">
        <f>IF(Table1[[#This Row],[Fraud_Score]]&gt;=6, "High Risk",IF(Table1[[#This Row],[Fraud_Score]]&gt;=3, "Medium Risk", "Low Risk"))</f>
        <v>Low Risk</v>
      </c>
      <c r="R165">
        <f>IF(Table1[[#This Row],[Seconds of Use]]=0,0,Table1[[#This Row],[Customer Value]]/Table1[[#This Row],[Seconds of Use]]*100)</f>
        <v>66.146771653543297</v>
      </c>
    </row>
    <row r="166" spans="1:18" x14ac:dyDescent="0.35">
      <c r="A166" s="3" t="s">
        <v>187</v>
      </c>
      <c r="B166">
        <v>10</v>
      </c>
      <c r="C166">
        <v>0</v>
      </c>
      <c r="D166">
        <v>41</v>
      </c>
      <c r="E166">
        <v>1</v>
      </c>
      <c r="F166">
        <v>15565</v>
      </c>
      <c r="G166">
        <v>184</v>
      </c>
      <c r="H166">
        <v>160</v>
      </c>
      <c r="I166">
        <v>34</v>
      </c>
      <c r="J166">
        <v>2</v>
      </c>
      <c r="K166">
        <v>1</v>
      </c>
      <c r="L166">
        <v>1</v>
      </c>
      <c r="M166">
        <v>25</v>
      </c>
      <c r="N166">
        <v>1428.7049999999999</v>
      </c>
      <c r="O166">
        <v>0</v>
      </c>
      <c r="P1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66" t="str">
        <f>IF(Table1[[#This Row],[Fraud_Score]]&gt;=6, "High Risk",IF(Table1[[#This Row],[Fraud_Score]]&gt;=3, "Medium Risk", "Low Risk"))</f>
        <v>Low Risk</v>
      </c>
      <c r="R166">
        <f>IF(Table1[[#This Row],[Seconds of Use]]=0,0,Table1[[#This Row],[Customer Value]]/Table1[[#This Row],[Seconds of Use]]*100)</f>
        <v>9.1789592033408276</v>
      </c>
    </row>
    <row r="167" spans="1:18" x14ac:dyDescent="0.35">
      <c r="A167" s="3" t="s">
        <v>188</v>
      </c>
      <c r="B167">
        <v>4</v>
      </c>
      <c r="C167">
        <v>0</v>
      </c>
      <c r="D167">
        <v>41</v>
      </c>
      <c r="E167">
        <v>2</v>
      </c>
      <c r="F167">
        <v>6580</v>
      </c>
      <c r="G167">
        <v>88</v>
      </c>
      <c r="H167">
        <v>196</v>
      </c>
      <c r="I167">
        <v>30</v>
      </c>
      <c r="J167">
        <v>3</v>
      </c>
      <c r="K167">
        <v>1</v>
      </c>
      <c r="L167">
        <v>1</v>
      </c>
      <c r="M167">
        <v>30</v>
      </c>
      <c r="N167">
        <v>1050.72</v>
      </c>
      <c r="O167">
        <v>0</v>
      </c>
      <c r="P1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7" t="str">
        <f>IF(Table1[[#This Row],[Fraud_Score]]&gt;=6, "High Risk",IF(Table1[[#This Row],[Fraud_Score]]&gt;=3, "Medium Risk", "Low Risk"))</f>
        <v>Low Risk</v>
      </c>
      <c r="R167">
        <f>IF(Table1[[#This Row],[Seconds of Use]]=0,0,Table1[[#This Row],[Customer Value]]/Table1[[#This Row],[Seconds of Use]]*100)</f>
        <v>15.968389057750759</v>
      </c>
    </row>
    <row r="168" spans="1:18" x14ac:dyDescent="0.35">
      <c r="A168" s="3" t="s">
        <v>189</v>
      </c>
      <c r="B168">
        <v>1</v>
      </c>
      <c r="C168">
        <v>0</v>
      </c>
      <c r="D168">
        <v>41</v>
      </c>
      <c r="E168">
        <v>0</v>
      </c>
      <c r="F168">
        <v>955</v>
      </c>
      <c r="G168">
        <v>16</v>
      </c>
      <c r="H168">
        <v>10</v>
      </c>
      <c r="I168">
        <v>15</v>
      </c>
      <c r="J168">
        <v>2</v>
      </c>
      <c r="K168">
        <v>1</v>
      </c>
      <c r="L168">
        <v>2</v>
      </c>
      <c r="M168">
        <v>25</v>
      </c>
      <c r="N168">
        <v>88.694999999999993</v>
      </c>
      <c r="O168">
        <v>0</v>
      </c>
      <c r="P1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" t="str">
        <f>IF(Table1[[#This Row],[Fraud_Score]]&gt;=6, "High Risk",IF(Table1[[#This Row],[Fraud_Score]]&gt;=3, "Medium Risk", "Low Risk"))</f>
        <v>Low Risk</v>
      </c>
      <c r="R168">
        <f>IF(Table1[[#This Row],[Seconds of Use]]=0,0,Table1[[#This Row],[Customer Value]]/Table1[[#This Row],[Seconds of Use]]*100)</f>
        <v>9.2874345549738209</v>
      </c>
    </row>
    <row r="169" spans="1:18" x14ac:dyDescent="0.35">
      <c r="A169" s="3" t="s">
        <v>190</v>
      </c>
      <c r="B169">
        <v>3</v>
      </c>
      <c r="C169">
        <v>0</v>
      </c>
      <c r="D169">
        <v>42</v>
      </c>
      <c r="E169">
        <v>0</v>
      </c>
      <c r="F169">
        <v>790</v>
      </c>
      <c r="G169">
        <v>16</v>
      </c>
      <c r="H169">
        <v>23</v>
      </c>
      <c r="I169">
        <v>12</v>
      </c>
      <c r="J169">
        <v>3</v>
      </c>
      <c r="K169">
        <v>1</v>
      </c>
      <c r="L169">
        <v>2</v>
      </c>
      <c r="M169">
        <v>30</v>
      </c>
      <c r="N169">
        <v>124.24</v>
      </c>
      <c r="O169">
        <v>0</v>
      </c>
      <c r="P1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9" t="str">
        <f>IF(Table1[[#This Row],[Fraud_Score]]&gt;=6, "High Risk",IF(Table1[[#This Row],[Fraud_Score]]&gt;=3, "Medium Risk", "Low Risk"))</f>
        <v>Low Risk</v>
      </c>
      <c r="R169">
        <f>IF(Table1[[#This Row],[Seconds of Use]]=0,0,Table1[[#This Row],[Customer Value]]/Table1[[#This Row],[Seconds of Use]]*100)</f>
        <v>15.726582278481013</v>
      </c>
    </row>
    <row r="170" spans="1:18" x14ac:dyDescent="0.35">
      <c r="A170" s="3" t="s">
        <v>191</v>
      </c>
      <c r="B170">
        <v>1</v>
      </c>
      <c r="C170">
        <v>0</v>
      </c>
      <c r="D170">
        <v>41</v>
      </c>
      <c r="E170">
        <v>0</v>
      </c>
      <c r="F170">
        <v>80</v>
      </c>
      <c r="G170">
        <v>2</v>
      </c>
      <c r="H170">
        <v>10</v>
      </c>
      <c r="I170">
        <v>4</v>
      </c>
      <c r="J170">
        <v>2</v>
      </c>
      <c r="K170">
        <v>1</v>
      </c>
      <c r="L170">
        <v>2</v>
      </c>
      <c r="M170">
        <v>25</v>
      </c>
      <c r="N170">
        <v>48.69</v>
      </c>
      <c r="O170">
        <v>1</v>
      </c>
      <c r="P1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" t="str">
        <f>IF(Table1[[#This Row],[Fraud_Score]]&gt;=6, "High Risk",IF(Table1[[#This Row],[Fraud_Score]]&gt;=3, "Medium Risk", "Low Risk"))</f>
        <v>Low Risk</v>
      </c>
      <c r="R170">
        <f>IF(Table1[[#This Row],[Seconds of Use]]=0,0,Table1[[#This Row],[Customer Value]]/Table1[[#This Row],[Seconds of Use]]*100)</f>
        <v>60.862499999999997</v>
      </c>
    </row>
    <row r="171" spans="1:18" x14ac:dyDescent="0.35">
      <c r="A171" s="3" t="s">
        <v>192</v>
      </c>
      <c r="B171">
        <v>4</v>
      </c>
      <c r="C171">
        <v>0</v>
      </c>
      <c r="D171">
        <v>41</v>
      </c>
      <c r="E171">
        <v>1</v>
      </c>
      <c r="F171">
        <v>7588</v>
      </c>
      <c r="G171">
        <v>129</v>
      </c>
      <c r="H171">
        <v>394</v>
      </c>
      <c r="I171">
        <v>47</v>
      </c>
      <c r="J171">
        <v>3</v>
      </c>
      <c r="K171">
        <v>1</v>
      </c>
      <c r="L171">
        <v>1</v>
      </c>
      <c r="M171">
        <v>30</v>
      </c>
      <c r="N171">
        <v>1884.68</v>
      </c>
      <c r="O171">
        <v>0</v>
      </c>
      <c r="P1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1" t="str">
        <f>IF(Table1[[#This Row],[Fraud_Score]]&gt;=6, "High Risk",IF(Table1[[#This Row],[Fraud_Score]]&gt;=3, "Medium Risk", "Low Risk"))</f>
        <v>Low Risk</v>
      </c>
      <c r="R171">
        <f>IF(Table1[[#This Row],[Seconds of Use]]=0,0,Table1[[#This Row],[Customer Value]]/Table1[[#This Row],[Seconds of Use]]*100)</f>
        <v>24.837638376383765</v>
      </c>
    </row>
    <row r="172" spans="1:18" x14ac:dyDescent="0.35">
      <c r="A172" s="3" t="s">
        <v>193</v>
      </c>
      <c r="B172">
        <v>8</v>
      </c>
      <c r="C172">
        <v>0</v>
      </c>
      <c r="D172">
        <v>41</v>
      </c>
      <c r="E172">
        <v>2</v>
      </c>
      <c r="F172">
        <v>11545</v>
      </c>
      <c r="G172">
        <v>156</v>
      </c>
      <c r="H172">
        <v>21</v>
      </c>
      <c r="I172">
        <v>51</v>
      </c>
      <c r="J172">
        <v>4</v>
      </c>
      <c r="K172">
        <v>1</v>
      </c>
      <c r="L172">
        <v>1</v>
      </c>
      <c r="M172">
        <v>45</v>
      </c>
      <c r="N172">
        <v>345.02499999999998</v>
      </c>
      <c r="O172">
        <v>0</v>
      </c>
      <c r="P1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2" t="str">
        <f>IF(Table1[[#This Row],[Fraud_Score]]&gt;=6, "High Risk",IF(Table1[[#This Row],[Fraud_Score]]&gt;=3, "Medium Risk", "Low Risk"))</f>
        <v>Medium Risk</v>
      </c>
      <c r="R172">
        <f>IF(Table1[[#This Row],[Seconds of Use]]=0,0,Table1[[#This Row],[Customer Value]]/Table1[[#This Row],[Seconds of Use]]*100)</f>
        <v>2.9885231702035511</v>
      </c>
    </row>
    <row r="173" spans="1:18" x14ac:dyDescent="0.35">
      <c r="A173" s="3" t="s">
        <v>194</v>
      </c>
      <c r="B173">
        <v>9</v>
      </c>
      <c r="C173">
        <v>0</v>
      </c>
      <c r="D173">
        <v>41</v>
      </c>
      <c r="E173">
        <v>2</v>
      </c>
      <c r="F173">
        <v>6798</v>
      </c>
      <c r="G173">
        <v>77</v>
      </c>
      <c r="H173">
        <v>118</v>
      </c>
      <c r="I173">
        <v>41</v>
      </c>
      <c r="J173">
        <v>2</v>
      </c>
      <c r="K173">
        <v>1</v>
      </c>
      <c r="L173">
        <v>1</v>
      </c>
      <c r="M173">
        <v>25</v>
      </c>
      <c r="N173">
        <v>840.375</v>
      </c>
      <c r="O173">
        <v>0</v>
      </c>
      <c r="P1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3" t="str">
        <f>IF(Table1[[#This Row],[Fraud_Score]]&gt;=6, "High Risk",IF(Table1[[#This Row],[Fraud_Score]]&gt;=3, "Medium Risk", "Low Risk"))</f>
        <v>Low Risk</v>
      </c>
      <c r="R173">
        <f>IF(Table1[[#This Row],[Seconds of Use]]=0,0,Table1[[#This Row],[Customer Value]]/Table1[[#This Row],[Seconds of Use]]*100)</f>
        <v>12.362091791703442</v>
      </c>
    </row>
    <row r="174" spans="1:18" x14ac:dyDescent="0.35">
      <c r="A174" s="3" t="s">
        <v>195</v>
      </c>
      <c r="B174">
        <v>24</v>
      </c>
      <c r="C174">
        <v>1</v>
      </c>
      <c r="D174">
        <v>37</v>
      </c>
      <c r="E174">
        <v>0</v>
      </c>
      <c r="F174">
        <v>1035</v>
      </c>
      <c r="G174">
        <v>49</v>
      </c>
      <c r="H174">
        <v>26</v>
      </c>
      <c r="I174">
        <v>21</v>
      </c>
      <c r="J174">
        <v>3</v>
      </c>
      <c r="K174">
        <v>1</v>
      </c>
      <c r="L174">
        <v>2</v>
      </c>
      <c r="M174">
        <v>30</v>
      </c>
      <c r="N174">
        <v>147.36000000000001</v>
      </c>
      <c r="O174">
        <v>1</v>
      </c>
      <c r="P1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74" t="str">
        <f>IF(Table1[[#This Row],[Fraud_Score]]&gt;=6, "High Risk",IF(Table1[[#This Row],[Fraud_Score]]&gt;=3, "Medium Risk", "Low Risk"))</f>
        <v>Medium Risk</v>
      </c>
      <c r="R174">
        <f>IF(Table1[[#This Row],[Seconds of Use]]=0,0,Table1[[#This Row],[Customer Value]]/Table1[[#This Row],[Seconds of Use]]*100)</f>
        <v>14.237681159420291</v>
      </c>
    </row>
    <row r="175" spans="1:18" x14ac:dyDescent="0.35">
      <c r="A175" s="3" t="s">
        <v>196</v>
      </c>
      <c r="B175">
        <v>22</v>
      </c>
      <c r="C175">
        <v>1</v>
      </c>
      <c r="D175">
        <v>40</v>
      </c>
      <c r="E175">
        <v>9</v>
      </c>
      <c r="F175">
        <v>10515</v>
      </c>
      <c r="G175">
        <v>95</v>
      </c>
      <c r="H175">
        <v>11</v>
      </c>
      <c r="I175">
        <v>46</v>
      </c>
      <c r="J175">
        <v>5</v>
      </c>
      <c r="K175">
        <v>1</v>
      </c>
      <c r="L175">
        <v>1</v>
      </c>
      <c r="M175">
        <v>55</v>
      </c>
      <c r="N175">
        <v>175.65</v>
      </c>
      <c r="O175">
        <v>0</v>
      </c>
      <c r="P1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75" t="str">
        <f>IF(Table1[[#This Row],[Fraud_Score]]&gt;=6, "High Risk",IF(Table1[[#This Row],[Fraud_Score]]&gt;=3, "Medium Risk", "Low Risk"))</f>
        <v>Medium Risk</v>
      </c>
      <c r="R175">
        <f>IF(Table1[[#This Row],[Seconds of Use]]=0,0,Table1[[#This Row],[Customer Value]]/Table1[[#This Row],[Seconds of Use]]*100)</f>
        <v>1.6704707560627676</v>
      </c>
    </row>
    <row r="176" spans="1:18" x14ac:dyDescent="0.35">
      <c r="A176" s="3" t="s">
        <v>197</v>
      </c>
      <c r="B176">
        <v>14</v>
      </c>
      <c r="C176">
        <v>0</v>
      </c>
      <c r="D176">
        <v>40</v>
      </c>
      <c r="E176">
        <v>2</v>
      </c>
      <c r="F176">
        <v>5898</v>
      </c>
      <c r="G176">
        <v>100</v>
      </c>
      <c r="H176">
        <v>36</v>
      </c>
      <c r="I176">
        <v>28</v>
      </c>
      <c r="J176">
        <v>2</v>
      </c>
      <c r="K176">
        <v>1</v>
      </c>
      <c r="L176">
        <v>1</v>
      </c>
      <c r="M176">
        <v>25</v>
      </c>
      <c r="N176">
        <v>431.91</v>
      </c>
      <c r="O176">
        <v>1</v>
      </c>
      <c r="P1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76" t="str">
        <f>IF(Table1[[#This Row],[Fraud_Score]]&gt;=6, "High Risk",IF(Table1[[#This Row],[Fraud_Score]]&gt;=3, "Medium Risk", "Low Risk"))</f>
        <v>Low Risk</v>
      </c>
      <c r="R176">
        <f>IF(Table1[[#This Row],[Seconds of Use]]=0,0,Table1[[#This Row],[Customer Value]]/Table1[[#This Row],[Seconds of Use]]*100)</f>
        <v>7.3229908443540186</v>
      </c>
    </row>
    <row r="177" spans="1:18" x14ac:dyDescent="0.35">
      <c r="A177" s="3" t="s">
        <v>198</v>
      </c>
      <c r="B177">
        <v>2</v>
      </c>
      <c r="C177">
        <v>0</v>
      </c>
      <c r="D177">
        <v>38</v>
      </c>
      <c r="E177">
        <v>1</v>
      </c>
      <c r="F177">
        <v>2920</v>
      </c>
      <c r="G177">
        <v>24</v>
      </c>
      <c r="H177">
        <v>10</v>
      </c>
      <c r="I177">
        <v>18</v>
      </c>
      <c r="J177">
        <v>3</v>
      </c>
      <c r="K177">
        <v>1</v>
      </c>
      <c r="L177">
        <v>1</v>
      </c>
      <c r="M177">
        <v>30</v>
      </c>
      <c r="N177">
        <v>157.76</v>
      </c>
      <c r="O177">
        <v>0</v>
      </c>
      <c r="P1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7" t="str">
        <f>IF(Table1[[#This Row],[Fraud_Score]]&gt;=6, "High Risk",IF(Table1[[#This Row],[Fraud_Score]]&gt;=3, "Medium Risk", "Low Risk"))</f>
        <v>Low Risk</v>
      </c>
      <c r="R177">
        <f>IF(Table1[[#This Row],[Seconds of Use]]=0,0,Table1[[#This Row],[Customer Value]]/Table1[[#This Row],[Seconds of Use]]*100)</f>
        <v>5.4027397260273968</v>
      </c>
    </row>
    <row r="178" spans="1:18" x14ac:dyDescent="0.35">
      <c r="A178" s="3" t="s">
        <v>199</v>
      </c>
      <c r="B178">
        <v>10</v>
      </c>
      <c r="C178">
        <v>0</v>
      </c>
      <c r="D178">
        <v>39</v>
      </c>
      <c r="E178">
        <v>0</v>
      </c>
      <c r="F178">
        <v>3070</v>
      </c>
      <c r="G178">
        <v>43</v>
      </c>
      <c r="H178">
        <v>19</v>
      </c>
      <c r="I178">
        <v>20</v>
      </c>
      <c r="J178">
        <v>3</v>
      </c>
      <c r="K178">
        <v>1</v>
      </c>
      <c r="L178">
        <v>2</v>
      </c>
      <c r="M178">
        <v>30</v>
      </c>
      <c r="N178">
        <v>200.52</v>
      </c>
      <c r="O178">
        <v>1</v>
      </c>
      <c r="P1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" t="str">
        <f>IF(Table1[[#This Row],[Fraud_Score]]&gt;=6, "High Risk",IF(Table1[[#This Row],[Fraud_Score]]&gt;=3, "Medium Risk", "Low Risk"))</f>
        <v>Low Risk</v>
      </c>
      <c r="R178">
        <f>IF(Table1[[#This Row],[Seconds of Use]]=0,0,Table1[[#This Row],[Customer Value]]/Table1[[#This Row],[Seconds of Use]]*100)</f>
        <v>6.5315960912052118</v>
      </c>
    </row>
    <row r="179" spans="1:18" x14ac:dyDescent="0.35">
      <c r="A179" s="3" t="s">
        <v>200</v>
      </c>
      <c r="B179">
        <v>10</v>
      </c>
      <c r="C179">
        <v>1</v>
      </c>
      <c r="D179">
        <v>40</v>
      </c>
      <c r="E179">
        <v>0</v>
      </c>
      <c r="F179">
        <v>2348</v>
      </c>
      <c r="G179">
        <v>46</v>
      </c>
      <c r="H179">
        <v>44</v>
      </c>
      <c r="I179">
        <v>35</v>
      </c>
      <c r="J179">
        <v>3</v>
      </c>
      <c r="K179">
        <v>1</v>
      </c>
      <c r="L179">
        <v>2</v>
      </c>
      <c r="M179">
        <v>30</v>
      </c>
      <c r="N179">
        <v>271.76</v>
      </c>
      <c r="O179">
        <v>1</v>
      </c>
      <c r="P1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9" t="str">
        <f>IF(Table1[[#This Row],[Fraud_Score]]&gt;=6, "High Risk",IF(Table1[[#This Row],[Fraud_Score]]&gt;=3, "Medium Risk", "Low Risk"))</f>
        <v>Medium Risk</v>
      </c>
      <c r="R179">
        <f>IF(Table1[[#This Row],[Seconds of Use]]=0,0,Table1[[#This Row],[Customer Value]]/Table1[[#This Row],[Seconds of Use]]*100)</f>
        <v>11.574105621805792</v>
      </c>
    </row>
    <row r="180" spans="1:18" x14ac:dyDescent="0.35">
      <c r="A180" s="3" t="s">
        <v>201</v>
      </c>
      <c r="B180">
        <v>1</v>
      </c>
      <c r="C180">
        <v>0</v>
      </c>
      <c r="D180">
        <v>40</v>
      </c>
      <c r="E180">
        <v>0</v>
      </c>
      <c r="F180">
        <v>213</v>
      </c>
      <c r="G180">
        <v>4</v>
      </c>
      <c r="H180">
        <v>10</v>
      </c>
      <c r="I180">
        <v>6</v>
      </c>
      <c r="J180">
        <v>3</v>
      </c>
      <c r="K180">
        <v>1</v>
      </c>
      <c r="L180">
        <v>2</v>
      </c>
      <c r="M180">
        <v>30</v>
      </c>
      <c r="N180">
        <v>48.68</v>
      </c>
      <c r="O180">
        <v>1</v>
      </c>
      <c r="P1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" t="str">
        <f>IF(Table1[[#This Row],[Fraud_Score]]&gt;=6, "High Risk",IF(Table1[[#This Row],[Fraud_Score]]&gt;=3, "Medium Risk", "Low Risk"))</f>
        <v>Low Risk</v>
      </c>
      <c r="R180">
        <f>IF(Table1[[#This Row],[Seconds of Use]]=0,0,Table1[[#This Row],[Customer Value]]/Table1[[#This Row],[Seconds of Use]]*100)</f>
        <v>22.854460093896716</v>
      </c>
    </row>
    <row r="181" spans="1:18" x14ac:dyDescent="0.35">
      <c r="A181" s="3" t="s">
        <v>202</v>
      </c>
      <c r="B181">
        <v>2</v>
      </c>
      <c r="C181">
        <v>0</v>
      </c>
      <c r="D181">
        <v>40</v>
      </c>
      <c r="E181">
        <v>1</v>
      </c>
      <c r="F181">
        <v>1748</v>
      </c>
      <c r="G181">
        <v>27</v>
      </c>
      <c r="H181">
        <v>10</v>
      </c>
      <c r="I181">
        <v>10</v>
      </c>
      <c r="J181">
        <v>4</v>
      </c>
      <c r="K181">
        <v>1</v>
      </c>
      <c r="L181">
        <v>1</v>
      </c>
      <c r="M181">
        <v>45</v>
      </c>
      <c r="N181">
        <v>69.375</v>
      </c>
      <c r="O181">
        <v>0</v>
      </c>
      <c r="P1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1" t="str">
        <f>IF(Table1[[#This Row],[Fraud_Score]]&gt;=6, "High Risk",IF(Table1[[#This Row],[Fraud_Score]]&gt;=3, "Medium Risk", "Low Risk"))</f>
        <v>Low Risk</v>
      </c>
      <c r="R181">
        <f>IF(Table1[[#This Row],[Seconds of Use]]=0,0,Table1[[#This Row],[Customer Value]]/Table1[[#This Row],[Seconds of Use]]*100)</f>
        <v>3.9688215102974831</v>
      </c>
    </row>
    <row r="182" spans="1:18" x14ac:dyDescent="0.35">
      <c r="A182" s="3" t="s">
        <v>203</v>
      </c>
      <c r="B182">
        <v>4</v>
      </c>
      <c r="C182">
        <v>0</v>
      </c>
      <c r="D182">
        <v>37</v>
      </c>
      <c r="E182">
        <v>2</v>
      </c>
      <c r="F182">
        <v>6865</v>
      </c>
      <c r="G182">
        <v>99</v>
      </c>
      <c r="H182">
        <v>24</v>
      </c>
      <c r="I182">
        <v>26</v>
      </c>
      <c r="J182">
        <v>5</v>
      </c>
      <c r="K182">
        <v>1</v>
      </c>
      <c r="L182">
        <v>1</v>
      </c>
      <c r="M182">
        <v>55</v>
      </c>
      <c r="N182">
        <v>140.46</v>
      </c>
      <c r="O182">
        <v>0</v>
      </c>
      <c r="P1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2" t="str">
        <f>IF(Table1[[#This Row],[Fraud_Score]]&gt;=6, "High Risk",IF(Table1[[#This Row],[Fraud_Score]]&gt;=3, "Medium Risk", "Low Risk"))</f>
        <v>Low Risk</v>
      </c>
      <c r="R182">
        <f>IF(Table1[[#This Row],[Seconds of Use]]=0,0,Table1[[#This Row],[Customer Value]]/Table1[[#This Row],[Seconds of Use]]*100)</f>
        <v>2.0460305899490168</v>
      </c>
    </row>
    <row r="183" spans="1:18" x14ac:dyDescent="0.35">
      <c r="A183" s="3" t="s">
        <v>204</v>
      </c>
      <c r="B183">
        <v>1</v>
      </c>
      <c r="C183">
        <v>1</v>
      </c>
      <c r="D183">
        <v>40</v>
      </c>
      <c r="E183">
        <v>0</v>
      </c>
      <c r="F183">
        <v>708</v>
      </c>
      <c r="G183">
        <v>9</v>
      </c>
      <c r="H183">
        <v>19</v>
      </c>
      <c r="I183">
        <v>8</v>
      </c>
      <c r="J183">
        <v>4</v>
      </c>
      <c r="K183">
        <v>1</v>
      </c>
      <c r="L183">
        <v>2</v>
      </c>
      <c r="M183">
        <v>45</v>
      </c>
      <c r="N183">
        <v>65.424999999999997</v>
      </c>
      <c r="O183">
        <v>1</v>
      </c>
      <c r="P1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3" t="str">
        <f>IF(Table1[[#This Row],[Fraud_Score]]&gt;=6, "High Risk",IF(Table1[[#This Row],[Fraud_Score]]&gt;=3, "Medium Risk", "Low Risk"))</f>
        <v>Medium Risk</v>
      </c>
      <c r="R183">
        <f>IF(Table1[[#This Row],[Seconds of Use]]=0,0,Table1[[#This Row],[Customer Value]]/Table1[[#This Row],[Seconds of Use]]*100)</f>
        <v>9.2408192090395485</v>
      </c>
    </row>
    <row r="184" spans="1:18" x14ac:dyDescent="0.35">
      <c r="A184" s="3" t="s">
        <v>205</v>
      </c>
      <c r="B184">
        <v>1</v>
      </c>
      <c r="C184">
        <v>0</v>
      </c>
      <c r="D184">
        <v>40</v>
      </c>
      <c r="E184">
        <v>2</v>
      </c>
      <c r="F184">
        <v>418</v>
      </c>
      <c r="G184">
        <v>6</v>
      </c>
      <c r="H184">
        <v>14</v>
      </c>
      <c r="I184">
        <v>6</v>
      </c>
      <c r="J184">
        <v>5</v>
      </c>
      <c r="K184">
        <v>1</v>
      </c>
      <c r="L184">
        <v>1</v>
      </c>
      <c r="M184">
        <v>55</v>
      </c>
      <c r="N184">
        <v>27.36</v>
      </c>
      <c r="O184">
        <v>0</v>
      </c>
      <c r="P1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4" t="str">
        <f>IF(Table1[[#This Row],[Fraud_Score]]&gt;=6, "High Risk",IF(Table1[[#This Row],[Fraud_Score]]&gt;=3, "Medium Risk", "Low Risk"))</f>
        <v>Low Risk</v>
      </c>
      <c r="R184">
        <f>IF(Table1[[#This Row],[Seconds of Use]]=0,0,Table1[[#This Row],[Customer Value]]/Table1[[#This Row],[Seconds of Use]]*100)</f>
        <v>6.5454545454545459</v>
      </c>
    </row>
    <row r="185" spans="1:18" x14ac:dyDescent="0.35">
      <c r="A185" s="3" t="s">
        <v>206</v>
      </c>
      <c r="B185">
        <v>26</v>
      </c>
      <c r="C185">
        <v>0</v>
      </c>
      <c r="D185">
        <v>35</v>
      </c>
      <c r="E185">
        <v>4</v>
      </c>
      <c r="F185">
        <v>16155</v>
      </c>
      <c r="G185">
        <v>240</v>
      </c>
      <c r="H185">
        <v>10</v>
      </c>
      <c r="I185">
        <v>84</v>
      </c>
      <c r="J185">
        <v>2</v>
      </c>
      <c r="K185">
        <v>1</v>
      </c>
      <c r="L185">
        <v>1</v>
      </c>
      <c r="M185">
        <v>25</v>
      </c>
      <c r="N185">
        <v>782.77499999999998</v>
      </c>
      <c r="O185">
        <v>0</v>
      </c>
      <c r="P1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85" t="str">
        <f>IF(Table1[[#This Row],[Fraud_Score]]&gt;=6, "High Risk",IF(Table1[[#This Row],[Fraud_Score]]&gt;=3, "Medium Risk", "Low Risk"))</f>
        <v>Medium Risk</v>
      </c>
      <c r="R185">
        <f>IF(Table1[[#This Row],[Seconds of Use]]=0,0,Table1[[#This Row],[Customer Value]]/Table1[[#This Row],[Seconds of Use]]*100)</f>
        <v>4.8454038997214486</v>
      </c>
    </row>
    <row r="186" spans="1:18" x14ac:dyDescent="0.35">
      <c r="A186" s="3" t="s">
        <v>207</v>
      </c>
      <c r="B186">
        <v>7</v>
      </c>
      <c r="C186">
        <v>1</v>
      </c>
      <c r="D186">
        <v>38</v>
      </c>
      <c r="E186">
        <v>4</v>
      </c>
      <c r="F186">
        <v>7045</v>
      </c>
      <c r="G186">
        <v>118</v>
      </c>
      <c r="H186">
        <v>281</v>
      </c>
      <c r="I186">
        <v>37</v>
      </c>
      <c r="J186">
        <v>2</v>
      </c>
      <c r="K186">
        <v>2</v>
      </c>
      <c r="L186">
        <v>1</v>
      </c>
      <c r="M186">
        <v>25</v>
      </c>
      <c r="N186">
        <v>1586.835</v>
      </c>
      <c r="O186">
        <v>0</v>
      </c>
      <c r="P1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86" t="str">
        <f>IF(Table1[[#This Row],[Fraud_Score]]&gt;=6, "High Risk",IF(Table1[[#This Row],[Fraud_Score]]&gt;=3, "Medium Risk", "Low Risk"))</f>
        <v>Low Risk</v>
      </c>
      <c r="R186">
        <f>IF(Table1[[#This Row],[Seconds of Use]]=0,0,Table1[[#This Row],[Customer Value]]/Table1[[#This Row],[Seconds of Use]]*100)</f>
        <v>22.524272533711851</v>
      </c>
    </row>
    <row r="187" spans="1:18" x14ac:dyDescent="0.35">
      <c r="A187" s="3" t="s">
        <v>208</v>
      </c>
      <c r="B187">
        <v>3</v>
      </c>
      <c r="C187">
        <v>0</v>
      </c>
      <c r="D187">
        <v>40</v>
      </c>
      <c r="E187">
        <v>1</v>
      </c>
      <c r="F187">
        <v>3798</v>
      </c>
      <c r="G187">
        <v>84</v>
      </c>
      <c r="H187">
        <v>12</v>
      </c>
      <c r="I187">
        <v>32</v>
      </c>
      <c r="J187">
        <v>3</v>
      </c>
      <c r="K187">
        <v>1</v>
      </c>
      <c r="L187">
        <v>1</v>
      </c>
      <c r="M187">
        <v>30</v>
      </c>
      <c r="N187">
        <v>203.28</v>
      </c>
      <c r="O187">
        <v>0</v>
      </c>
      <c r="P1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7" t="str">
        <f>IF(Table1[[#This Row],[Fraud_Score]]&gt;=6, "High Risk",IF(Table1[[#This Row],[Fraud_Score]]&gt;=3, "Medium Risk", "Low Risk"))</f>
        <v>Low Risk</v>
      </c>
      <c r="R187">
        <f>IF(Table1[[#This Row],[Seconds of Use]]=0,0,Table1[[#This Row],[Customer Value]]/Table1[[#This Row],[Seconds of Use]]*100)</f>
        <v>5.3522906793048977</v>
      </c>
    </row>
    <row r="188" spans="1:18" x14ac:dyDescent="0.35">
      <c r="A188" s="3" t="s">
        <v>209</v>
      </c>
      <c r="B188">
        <v>4</v>
      </c>
      <c r="C188">
        <v>0</v>
      </c>
      <c r="D188">
        <v>39</v>
      </c>
      <c r="E188">
        <v>0</v>
      </c>
      <c r="F188">
        <v>1745</v>
      </c>
      <c r="G188">
        <v>46</v>
      </c>
      <c r="H188">
        <v>48</v>
      </c>
      <c r="I188">
        <v>24</v>
      </c>
      <c r="J188">
        <v>3</v>
      </c>
      <c r="K188">
        <v>1</v>
      </c>
      <c r="L188">
        <v>2</v>
      </c>
      <c r="M188">
        <v>30</v>
      </c>
      <c r="N188">
        <v>263.64</v>
      </c>
      <c r="O188">
        <v>0</v>
      </c>
      <c r="P1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8" t="str">
        <f>IF(Table1[[#This Row],[Fraud_Score]]&gt;=6, "High Risk",IF(Table1[[#This Row],[Fraud_Score]]&gt;=3, "Medium Risk", "Low Risk"))</f>
        <v>Low Risk</v>
      </c>
      <c r="R188">
        <f>IF(Table1[[#This Row],[Seconds of Use]]=0,0,Table1[[#This Row],[Customer Value]]/Table1[[#This Row],[Seconds of Use]]*100)</f>
        <v>15.108309455587394</v>
      </c>
    </row>
    <row r="189" spans="1:18" x14ac:dyDescent="0.35">
      <c r="A189" s="3" t="s">
        <v>210</v>
      </c>
      <c r="B189">
        <v>7</v>
      </c>
      <c r="C189">
        <v>0</v>
      </c>
      <c r="D189">
        <v>40</v>
      </c>
      <c r="E189">
        <v>1</v>
      </c>
      <c r="F189">
        <v>2860</v>
      </c>
      <c r="G189">
        <v>55</v>
      </c>
      <c r="H189">
        <v>185</v>
      </c>
      <c r="I189">
        <v>27</v>
      </c>
      <c r="J189">
        <v>2</v>
      </c>
      <c r="K189">
        <v>1</v>
      </c>
      <c r="L189">
        <v>1</v>
      </c>
      <c r="M189">
        <v>25</v>
      </c>
      <c r="N189">
        <v>963.67499999999995</v>
      </c>
      <c r="O189">
        <v>0</v>
      </c>
      <c r="P1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9" t="str">
        <f>IF(Table1[[#This Row],[Fraud_Score]]&gt;=6, "High Risk",IF(Table1[[#This Row],[Fraud_Score]]&gt;=3, "Medium Risk", "Low Risk"))</f>
        <v>Low Risk</v>
      </c>
      <c r="R189">
        <f>IF(Table1[[#This Row],[Seconds of Use]]=0,0,Table1[[#This Row],[Customer Value]]/Table1[[#This Row],[Seconds of Use]]*100)</f>
        <v>33.694930069930066</v>
      </c>
    </row>
    <row r="190" spans="1:18" x14ac:dyDescent="0.35">
      <c r="A190" s="3" t="s">
        <v>211</v>
      </c>
      <c r="B190">
        <v>5</v>
      </c>
      <c r="C190">
        <v>0</v>
      </c>
      <c r="D190">
        <v>31</v>
      </c>
      <c r="E190">
        <v>2</v>
      </c>
      <c r="F190">
        <v>1395</v>
      </c>
      <c r="G190">
        <v>38</v>
      </c>
      <c r="H190">
        <v>203</v>
      </c>
      <c r="I190">
        <v>15</v>
      </c>
      <c r="J190">
        <v>2</v>
      </c>
      <c r="K190">
        <v>2</v>
      </c>
      <c r="L190">
        <v>1</v>
      </c>
      <c r="M190">
        <v>25</v>
      </c>
      <c r="N190">
        <v>977.98500000000001</v>
      </c>
      <c r="O190">
        <v>0</v>
      </c>
      <c r="P1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0" t="str">
        <f>IF(Table1[[#This Row],[Fraud_Score]]&gt;=6, "High Risk",IF(Table1[[#This Row],[Fraud_Score]]&gt;=3, "Medium Risk", "Low Risk"))</f>
        <v>Low Risk</v>
      </c>
      <c r="R190">
        <f>IF(Table1[[#This Row],[Seconds of Use]]=0,0,Table1[[#This Row],[Customer Value]]/Table1[[#This Row],[Seconds of Use]]*100)</f>
        <v>70.106451612903228</v>
      </c>
    </row>
    <row r="191" spans="1:18" x14ac:dyDescent="0.35">
      <c r="A191" s="3" t="s">
        <v>212</v>
      </c>
      <c r="B191">
        <v>5</v>
      </c>
      <c r="C191">
        <v>0</v>
      </c>
      <c r="D191">
        <v>30</v>
      </c>
      <c r="E191">
        <v>1</v>
      </c>
      <c r="F191">
        <v>1648</v>
      </c>
      <c r="G191">
        <v>41</v>
      </c>
      <c r="H191">
        <v>40</v>
      </c>
      <c r="I191">
        <v>72</v>
      </c>
      <c r="J191">
        <v>4</v>
      </c>
      <c r="K191">
        <v>1</v>
      </c>
      <c r="L191">
        <v>1</v>
      </c>
      <c r="M191">
        <v>45</v>
      </c>
      <c r="N191">
        <v>142.22499999999999</v>
      </c>
      <c r="O191">
        <v>0</v>
      </c>
      <c r="P1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1" t="str">
        <f>IF(Table1[[#This Row],[Fraud_Score]]&gt;=6, "High Risk",IF(Table1[[#This Row],[Fraud_Score]]&gt;=3, "Medium Risk", "Low Risk"))</f>
        <v>Low Risk</v>
      </c>
      <c r="R191">
        <f>IF(Table1[[#This Row],[Seconds of Use]]=0,0,Table1[[#This Row],[Customer Value]]/Table1[[#This Row],[Seconds of Use]]*100)</f>
        <v>8.6301577669902922</v>
      </c>
    </row>
    <row r="192" spans="1:18" x14ac:dyDescent="0.35">
      <c r="A192" s="3" t="s">
        <v>213</v>
      </c>
      <c r="B192">
        <v>12</v>
      </c>
      <c r="C192">
        <v>0</v>
      </c>
      <c r="D192">
        <v>31</v>
      </c>
      <c r="E192">
        <v>0</v>
      </c>
      <c r="F192">
        <v>780</v>
      </c>
      <c r="G192">
        <v>27</v>
      </c>
      <c r="H192">
        <v>20</v>
      </c>
      <c r="I192">
        <v>11</v>
      </c>
      <c r="J192">
        <v>3</v>
      </c>
      <c r="K192">
        <v>1</v>
      </c>
      <c r="L192">
        <v>2</v>
      </c>
      <c r="M192">
        <v>30</v>
      </c>
      <c r="N192">
        <v>112.28</v>
      </c>
      <c r="O192">
        <v>0</v>
      </c>
      <c r="P1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2" t="str">
        <f>IF(Table1[[#This Row],[Fraud_Score]]&gt;=6, "High Risk",IF(Table1[[#This Row],[Fraud_Score]]&gt;=3, "Medium Risk", "Low Risk"))</f>
        <v>Medium Risk</v>
      </c>
      <c r="R192">
        <f>IF(Table1[[#This Row],[Seconds of Use]]=0,0,Table1[[#This Row],[Customer Value]]/Table1[[#This Row],[Seconds of Use]]*100)</f>
        <v>14.394871794871793</v>
      </c>
    </row>
    <row r="193" spans="1:18" x14ac:dyDescent="0.35">
      <c r="A193" s="3" t="s">
        <v>214</v>
      </c>
      <c r="B193">
        <v>1</v>
      </c>
      <c r="C193">
        <v>0</v>
      </c>
      <c r="D193">
        <v>30</v>
      </c>
      <c r="E193">
        <v>0</v>
      </c>
      <c r="F193">
        <v>905</v>
      </c>
      <c r="G193">
        <v>12</v>
      </c>
      <c r="H193">
        <v>31</v>
      </c>
      <c r="I193">
        <v>7</v>
      </c>
      <c r="J193">
        <v>4</v>
      </c>
      <c r="K193">
        <v>1</v>
      </c>
      <c r="L193">
        <v>2</v>
      </c>
      <c r="M193">
        <v>45</v>
      </c>
      <c r="N193">
        <v>100.425</v>
      </c>
      <c r="O193">
        <v>0</v>
      </c>
      <c r="P1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3" t="str">
        <f>IF(Table1[[#This Row],[Fraud_Score]]&gt;=6, "High Risk",IF(Table1[[#This Row],[Fraud_Score]]&gt;=3, "Medium Risk", "Low Risk"))</f>
        <v>Low Risk</v>
      </c>
      <c r="R193">
        <f>IF(Table1[[#This Row],[Seconds of Use]]=0,0,Table1[[#This Row],[Customer Value]]/Table1[[#This Row],[Seconds of Use]]*100)</f>
        <v>11.096685082872929</v>
      </c>
    </row>
    <row r="194" spans="1:18" x14ac:dyDescent="0.35">
      <c r="A194" s="3" t="s">
        <v>215</v>
      </c>
      <c r="B194">
        <v>11</v>
      </c>
      <c r="C194">
        <v>0</v>
      </c>
      <c r="D194">
        <v>29</v>
      </c>
      <c r="E194">
        <v>1</v>
      </c>
      <c r="F194">
        <v>1305</v>
      </c>
      <c r="G194">
        <v>34</v>
      </c>
      <c r="H194">
        <v>29</v>
      </c>
      <c r="I194">
        <v>17</v>
      </c>
      <c r="J194">
        <v>2</v>
      </c>
      <c r="K194">
        <v>1</v>
      </c>
      <c r="L194">
        <v>1</v>
      </c>
      <c r="M194">
        <v>25</v>
      </c>
      <c r="N194">
        <v>190.755</v>
      </c>
      <c r="O194">
        <v>0</v>
      </c>
      <c r="P1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4" t="str">
        <f>IF(Table1[[#This Row],[Fraud_Score]]&gt;=6, "High Risk",IF(Table1[[#This Row],[Fraud_Score]]&gt;=3, "Medium Risk", "Low Risk"))</f>
        <v>Low Risk</v>
      </c>
      <c r="R194">
        <f>IF(Table1[[#This Row],[Seconds of Use]]=0,0,Table1[[#This Row],[Customer Value]]/Table1[[#This Row],[Seconds of Use]]*100)</f>
        <v>14.617241379310345</v>
      </c>
    </row>
    <row r="195" spans="1:18" x14ac:dyDescent="0.35">
      <c r="A195" s="3" t="s">
        <v>216</v>
      </c>
      <c r="B195">
        <v>3</v>
      </c>
      <c r="C195">
        <v>0</v>
      </c>
      <c r="D195">
        <v>29</v>
      </c>
      <c r="E195">
        <v>1</v>
      </c>
      <c r="F195">
        <v>3305</v>
      </c>
      <c r="G195">
        <v>63</v>
      </c>
      <c r="H195">
        <v>18</v>
      </c>
      <c r="I195">
        <v>27</v>
      </c>
      <c r="J195">
        <v>3</v>
      </c>
      <c r="K195">
        <v>1</v>
      </c>
      <c r="L195">
        <v>1</v>
      </c>
      <c r="M195">
        <v>30</v>
      </c>
      <c r="N195">
        <v>206.72</v>
      </c>
      <c r="O195">
        <v>0</v>
      </c>
      <c r="P1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5" t="str">
        <f>IF(Table1[[#This Row],[Fraud_Score]]&gt;=6, "High Risk",IF(Table1[[#This Row],[Fraud_Score]]&gt;=3, "Medium Risk", "Low Risk"))</f>
        <v>Low Risk</v>
      </c>
      <c r="R195">
        <f>IF(Table1[[#This Row],[Seconds of Use]]=0,0,Table1[[#This Row],[Customer Value]]/Table1[[#This Row],[Seconds of Use]]*100)</f>
        <v>6.2547655068078676</v>
      </c>
    </row>
    <row r="196" spans="1:18" x14ac:dyDescent="0.35">
      <c r="A196" s="3" t="s">
        <v>217</v>
      </c>
      <c r="B196">
        <v>3</v>
      </c>
      <c r="C196">
        <v>0</v>
      </c>
      <c r="D196">
        <v>22</v>
      </c>
      <c r="E196">
        <v>1</v>
      </c>
      <c r="F196">
        <v>1775</v>
      </c>
      <c r="G196">
        <v>28</v>
      </c>
      <c r="H196">
        <v>38</v>
      </c>
      <c r="I196">
        <v>18</v>
      </c>
      <c r="J196">
        <v>2</v>
      </c>
      <c r="K196">
        <v>1</v>
      </c>
      <c r="L196">
        <v>1</v>
      </c>
      <c r="M196">
        <v>25</v>
      </c>
      <c r="N196">
        <v>252.13499999999999</v>
      </c>
      <c r="O196">
        <v>0</v>
      </c>
      <c r="P1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6" t="str">
        <f>IF(Table1[[#This Row],[Fraud_Score]]&gt;=6, "High Risk",IF(Table1[[#This Row],[Fraud_Score]]&gt;=3, "Medium Risk", "Low Risk"))</f>
        <v>Low Risk</v>
      </c>
      <c r="R196">
        <f>IF(Table1[[#This Row],[Seconds of Use]]=0,0,Table1[[#This Row],[Customer Value]]/Table1[[#This Row],[Seconds of Use]]*100)</f>
        <v>14.204788732394366</v>
      </c>
    </row>
    <row r="197" spans="1:18" x14ac:dyDescent="0.35">
      <c r="A197" s="3" t="s">
        <v>218</v>
      </c>
      <c r="B197">
        <v>17</v>
      </c>
      <c r="C197">
        <v>0</v>
      </c>
      <c r="D197">
        <v>21</v>
      </c>
      <c r="E197">
        <v>2</v>
      </c>
      <c r="F197">
        <v>6473</v>
      </c>
      <c r="G197">
        <v>143</v>
      </c>
      <c r="H197">
        <v>95</v>
      </c>
      <c r="I197">
        <v>46</v>
      </c>
      <c r="J197">
        <v>2</v>
      </c>
      <c r="K197">
        <v>2</v>
      </c>
      <c r="L197">
        <v>1</v>
      </c>
      <c r="M197">
        <v>25</v>
      </c>
      <c r="N197">
        <v>725.22</v>
      </c>
      <c r="O197">
        <v>0</v>
      </c>
      <c r="P1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97" t="str">
        <f>IF(Table1[[#This Row],[Fraud_Score]]&gt;=6, "High Risk",IF(Table1[[#This Row],[Fraud_Score]]&gt;=3, "Medium Risk", "Low Risk"))</f>
        <v>Medium Risk</v>
      </c>
      <c r="R197">
        <f>IF(Table1[[#This Row],[Seconds of Use]]=0,0,Table1[[#This Row],[Customer Value]]/Table1[[#This Row],[Seconds of Use]]*100)</f>
        <v>11.203769504093929</v>
      </c>
    </row>
    <row r="198" spans="1:18" x14ac:dyDescent="0.35">
      <c r="A198" s="3" t="s">
        <v>219</v>
      </c>
      <c r="B198">
        <v>13</v>
      </c>
      <c r="C198">
        <v>0</v>
      </c>
      <c r="D198">
        <v>19</v>
      </c>
      <c r="E198">
        <v>1</v>
      </c>
      <c r="F198">
        <v>9013</v>
      </c>
      <c r="G198">
        <v>173</v>
      </c>
      <c r="H198">
        <v>83</v>
      </c>
      <c r="I198">
        <v>44</v>
      </c>
      <c r="J198">
        <v>5</v>
      </c>
      <c r="K198">
        <v>1</v>
      </c>
      <c r="L198">
        <v>1</v>
      </c>
      <c r="M198">
        <v>55</v>
      </c>
      <c r="N198">
        <v>262.29000000000002</v>
      </c>
      <c r="O198">
        <v>0</v>
      </c>
      <c r="P1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98" t="str">
        <f>IF(Table1[[#This Row],[Fraud_Score]]&gt;=6, "High Risk",IF(Table1[[#This Row],[Fraud_Score]]&gt;=3, "Medium Risk", "Low Risk"))</f>
        <v>Medium Risk</v>
      </c>
      <c r="R198">
        <f>IF(Table1[[#This Row],[Seconds of Use]]=0,0,Table1[[#This Row],[Customer Value]]/Table1[[#This Row],[Seconds of Use]]*100)</f>
        <v>2.9101298124930657</v>
      </c>
    </row>
    <row r="199" spans="1:18" x14ac:dyDescent="0.35">
      <c r="A199" s="3" t="s">
        <v>220</v>
      </c>
      <c r="B199">
        <v>9</v>
      </c>
      <c r="C199">
        <v>0</v>
      </c>
      <c r="D199">
        <v>20</v>
      </c>
      <c r="E199">
        <v>4</v>
      </c>
      <c r="F199">
        <v>2933</v>
      </c>
      <c r="G199">
        <v>47</v>
      </c>
      <c r="H199">
        <v>41</v>
      </c>
      <c r="I199">
        <v>23</v>
      </c>
      <c r="J199">
        <v>3</v>
      </c>
      <c r="K199">
        <v>1</v>
      </c>
      <c r="L199">
        <v>1</v>
      </c>
      <c r="M199">
        <v>30</v>
      </c>
      <c r="N199">
        <v>283.2</v>
      </c>
      <c r="O199">
        <v>0</v>
      </c>
      <c r="P1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9" t="str">
        <f>IF(Table1[[#This Row],[Fraud_Score]]&gt;=6, "High Risk",IF(Table1[[#This Row],[Fraud_Score]]&gt;=3, "Medium Risk", "Low Risk"))</f>
        <v>Low Risk</v>
      </c>
      <c r="R199">
        <f>IF(Table1[[#This Row],[Seconds of Use]]=0,0,Table1[[#This Row],[Customer Value]]/Table1[[#This Row],[Seconds of Use]]*100)</f>
        <v>9.6556426866689389</v>
      </c>
    </row>
    <row r="200" spans="1:18" x14ac:dyDescent="0.35">
      <c r="A200" s="3" t="s">
        <v>221</v>
      </c>
      <c r="B200">
        <v>3</v>
      </c>
      <c r="C200">
        <v>0</v>
      </c>
      <c r="D200">
        <v>13</v>
      </c>
      <c r="E200">
        <v>2</v>
      </c>
      <c r="F200">
        <v>4470</v>
      </c>
      <c r="G200">
        <v>42</v>
      </c>
      <c r="H200">
        <v>225</v>
      </c>
      <c r="I200">
        <v>14</v>
      </c>
      <c r="J200">
        <v>3</v>
      </c>
      <c r="K200">
        <v>1</v>
      </c>
      <c r="L200">
        <v>1</v>
      </c>
      <c r="M200">
        <v>30</v>
      </c>
      <c r="N200">
        <v>1080.48</v>
      </c>
      <c r="O200">
        <v>0</v>
      </c>
      <c r="P2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0" t="str">
        <f>IF(Table1[[#This Row],[Fraud_Score]]&gt;=6, "High Risk",IF(Table1[[#This Row],[Fraud_Score]]&gt;=3, "Medium Risk", "Low Risk"))</f>
        <v>Low Risk</v>
      </c>
      <c r="R200">
        <f>IF(Table1[[#This Row],[Seconds of Use]]=0,0,Table1[[#This Row],[Customer Value]]/Table1[[#This Row],[Seconds of Use]]*100)</f>
        <v>24.171812080536913</v>
      </c>
    </row>
    <row r="201" spans="1:18" x14ac:dyDescent="0.35">
      <c r="A201" s="3" t="s">
        <v>222</v>
      </c>
      <c r="B201">
        <v>4</v>
      </c>
      <c r="C201">
        <v>0</v>
      </c>
      <c r="D201">
        <v>13</v>
      </c>
      <c r="E201">
        <v>2</v>
      </c>
      <c r="F201">
        <v>1568</v>
      </c>
      <c r="G201">
        <v>21</v>
      </c>
      <c r="H201">
        <v>10</v>
      </c>
      <c r="I201">
        <v>11</v>
      </c>
      <c r="J201">
        <v>3</v>
      </c>
      <c r="K201">
        <v>1</v>
      </c>
      <c r="L201">
        <v>1</v>
      </c>
      <c r="M201">
        <v>30</v>
      </c>
      <c r="N201">
        <v>103.56</v>
      </c>
      <c r="O201">
        <v>1</v>
      </c>
      <c r="P2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1" t="str">
        <f>IF(Table1[[#This Row],[Fraud_Score]]&gt;=6, "High Risk",IF(Table1[[#This Row],[Fraud_Score]]&gt;=3, "Medium Risk", "Low Risk"))</f>
        <v>Low Risk</v>
      </c>
      <c r="R201">
        <f>IF(Table1[[#This Row],[Seconds of Use]]=0,0,Table1[[#This Row],[Customer Value]]/Table1[[#This Row],[Seconds of Use]]*100)</f>
        <v>6.6045918367346941</v>
      </c>
    </row>
    <row r="202" spans="1:18" x14ac:dyDescent="0.35">
      <c r="A202" s="3" t="s">
        <v>223</v>
      </c>
      <c r="B202">
        <v>7</v>
      </c>
      <c r="C202">
        <v>0</v>
      </c>
      <c r="D202">
        <v>34</v>
      </c>
      <c r="E202">
        <v>0</v>
      </c>
      <c r="F202">
        <v>4290</v>
      </c>
      <c r="G202">
        <v>69</v>
      </c>
      <c r="H202">
        <v>0</v>
      </c>
      <c r="I202">
        <v>13</v>
      </c>
      <c r="J202">
        <v>2</v>
      </c>
      <c r="K202">
        <v>1</v>
      </c>
      <c r="L202">
        <v>1</v>
      </c>
      <c r="M202">
        <v>25</v>
      </c>
      <c r="N202">
        <v>196.155</v>
      </c>
      <c r="O202">
        <v>0</v>
      </c>
      <c r="P2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2" t="str">
        <f>IF(Table1[[#This Row],[Fraud_Score]]&gt;=6, "High Risk",IF(Table1[[#This Row],[Fraud_Score]]&gt;=3, "Medium Risk", "Low Risk"))</f>
        <v>Low Risk</v>
      </c>
      <c r="R202">
        <f>IF(Table1[[#This Row],[Seconds of Use]]=0,0,Table1[[#This Row],[Customer Value]]/Table1[[#This Row],[Seconds of Use]]*100)</f>
        <v>4.5723776223776227</v>
      </c>
    </row>
    <row r="203" spans="1:18" x14ac:dyDescent="0.35">
      <c r="A203" s="3" t="s">
        <v>224</v>
      </c>
      <c r="B203">
        <v>0</v>
      </c>
      <c r="C203">
        <v>0</v>
      </c>
      <c r="D203">
        <v>35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1</v>
      </c>
      <c r="L203">
        <v>2</v>
      </c>
      <c r="M203">
        <v>25</v>
      </c>
      <c r="N203">
        <v>0</v>
      </c>
      <c r="O203">
        <v>0</v>
      </c>
      <c r="P2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" t="str">
        <f>IF(Table1[[#This Row],[Fraud_Score]]&gt;=6, "High Risk",IF(Table1[[#This Row],[Fraud_Score]]&gt;=3, "Medium Risk", "Low Risk"))</f>
        <v>Low Risk</v>
      </c>
      <c r="R203">
        <f>IF(Table1[[#This Row],[Seconds of Use]]=0,0,Table1[[#This Row],[Customer Value]]/Table1[[#This Row],[Seconds of Use]]*100)</f>
        <v>0</v>
      </c>
    </row>
    <row r="204" spans="1:18" x14ac:dyDescent="0.35">
      <c r="A204" s="3" t="s">
        <v>225</v>
      </c>
      <c r="B204">
        <v>9</v>
      </c>
      <c r="C204">
        <v>0</v>
      </c>
      <c r="D204">
        <v>33</v>
      </c>
      <c r="E204">
        <v>0</v>
      </c>
      <c r="F204">
        <v>2373</v>
      </c>
      <c r="G204">
        <v>58</v>
      </c>
      <c r="H204">
        <v>349</v>
      </c>
      <c r="I204">
        <v>20</v>
      </c>
      <c r="J204">
        <v>2</v>
      </c>
      <c r="K204">
        <v>1</v>
      </c>
      <c r="L204">
        <v>1</v>
      </c>
      <c r="M204">
        <v>25</v>
      </c>
      <c r="N204">
        <v>1679.895</v>
      </c>
      <c r="O204">
        <v>0</v>
      </c>
      <c r="P2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4" t="str">
        <f>IF(Table1[[#This Row],[Fraud_Score]]&gt;=6, "High Risk",IF(Table1[[#This Row],[Fraud_Score]]&gt;=3, "Medium Risk", "Low Risk"))</f>
        <v>Low Risk</v>
      </c>
      <c r="R204">
        <f>IF(Table1[[#This Row],[Seconds of Use]]=0,0,Table1[[#This Row],[Customer Value]]/Table1[[#This Row],[Seconds of Use]]*100)</f>
        <v>70.792035398230098</v>
      </c>
    </row>
    <row r="205" spans="1:18" x14ac:dyDescent="0.35">
      <c r="A205" s="3" t="s">
        <v>226</v>
      </c>
      <c r="B205">
        <v>9</v>
      </c>
      <c r="C205">
        <v>0</v>
      </c>
      <c r="D205">
        <v>34</v>
      </c>
      <c r="E205">
        <v>0</v>
      </c>
      <c r="F205">
        <v>4118</v>
      </c>
      <c r="G205">
        <v>64</v>
      </c>
      <c r="H205">
        <v>0</v>
      </c>
      <c r="I205">
        <v>31</v>
      </c>
      <c r="J205">
        <v>1</v>
      </c>
      <c r="K205">
        <v>1</v>
      </c>
      <c r="L205">
        <v>1</v>
      </c>
      <c r="M205">
        <v>15</v>
      </c>
      <c r="N205">
        <v>230.01</v>
      </c>
      <c r="O205">
        <v>0</v>
      </c>
      <c r="P2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" t="str">
        <f>IF(Table1[[#This Row],[Fraud_Score]]&gt;=6, "High Risk",IF(Table1[[#This Row],[Fraud_Score]]&gt;=3, "Medium Risk", "Low Risk"))</f>
        <v>Low Risk</v>
      </c>
      <c r="R205">
        <f>IF(Table1[[#This Row],[Seconds of Use]]=0,0,Table1[[#This Row],[Customer Value]]/Table1[[#This Row],[Seconds of Use]]*100)</f>
        <v>5.5854783875667797</v>
      </c>
    </row>
    <row r="206" spans="1:18" x14ac:dyDescent="0.35">
      <c r="A206" s="3" t="s">
        <v>227</v>
      </c>
      <c r="B206">
        <v>2</v>
      </c>
      <c r="C206">
        <v>0</v>
      </c>
      <c r="D206">
        <v>34</v>
      </c>
      <c r="E206">
        <v>0</v>
      </c>
      <c r="F206">
        <v>2313</v>
      </c>
      <c r="G206">
        <v>56</v>
      </c>
      <c r="H206">
        <v>0</v>
      </c>
      <c r="I206">
        <v>29</v>
      </c>
      <c r="J206">
        <v>1</v>
      </c>
      <c r="K206">
        <v>1</v>
      </c>
      <c r="L206">
        <v>1</v>
      </c>
      <c r="M206">
        <v>15</v>
      </c>
      <c r="N206">
        <v>130.29499999999999</v>
      </c>
      <c r="O206">
        <v>0</v>
      </c>
      <c r="P2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" t="str">
        <f>IF(Table1[[#This Row],[Fraud_Score]]&gt;=6, "High Risk",IF(Table1[[#This Row],[Fraud_Score]]&gt;=3, "Medium Risk", "Low Risk"))</f>
        <v>Low Risk</v>
      </c>
      <c r="R206">
        <f>IF(Table1[[#This Row],[Seconds of Use]]=0,0,Table1[[#This Row],[Customer Value]]/Table1[[#This Row],[Seconds of Use]]*100)</f>
        <v>5.633160397751837</v>
      </c>
    </row>
    <row r="207" spans="1:18" x14ac:dyDescent="0.35">
      <c r="A207" s="3" t="s">
        <v>228</v>
      </c>
      <c r="B207">
        <v>10</v>
      </c>
      <c r="C207">
        <v>0</v>
      </c>
      <c r="D207">
        <v>34</v>
      </c>
      <c r="E207">
        <v>0</v>
      </c>
      <c r="F207">
        <v>3695</v>
      </c>
      <c r="G207">
        <v>80</v>
      </c>
      <c r="H207">
        <v>22</v>
      </c>
      <c r="I207">
        <v>24</v>
      </c>
      <c r="J207">
        <v>3</v>
      </c>
      <c r="K207">
        <v>1</v>
      </c>
      <c r="L207">
        <v>1</v>
      </c>
      <c r="M207">
        <v>30</v>
      </c>
      <c r="N207">
        <v>239</v>
      </c>
      <c r="O207">
        <v>0</v>
      </c>
      <c r="P2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7" t="str">
        <f>IF(Table1[[#This Row],[Fraud_Score]]&gt;=6, "High Risk",IF(Table1[[#This Row],[Fraud_Score]]&gt;=3, "Medium Risk", "Low Risk"))</f>
        <v>Low Risk</v>
      </c>
      <c r="R207">
        <f>IF(Table1[[#This Row],[Seconds of Use]]=0,0,Table1[[#This Row],[Customer Value]]/Table1[[#This Row],[Seconds of Use]]*100)</f>
        <v>6.4682002706359949</v>
      </c>
    </row>
    <row r="208" spans="1:18" x14ac:dyDescent="0.35">
      <c r="A208" s="3" t="s">
        <v>229</v>
      </c>
      <c r="B208">
        <v>3</v>
      </c>
      <c r="C208">
        <v>0</v>
      </c>
      <c r="D208">
        <v>34</v>
      </c>
      <c r="E208">
        <v>0</v>
      </c>
      <c r="F208">
        <v>2280</v>
      </c>
      <c r="G208">
        <v>37</v>
      </c>
      <c r="H208">
        <v>275</v>
      </c>
      <c r="I208">
        <v>14</v>
      </c>
      <c r="J208">
        <v>3</v>
      </c>
      <c r="K208">
        <v>1</v>
      </c>
      <c r="L208">
        <v>1</v>
      </c>
      <c r="M208">
        <v>30</v>
      </c>
      <c r="N208">
        <v>1192.68</v>
      </c>
      <c r="O208">
        <v>0</v>
      </c>
      <c r="P2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" t="str">
        <f>IF(Table1[[#This Row],[Fraud_Score]]&gt;=6, "High Risk",IF(Table1[[#This Row],[Fraud_Score]]&gt;=3, "Medium Risk", "Low Risk"))</f>
        <v>Low Risk</v>
      </c>
      <c r="R208">
        <f>IF(Table1[[#This Row],[Seconds of Use]]=0,0,Table1[[#This Row],[Customer Value]]/Table1[[#This Row],[Seconds of Use]]*100)</f>
        <v>52.310526315789474</v>
      </c>
    </row>
    <row r="209" spans="1:18" x14ac:dyDescent="0.35">
      <c r="A209" s="3" t="s">
        <v>230</v>
      </c>
      <c r="B209">
        <v>12</v>
      </c>
      <c r="C209">
        <v>0</v>
      </c>
      <c r="D209">
        <v>33</v>
      </c>
      <c r="E209">
        <v>1</v>
      </c>
      <c r="F209">
        <v>9035</v>
      </c>
      <c r="G209">
        <v>119</v>
      </c>
      <c r="H209">
        <v>134</v>
      </c>
      <c r="I209">
        <v>39</v>
      </c>
      <c r="J209">
        <v>3</v>
      </c>
      <c r="K209">
        <v>1</v>
      </c>
      <c r="L209">
        <v>1</v>
      </c>
      <c r="M209">
        <v>30</v>
      </c>
      <c r="N209">
        <v>902.16</v>
      </c>
      <c r="O209">
        <v>0</v>
      </c>
      <c r="P2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09" t="str">
        <f>IF(Table1[[#This Row],[Fraud_Score]]&gt;=6, "High Risk",IF(Table1[[#This Row],[Fraud_Score]]&gt;=3, "Medium Risk", "Low Risk"))</f>
        <v>Low Risk</v>
      </c>
      <c r="R209">
        <f>IF(Table1[[#This Row],[Seconds of Use]]=0,0,Table1[[#This Row],[Customer Value]]/Table1[[#This Row],[Seconds of Use]]*100)</f>
        <v>9.9851687880464866</v>
      </c>
    </row>
    <row r="210" spans="1:18" x14ac:dyDescent="0.35">
      <c r="A210" s="3" t="s">
        <v>231</v>
      </c>
      <c r="B210">
        <v>6</v>
      </c>
      <c r="C210">
        <v>0</v>
      </c>
      <c r="D210">
        <v>34</v>
      </c>
      <c r="E210">
        <v>0</v>
      </c>
      <c r="F210">
        <v>13693</v>
      </c>
      <c r="G210">
        <v>167</v>
      </c>
      <c r="H210">
        <v>0</v>
      </c>
      <c r="I210">
        <v>40</v>
      </c>
      <c r="J210">
        <v>3</v>
      </c>
      <c r="K210">
        <v>1</v>
      </c>
      <c r="L210">
        <v>1</v>
      </c>
      <c r="M210">
        <v>30</v>
      </c>
      <c r="N210">
        <v>554.4</v>
      </c>
      <c r="O210">
        <v>0</v>
      </c>
      <c r="P2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10" t="str">
        <f>IF(Table1[[#This Row],[Fraud_Score]]&gt;=6, "High Risk",IF(Table1[[#This Row],[Fraud_Score]]&gt;=3, "Medium Risk", "Low Risk"))</f>
        <v>Medium Risk</v>
      </c>
      <c r="R210">
        <f>IF(Table1[[#This Row],[Seconds of Use]]=0,0,Table1[[#This Row],[Customer Value]]/Table1[[#This Row],[Seconds of Use]]*100)</f>
        <v>4.0487840502446506</v>
      </c>
    </row>
    <row r="211" spans="1:18" x14ac:dyDescent="0.35">
      <c r="A211" s="3" t="s">
        <v>232</v>
      </c>
      <c r="B211">
        <v>6</v>
      </c>
      <c r="C211">
        <v>0</v>
      </c>
      <c r="D211">
        <v>34</v>
      </c>
      <c r="E211">
        <v>0</v>
      </c>
      <c r="F211">
        <v>4435</v>
      </c>
      <c r="G211">
        <v>81</v>
      </c>
      <c r="H211">
        <v>0</v>
      </c>
      <c r="I211">
        <v>21</v>
      </c>
      <c r="J211">
        <v>3</v>
      </c>
      <c r="K211">
        <v>1</v>
      </c>
      <c r="L211">
        <v>1</v>
      </c>
      <c r="M211">
        <v>30</v>
      </c>
      <c r="N211">
        <v>180.64</v>
      </c>
      <c r="O211">
        <v>0</v>
      </c>
      <c r="P2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1" t="str">
        <f>IF(Table1[[#This Row],[Fraud_Score]]&gt;=6, "High Risk",IF(Table1[[#This Row],[Fraud_Score]]&gt;=3, "Medium Risk", "Low Risk"))</f>
        <v>Low Risk</v>
      </c>
      <c r="R211">
        <f>IF(Table1[[#This Row],[Seconds of Use]]=0,0,Table1[[#This Row],[Customer Value]]/Table1[[#This Row],[Seconds of Use]]*100)</f>
        <v>4.0730552423900788</v>
      </c>
    </row>
    <row r="212" spans="1:18" x14ac:dyDescent="0.35">
      <c r="A212" s="3" t="s">
        <v>233</v>
      </c>
      <c r="B212">
        <v>5</v>
      </c>
      <c r="C212">
        <v>0</v>
      </c>
      <c r="D212">
        <v>34</v>
      </c>
      <c r="E212">
        <v>0</v>
      </c>
      <c r="F212">
        <v>5838</v>
      </c>
      <c r="G212">
        <v>93</v>
      </c>
      <c r="H212">
        <v>0</v>
      </c>
      <c r="I212">
        <v>8</v>
      </c>
      <c r="J212">
        <v>2</v>
      </c>
      <c r="K212">
        <v>1</v>
      </c>
      <c r="L212">
        <v>1</v>
      </c>
      <c r="M212">
        <v>25</v>
      </c>
      <c r="N212">
        <v>266.89499999999998</v>
      </c>
      <c r="O212">
        <v>0</v>
      </c>
      <c r="P2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2" t="str">
        <f>IF(Table1[[#This Row],[Fraud_Score]]&gt;=6, "High Risk",IF(Table1[[#This Row],[Fraud_Score]]&gt;=3, "Medium Risk", "Low Risk"))</f>
        <v>Low Risk</v>
      </c>
      <c r="R212">
        <f>IF(Table1[[#This Row],[Seconds of Use]]=0,0,Table1[[#This Row],[Customer Value]]/Table1[[#This Row],[Seconds of Use]]*100)</f>
        <v>4.5716855087358681</v>
      </c>
    </row>
    <row r="213" spans="1:18" x14ac:dyDescent="0.35">
      <c r="A213" s="3" t="s">
        <v>234</v>
      </c>
      <c r="B213">
        <v>8</v>
      </c>
      <c r="C213">
        <v>0</v>
      </c>
      <c r="D213">
        <v>34</v>
      </c>
      <c r="E213">
        <v>0</v>
      </c>
      <c r="F213">
        <v>2158</v>
      </c>
      <c r="G213">
        <v>52</v>
      </c>
      <c r="H213">
        <v>0</v>
      </c>
      <c r="I213">
        <v>13</v>
      </c>
      <c r="J213">
        <v>3</v>
      </c>
      <c r="K213">
        <v>1</v>
      </c>
      <c r="L213">
        <v>2</v>
      </c>
      <c r="M213">
        <v>30</v>
      </c>
      <c r="N213">
        <v>88.4</v>
      </c>
      <c r="O213">
        <v>0</v>
      </c>
      <c r="P2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3" t="str">
        <f>IF(Table1[[#This Row],[Fraud_Score]]&gt;=6, "High Risk",IF(Table1[[#This Row],[Fraud_Score]]&gt;=3, "Medium Risk", "Low Risk"))</f>
        <v>Low Risk</v>
      </c>
      <c r="R213">
        <f>IF(Table1[[#This Row],[Seconds of Use]]=0,0,Table1[[#This Row],[Customer Value]]/Table1[[#This Row],[Seconds of Use]]*100)</f>
        <v>4.096385542168675</v>
      </c>
    </row>
    <row r="214" spans="1:18" x14ac:dyDescent="0.35">
      <c r="A214" s="3" t="s">
        <v>235</v>
      </c>
      <c r="B214">
        <v>24</v>
      </c>
      <c r="C214">
        <v>0</v>
      </c>
      <c r="D214">
        <v>34</v>
      </c>
      <c r="E214">
        <v>2</v>
      </c>
      <c r="F214">
        <v>15060</v>
      </c>
      <c r="G214">
        <v>223</v>
      </c>
      <c r="H214">
        <v>44</v>
      </c>
      <c r="I214">
        <v>28</v>
      </c>
      <c r="J214">
        <v>3</v>
      </c>
      <c r="K214">
        <v>1</v>
      </c>
      <c r="L214">
        <v>1</v>
      </c>
      <c r="M214">
        <v>30</v>
      </c>
      <c r="N214">
        <v>787.32</v>
      </c>
      <c r="O214">
        <v>0</v>
      </c>
      <c r="P2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4" t="str">
        <f>IF(Table1[[#This Row],[Fraud_Score]]&gt;=6, "High Risk",IF(Table1[[#This Row],[Fraud_Score]]&gt;=3, "Medium Risk", "Low Risk"))</f>
        <v>Medium Risk</v>
      </c>
      <c r="R214">
        <f>IF(Table1[[#This Row],[Seconds of Use]]=0,0,Table1[[#This Row],[Customer Value]]/Table1[[#This Row],[Seconds of Use]]*100)</f>
        <v>5.2278884462151396</v>
      </c>
    </row>
    <row r="215" spans="1:18" x14ac:dyDescent="0.35">
      <c r="A215" s="3" t="s">
        <v>236</v>
      </c>
      <c r="B215">
        <v>3</v>
      </c>
      <c r="C215">
        <v>0</v>
      </c>
      <c r="D215">
        <v>34</v>
      </c>
      <c r="E215">
        <v>0</v>
      </c>
      <c r="F215">
        <v>3015</v>
      </c>
      <c r="G215">
        <v>25</v>
      </c>
      <c r="H215">
        <v>473</v>
      </c>
      <c r="I215">
        <v>4</v>
      </c>
      <c r="J215">
        <v>3</v>
      </c>
      <c r="K215">
        <v>1</v>
      </c>
      <c r="L215">
        <v>1</v>
      </c>
      <c r="M215">
        <v>30</v>
      </c>
      <c r="N215">
        <v>2013.6</v>
      </c>
      <c r="O215">
        <v>0</v>
      </c>
      <c r="P2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5" t="str">
        <f>IF(Table1[[#This Row],[Fraud_Score]]&gt;=6, "High Risk",IF(Table1[[#This Row],[Fraud_Score]]&gt;=3, "Medium Risk", "Low Risk"))</f>
        <v>Low Risk</v>
      </c>
      <c r="R215">
        <f>IF(Table1[[#This Row],[Seconds of Use]]=0,0,Table1[[#This Row],[Customer Value]]/Table1[[#This Row],[Seconds of Use]]*100)</f>
        <v>66.786069651741286</v>
      </c>
    </row>
    <row r="216" spans="1:18" x14ac:dyDescent="0.35">
      <c r="A216" s="3" t="s">
        <v>237</v>
      </c>
      <c r="B216">
        <v>8</v>
      </c>
      <c r="C216">
        <v>0</v>
      </c>
      <c r="D216">
        <v>33</v>
      </c>
      <c r="E216">
        <v>0</v>
      </c>
      <c r="F216">
        <v>15405</v>
      </c>
      <c r="G216">
        <v>180</v>
      </c>
      <c r="H216">
        <v>140</v>
      </c>
      <c r="I216">
        <v>26</v>
      </c>
      <c r="J216">
        <v>2</v>
      </c>
      <c r="K216">
        <v>1</v>
      </c>
      <c r="L216">
        <v>1</v>
      </c>
      <c r="M216">
        <v>25</v>
      </c>
      <c r="N216">
        <v>1331.325</v>
      </c>
      <c r="O216">
        <v>0</v>
      </c>
      <c r="P2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16" t="str">
        <f>IF(Table1[[#This Row],[Fraud_Score]]&gt;=6, "High Risk",IF(Table1[[#This Row],[Fraud_Score]]&gt;=3, "Medium Risk", "Low Risk"))</f>
        <v>Medium Risk</v>
      </c>
      <c r="R216">
        <f>IF(Table1[[#This Row],[Seconds of Use]]=0,0,Table1[[#This Row],[Customer Value]]/Table1[[#This Row],[Seconds of Use]]*100)</f>
        <v>8.6421616358325224</v>
      </c>
    </row>
    <row r="217" spans="1:18" x14ac:dyDescent="0.35">
      <c r="A217" s="3" t="s">
        <v>238</v>
      </c>
      <c r="B217">
        <v>2</v>
      </c>
      <c r="C217">
        <v>0</v>
      </c>
      <c r="D217">
        <v>33</v>
      </c>
      <c r="E217">
        <v>0</v>
      </c>
      <c r="F217">
        <v>6420</v>
      </c>
      <c r="G217">
        <v>84</v>
      </c>
      <c r="H217">
        <v>176</v>
      </c>
      <c r="I217">
        <v>22</v>
      </c>
      <c r="J217">
        <v>3</v>
      </c>
      <c r="K217">
        <v>1</v>
      </c>
      <c r="L217">
        <v>1</v>
      </c>
      <c r="M217">
        <v>30</v>
      </c>
      <c r="N217">
        <v>964.16</v>
      </c>
      <c r="O217">
        <v>0</v>
      </c>
      <c r="P2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7" t="str">
        <f>IF(Table1[[#This Row],[Fraud_Score]]&gt;=6, "High Risk",IF(Table1[[#This Row],[Fraud_Score]]&gt;=3, "Medium Risk", "Low Risk"))</f>
        <v>Low Risk</v>
      </c>
      <c r="R217">
        <f>IF(Table1[[#This Row],[Seconds of Use]]=0,0,Table1[[#This Row],[Customer Value]]/Table1[[#This Row],[Seconds of Use]]*100)</f>
        <v>15.018068535825543</v>
      </c>
    </row>
    <row r="218" spans="1:18" x14ac:dyDescent="0.35">
      <c r="A218" s="3" t="s">
        <v>239</v>
      </c>
      <c r="B218">
        <v>0</v>
      </c>
      <c r="C218">
        <v>0</v>
      </c>
      <c r="D218">
        <v>33</v>
      </c>
      <c r="E218">
        <v>0</v>
      </c>
      <c r="F218">
        <v>795</v>
      </c>
      <c r="G218">
        <v>12</v>
      </c>
      <c r="H218">
        <v>0</v>
      </c>
      <c r="I218">
        <v>7</v>
      </c>
      <c r="J218">
        <v>2</v>
      </c>
      <c r="K218">
        <v>1</v>
      </c>
      <c r="L218">
        <v>2</v>
      </c>
      <c r="M218">
        <v>25</v>
      </c>
      <c r="N218">
        <v>36.314999999999998</v>
      </c>
      <c r="O218">
        <v>0</v>
      </c>
      <c r="P2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8" t="str">
        <f>IF(Table1[[#This Row],[Fraud_Score]]&gt;=6, "High Risk",IF(Table1[[#This Row],[Fraud_Score]]&gt;=3, "Medium Risk", "Low Risk"))</f>
        <v>Low Risk</v>
      </c>
      <c r="R218">
        <f>IF(Table1[[#This Row],[Seconds of Use]]=0,0,Table1[[#This Row],[Customer Value]]/Table1[[#This Row],[Seconds of Use]]*100)</f>
        <v>4.5679245283018863</v>
      </c>
    </row>
    <row r="219" spans="1:18" x14ac:dyDescent="0.35">
      <c r="A219" s="3" t="s">
        <v>240</v>
      </c>
      <c r="B219">
        <v>1</v>
      </c>
      <c r="C219">
        <v>0</v>
      </c>
      <c r="D219">
        <v>34</v>
      </c>
      <c r="E219">
        <v>0</v>
      </c>
      <c r="F219">
        <v>630</v>
      </c>
      <c r="G219">
        <v>12</v>
      </c>
      <c r="H219">
        <v>3</v>
      </c>
      <c r="I219">
        <v>4</v>
      </c>
      <c r="J219">
        <v>2</v>
      </c>
      <c r="K219">
        <v>1</v>
      </c>
      <c r="L219">
        <v>2</v>
      </c>
      <c r="M219">
        <v>25</v>
      </c>
      <c r="N219">
        <v>42.39</v>
      </c>
      <c r="O219">
        <v>0</v>
      </c>
      <c r="P2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9" t="str">
        <f>IF(Table1[[#This Row],[Fraud_Score]]&gt;=6, "High Risk",IF(Table1[[#This Row],[Fraud_Score]]&gt;=3, "Medium Risk", "Low Risk"))</f>
        <v>Low Risk</v>
      </c>
      <c r="R219">
        <f>IF(Table1[[#This Row],[Seconds of Use]]=0,0,Table1[[#This Row],[Customer Value]]/Table1[[#This Row],[Seconds of Use]]*100)</f>
        <v>6.7285714285714278</v>
      </c>
    </row>
    <row r="220" spans="1:18" x14ac:dyDescent="0.35">
      <c r="A220" s="3" t="s">
        <v>241</v>
      </c>
      <c r="B220">
        <v>0</v>
      </c>
      <c r="C220">
        <v>0</v>
      </c>
      <c r="D220">
        <v>33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1</v>
      </c>
      <c r="L220">
        <v>2</v>
      </c>
      <c r="M220">
        <v>25</v>
      </c>
      <c r="N220">
        <v>0</v>
      </c>
      <c r="O220">
        <v>1</v>
      </c>
      <c r="P2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0" t="str">
        <f>IF(Table1[[#This Row],[Fraud_Score]]&gt;=6, "High Risk",IF(Table1[[#This Row],[Fraud_Score]]&gt;=3, "Medium Risk", "Low Risk"))</f>
        <v>Low Risk</v>
      </c>
      <c r="R220">
        <f>IF(Table1[[#This Row],[Seconds of Use]]=0,0,Table1[[#This Row],[Customer Value]]/Table1[[#This Row],[Seconds of Use]]*100)</f>
        <v>0</v>
      </c>
    </row>
    <row r="221" spans="1:18" x14ac:dyDescent="0.35">
      <c r="A221" s="3" t="s">
        <v>242</v>
      </c>
      <c r="B221">
        <v>2</v>
      </c>
      <c r="C221">
        <v>0</v>
      </c>
      <c r="D221">
        <v>33</v>
      </c>
      <c r="E221">
        <v>0</v>
      </c>
      <c r="F221">
        <v>7428</v>
      </c>
      <c r="G221">
        <v>125</v>
      </c>
      <c r="H221">
        <v>374</v>
      </c>
      <c r="I221">
        <v>39</v>
      </c>
      <c r="J221">
        <v>2</v>
      </c>
      <c r="K221">
        <v>1</v>
      </c>
      <c r="L221">
        <v>1</v>
      </c>
      <c r="M221">
        <v>25</v>
      </c>
      <c r="N221">
        <v>2022.885</v>
      </c>
      <c r="O221">
        <v>0</v>
      </c>
      <c r="P2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1" t="str">
        <f>IF(Table1[[#This Row],[Fraud_Score]]&gt;=6, "High Risk",IF(Table1[[#This Row],[Fraud_Score]]&gt;=3, "Medium Risk", "Low Risk"))</f>
        <v>Low Risk</v>
      </c>
      <c r="R221">
        <f>IF(Table1[[#This Row],[Seconds of Use]]=0,0,Table1[[#This Row],[Customer Value]]/Table1[[#This Row],[Seconds of Use]]*100)</f>
        <v>27.233239095315025</v>
      </c>
    </row>
    <row r="222" spans="1:18" x14ac:dyDescent="0.35">
      <c r="A222" s="3" t="s">
        <v>243</v>
      </c>
      <c r="B222">
        <v>6</v>
      </c>
      <c r="C222">
        <v>0</v>
      </c>
      <c r="D222">
        <v>33</v>
      </c>
      <c r="E222">
        <v>0</v>
      </c>
      <c r="F222">
        <v>11385</v>
      </c>
      <c r="G222">
        <v>152</v>
      </c>
      <c r="H222">
        <v>1</v>
      </c>
      <c r="I222">
        <v>43</v>
      </c>
      <c r="J222">
        <v>3</v>
      </c>
      <c r="K222">
        <v>1</v>
      </c>
      <c r="L222">
        <v>1</v>
      </c>
      <c r="M222">
        <v>30</v>
      </c>
      <c r="N222">
        <v>465.48</v>
      </c>
      <c r="O222">
        <v>0</v>
      </c>
      <c r="P2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2" t="str">
        <f>IF(Table1[[#This Row],[Fraud_Score]]&gt;=6, "High Risk",IF(Table1[[#This Row],[Fraud_Score]]&gt;=3, "Medium Risk", "Low Risk"))</f>
        <v>Medium Risk</v>
      </c>
      <c r="R222">
        <f>IF(Table1[[#This Row],[Seconds of Use]]=0,0,Table1[[#This Row],[Customer Value]]/Table1[[#This Row],[Seconds of Use]]*100)</f>
        <v>4.088537549407115</v>
      </c>
    </row>
    <row r="223" spans="1:18" x14ac:dyDescent="0.35">
      <c r="A223" s="3" t="s">
        <v>244</v>
      </c>
      <c r="B223">
        <v>7</v>
      </c>
      <c r="C223">
        <v>0</v>
      </c>
      <c r="D223">
        <v>33</v>
      </c>
      <c r="E223">
        <v>0</v>
      </c>
      <c r="F223">
        <v>6638</v>
      </c>
      <c r="G223">
        <v>73</v>
      </c>
      <c r="H223">
        <v>98</v>
      </c>
      <c r="I223">
        <v>33</v>
      </c>
      <c r="J223">
        <v>2</v>
      </c>
      <c r="K223">
        <v>1</v>
      </c>
      <c r="L223">
        <v>1</v>
      </c>
      <c r="M223">
        <v>25</v>
      </c>
      <c r="N223">
        <v>742.995</v>
      </c>
      <c r="O223">
        <v>0</v>
      </c>
      <c r="P2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3" t="str">
        <f>IF(Table1[[#This Row],[Fraud_Score]]&gt;=6, "High Risk",IF(Table1[[#This Row],[Fraud_Score]]&gt;=3, "Medium Risk", "Low Risk"))</f>
        <v>Low Risk</v>
      </c>
      <c r="R223">
        <f>IF(Table1[[#This Row],[Seconds of Use]]=0,0,Table1[[#This Row],[Customer Value]]/Table1[[#This Row],[Seconds of Use]]*100)</f>
        <v>11.193055137089484</v>
      </c>
    </row>
    <row r="224" spans="1:18" x14ac:dyDescent="0.35">
      <c r="A224" s="3" t="s">
        <v>245</v>
      </c>
      <c r="B224">
        <v>22</v>
      </c>
      <c r="C224">
        <v>0</v>
      </c>
      <c r="D224">
        <v>29</v>
      </c>
      <c r="E224">
        <v>0</v>
      </c>
      <c r="F224">
        <v>875</v>
      </c>
      <c r="G224">
        <v>45</v>
      </c>
      <c r="H224">
        <v>6</v>
      </c>
      <c r="I224">
        <v>13</v>
      </c>
      <c r="J224">
        <v>2</v>
      </c>
      <c r="K224">
        <v>1</v>
      </c>
      <c r="L224">
        <v>2</v>
      </c>
      <c r="M224">
        <v>25</v>
      </c>
      <c r="N224">
        <v>68.400000000000006</v>
      </c>
      <c r="O224">
        <v>1</v>
      </c>
      <c r="P2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4" t="str">
        <f>IF(Table1[[#This Row],[Fraud_Score]]&gt;=6, "High Risk",IF(Table1[[#This Row],[Fraud_Score]]&gt;=3, "Medium Risk", "Low Risk"))</f>
        <v>Medium Risk</v>
      </c>
      <c r="R224">
        <f>IF(Table1[[#This Row],[Seconds of Use]]=0,0,Table1[[#This Row],[Customer Value]]/Table1[[#This Row],[Seconds of Use]]*100)</f>
        <v>7.8171428571428576</v>
      </c>
    </row>
    <row r="225" spans="1:18" x14ac:dyDescent="0.35">
      <c r="A225" s="3" t="s">
        <v>246</v>
      </c>
      <c r="B225">
        <v>20</v>
      </c>
      <c r="C225">
        <v>0</v>
      </c>
      <c r="D225">
        <v>32</v>
      </c>
      <c r="E225">
        <v>7</v>
      </c>
      <c r="F225">
        <v>10355</v>
      </c>
      <c r="G225">
        <v>91</v>
      </c>
      <c r="H225">
        <v>0</v>
      </c>
      <c r="I225">
        <v>38</v>
      </c>
      <c r="J225">
        <v>4</v>
      </c>
      <c r="K225">
        <v>1</v>
      </c>
      <c r="L225">
        <v>1</v>
      </c>
      <c r="M225">
        <v>45</v>
      </c>
      <c r="N225">
        <v>261.14999999999998</v>
      </c>
      <c r="O225">
        <v>0</v>
      </c>
      <c r="P2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5" t="str">
        <f>IF(Table1[[#This Row],[Fraud_Score]]&gt;=6, "High Risk",IF(Table1[[#This Row],[Fraud_Score]]&gt;=3, "Medium Risk", "Low Risk"))</f>
        <v>Low Risk</v>
      </c>
      <c r="R225">
        <f>IF(Table1[[#This Row],[Seconds of Use]]=0,0,Table1[[#This Row],[Customer Value]]/Table1[[#This Row],[Seconds of Use]]*100)</f>
        <v>2.521970062771608</v>
      </c>
    </row>
    <row r="226" spans="1:18" x14ac:dyDescent="0.35">
      <c r="A226" s="3" t="s">
        <v>247</v>
      </c>
      <c r="B226">
        <v>12</v>
      </c>
      <c r="C226">
        <v>1</v>
      </c>
      <c r="D226">
        <v>32</v>
      </c>
      <c r="E226">
        <v>0</v>
      </c>
      <c r="F226">
        <v>5738</v>
      </c>
      <c r="G226">
        <v>96</v>
      </c>
      <c r="H226">
        <v>16</v>
      </c>
      <c r="I226">
        <v>20</v>
      </c>
      <c r="J226">
        <v>2</v>
      </c>
      <c r="K226">
        <v>1</v>
      </c>
      <c r="L226">
        <v>1</v>
      </c>
      <c r="M226">
        <v>25</v>
      </c>
      <c r="N226">
        <v>334.53</v>
      </c>
      <c r="O226">
        <v>1</v>
      </c>
      <c r="P2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6" t="str">
        <f>IF(Table1[[#This Row],[Fraud_Score]]&gt;=6, "High Risk",IF(Table1[[#This Row],[Fraud_Score]]&gt;=3, "Medium Risk", "Low Risk"))</f>
        <v>Medium Risk</v>
      </c>
      <c r="R226">
        <f>IF(Table1[[#This Row],[Seconds of Use]]=0,0,Table1[[#This Row],[Customer Value]]/Table1[[#This Row],[Seconds of Use]]*100)</f>
        <v>5.830080167305681</v>
      </c>
    </row>
    <row r="227" spans="1:18" x14ac:dyDescent="0.35">
      <c r="A227" s="3" t="s">
        <v>248</v>
      </c>
      <c r="B227">
        <v>0</v>
      </c>
      <c r="C227">
        <v>0</v>
      </c>
      <c r="D227">
        <v>30</v>
      </c>
      <c r="E227">
        <v>0</v>
      </c>
      <c r="F227">
        <v>2760</v>
      </c>
      <c r="G227">
        <v>20</v>
      </c>
      <c r="H227">
        <v>0</v>
      </c>
      <c r="I227">
        <v>10</v>
      </c>
      <c r="J227">
        <v>3</v>
      </c>
      <c r="K227">
        <v>1</v>
      </c>
      <c r="L227">
        <v>1</v>
      </c>
      <c r="M227">
        <v>30</v>
      </c>
      <c r="N227">
        <v>111.2</v>
      </c>
      <c r="O227">
        <v>0</v>
      </c>
      <c r="P2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7" t="str">
        <f>IF(Table1[[#This Row],[Fraud_Score]]&gt;=6, "High Risk",IF(Table1[[#This Row],[Fraud_Score]]&gt;=3, "Medium Risk", "Low Risk"))</f>
        <v>Low Risk</v>
      </c>
      <c r="R227">
        <f>IF(Table1[[#This Row],[Seconds of Use]]=0,0,Table1[[#This Row],[Customer Value]]/Table1[[#This Row],[Seconds of Use]]*100)</f>
        <v>4.0289855072463769</v>
      </c>
    </row>
    <row r="228" spans="1:18" x14ac:dyDescent="0.35">
      <c r="A228" s="3" t="s">
        <v>249</v>
      </c>
      <c r="B228">
        <v>8</v>
      </c>
      <c r="C228">
        <v>1</v>
      </c>
      <c r="D228">
        <v>31</v>
      </c>
      <c r="E228">
        <v>0</v>
      </c>
      <c r="F228">
        <v>2910</v>
      </c>
      <c r="G228">
        <v>39</v>
      </c>
      <c r="H228">
        <v>0</v>
      </c>
      <c r="I228">
        <v>12</v>
      </c>
      <c r="J228">
        <v>3</v>
      </c>
      <c r="K228">
        <v>1</v>
      </c>
      <c r="L228">
        <v>2</v>
      </c>
      <c r="M228">
        <v>30</v>
      </c>
      <c r="N228">
        <v>117.96</v>
      </c>
      <c r="O228">
        <v>1</v>
      </c>
      <c r="P2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8" t="str">
        <f>IF(Table1[[#This Row],[Fraud_Score]]&gt;=6, "High Risk",IF(Table1[[#This Row],[Fraud_Score]]&gt;=3, "Medium Risk", "Low Risk"))</f>
        <v>Medium Risk</v>
      </c>
      <c r="R228">
        <f>IF(Table1[[#This Row],[Seconds of Use]]=0,0,Table1[[#This Row],[Customer Value]]/Table1[[#This Row],[Seconds of Use]]*100)</f>
        <v>4.0536082474226802</v>
      </c>
    </row>
    <row r="229" spans="1:18" x14ac:dyDescent="0.35">
      <c r="A229" s="3" t="s">
        <v>250</v>
      </c>
      <c r="B229">
        <v>8</v>
      </c>
      <c r="C229">
        <v>0</v>
      </c>
      <c r="D229">
        <v>32</v>
      </c>
      <c r="E229">
        <v>0</v>
      </c>
      <c r="F229">
        <v>2188</v>
      </c>
      <c r="G229">
        <v>42</v>
      </c>
      <c r="H229">
        <v>24</v>
      </c>
      <c r="I229">
        <v>27</v>
      </c>
      <c r="J229">
        <v>3</v>
      </c>
      <c r="K229">
        <v>1</v>
      </c>
      <c r="L229">
        <v>2</v>
      </c>
      <c r="M229">
        <v>30</v>
      </c>
      <c r="N229">
        <v>185.2</v>
      </c>
      <c r="O229">
        <v>1</v>
      </c>
      <c r="P2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9" t="str">
        <f>IF(Table1[[#This Row],[Fraud_Score]]&gt;=6, "High Risk",IF(Table1[[#This Row],[Fraud_Score]]&gt;=3, "Medium Risk", "Low Risk"))</f>
        <v>Low Risk</v>
      </c>
      <c r="R229">
        <f>IF(Table1[[#This Row],[Seconds of Use]]=0,0,Table1[[#This Row],[Customer Value]]/Table1[[#This Row],[Seconds of Use]]*100)</f>
        <v>8.4643510054844597</v>
      </c>
    </row>
    <row r="230" spans="1:18" x14ac:dyDescent="0.35">
      <c r="A230" s="3" t="s">
        <v>251</v>
      </c>
      <c r="B230">
        <v>0</v>
      </c>
      <c r="C230">
        <v>1</v>
      </c>
      <c r="D230">
        <v>32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3</v>
      </c>
      <c r="K230">
        <v>1</v>
      </c>
      <c r="L230">
        <v>2</v>
      </c>
      <c r="M230">
        <v>30</v>
      </c>
      <c r="N230">
        <v>0</v>
      </c>
      <c r="O230">
        <v>1</v>
      </c>
      <c r="P2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0" t="str">
        <f>IF(Table1[[#This Row],[Fraud_Score]]&gt;=6, "High Risk",IF(Table1[[#This Row],[Fraud_Score]]&gt;=3, "Medium Risk", "Low Risk"))</f>
        <v>Medium Risk</v>
      </c>
      <c r="R230">
        <f>IF(Table1[[#This Row],[Seconds of Use]]=0,0,Table1[[#This Row],[Customer Value]]/Table1[[#This Row],[Seconds of Use]]*100)</f>
        <v>0</v>
      </c>
    </row>
    <row r="231" spans="1:18" x14ac:dyDescent="0.35">
      <c r="A231" s="3" t="s">
        <v>252</v>
      </c>
      <c r="B231">
        <v>0</v>
      </c>
      <c r="C231">
        <v>0</v>
      </c>
      <c r="D231">
        <v>32</v>
      </c>
      <c r="E231">
        <v>0</v>
      </c>
      <c r="F231">
        <v>1588</v>
      </c>
      <c r="G231">
        <v>23</v>
      </c>
      <c r="H231">
        <v>0</v>
      </c>
      <c r="I231">
        <v>2</v>
      </c>
      <c r="J231">
        <v>3</v>
      </c>
      <c r="K231">
        <v>1</v>
      </c>
      <c r="L231">
        <v>1</v>
      </c>
      <c r="M231">
        <v>30</v>
      </c>
      <c r="N231">
        <v>64.44</v>
      </c>
      <c r="O231">
        <v>0</v>
      </c>
      <c r="P2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1" t="str">
        <f>IF(Table1[[#This Row],[Fraud_Score]]&gt;=6, "High Risk",IF(Table1[[#This Row],[Fraud_Score]]&gt;=3, "Medium Risk", "Low Risk"))</f>
        <v>Low Risk</v>
      </c>
      <c r="R231">
        <f>IF(Table1[[#This Row],[Seconds of Use]]=0,0,Table1[[#This Row],[Customer Value]]/Table1[[#This Row],[Seconds of Use]]*100)</f>
        <v>4.0579345088161212</v>
      </c>
    </row>
    <row r="232" spans="1:18" x14ac:dyDescent="0.35">
      <c r="A232" s="3" t="s">
        <v>253</v>
      </c>
      <c r="B232">
        <v>2</v>
      </c>
      <c r="C232">
        <v>0</v>
      </c>
      <c r="D232">
        <v>29</v>
      </c>
      <c r="E232">
        <v>0</v>
      </c>
      <c r="F232">
        <v>6705</v>
      </c>
      <c r="G232">
        <v>95</v>
      </c>
      <c r="H232">
        <v>4</v>
      </c>
      <c r="I232">
        <v>18</v>
      </c>
      <c r="J232">
        <v>4</v>
      </c>
      <c r="K232">
        <v>1</v>
      </c>
      <c r="L232">
        <v>1</v>
      </c>
      <c r="M232">
        <v>45</v>
      </c>
      <c r="N232">
        <v>180</v>
      </c>
      <c r="O232">
        <v>0</v>
      </c>
      <c r="P2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2" t="str">
        <f>IF(Table1[[#This Row],[Fraud_Score]]&gt;=6, "High Risk",IF(Table1[[#This Row],[Fraud_Score]]&gt;=3, "Medium Risk", "Low Risk"))</f>
        <v>Low Risk</v>
      </c>
      <c r="R232">
        <f>IF(Table1[[#This Row],[Seconds of Use]]=0,0,Table1[[#This Row],[Customer Value]]/Table1[[#This Row],[Seconds of Use]]*100)</f>
        <v>2.6845637583892619</v>
      </c>
    </row>
    <row r="233" spans="1:18" x14ac:dyDescent="0.35">
      <c r="A233" s="3" t="s">
        <v>254</v>
      </c>
      <c r="B233">
        <v>0</v>
      </c>
      <c r="C233">
        <v>0</v>
      </c>
      <c r="D233">
        <v>32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4</v>
      </c>
      <c r="K233">
        <v>1</v>
      </c>
      <c r="L233">
        <v>2</v>
      </c>
      <c r="M233">
        <v>45</v>
      </c>
      <c r="N233">
        <v>0</v>
      </c>
      <c r="O233">
        <v>1</v>
      </c>
      <c r="P2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3" t="str">
        <f>IF(Table1[[#This Row],[Fraud_Score]]&gt;=6, "High Risk",IF(Table1[[#This Row],[Fraud_Score]]&gt;=3, "Medium Risk", "Low Risk"))</f>
        <v>Low Risk</v>
      </c>
      <c r="R233">
        <f>IF(Table1[[#This Row],[Seconds of Use]]=0,0,Table1[[#This Row],[Customer Value]]/Table1[[#This Row],[Seconds of Use]]*100)</f>
        <v>0</v>
      </c>
    </row>
    <row r="234" spans="1:18" x14ac:dyDescent="0.35">
      <c r="A234" s="3" t="s">
        <v>255</v>
      </c>
      <c r="B234">
        <v>0</v>
      </c>
      <c r="C234">
        <v>0</v>
      </c>
      <c r="D234">
        <v>32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5</v>
      </c>
      <c r="K234">
        <v>1</v>
      </c>
      <c r="L234">
        <v>1</v>
      </c>
      <c r="M234">
        <v>55</v>
      </c>
      <c r="N234">
        <v>0</v>
      </c>
      <c r="O234">
        <v>0</v>
      </c>
      <c r="P2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4" t="str">
        <f>IF(Table1[[#This Row],[Fraud_Score]]&gt;=6, "High Risk",IF(Table1[[#This Row],[Fraud_Score]]&gt;=3, "Medium Risk", "Low Risk"))</f>
        <v>Low Risk</v>
      </c>
      <c r="R234">
        <f>IF(Table1[[#This Row],[Seconds of Use]]=0,0,Table1[[#This Row],[Customer Value]]/Table1[[#This Row],[Seconds of Use]]*100)</f>
        <v>0</v>
      </c>
    </row>
    <row r="235" spans="1:18" x14ac:dyDescent="0.35">
      <c r="A235" s="3" t="s">
        <v>256</v>
      </c>
      <c r="B235">
        <v>24</v>
      </c>
      <c r="C235">
        <v>0</v>
      </c>
      <c r="D235">
        <v>27</v>
      </c>
      <c r="E235">
        <v>2</v>
      </c>
      <c r="F235">
        <v>15995</v>
      </c>
      <c r="G235">
        <v>236</v>
      </c>
      <c r="H235">
        <v>0</v>
      </c>
      <c r="I235">
        <v>76</v>
      </c>
      <c r="J235">
        <v>2</v>
      </c>
      <c r="K235">
        <v>1</v>
      </c>
      <c r="L235">
        <v>1</v>
      </c>
      <c r="M235">
        <v>25</v>
      </c>
      <c r="N235">
        <v>730.39499999999998</v>
      </c>
      <c r="O235">
        <v>0</v>
      </c>
      <c r="P2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5" t="str">
        <f>IF(Table1[[#This Row],[Fraud_Score]]&gt;=6, "High Risk",IF(Table1[[#This Row],[Fraud_Score]]&gt;=3, "Medium Risk", "Low Risk"))</f>
        <v>Medium Risk</v>
      </c>
      <c r="R235">
        <f>IF(Table1[[#This Row],[Seconds of Use]]=0,0,Table1[[#This Row],[Customer Value]]/Table1[[#This Row],[Seconds of Use]]*100)</f>
        <v>4.5663957486714599</v>
      </c>
    </row>
    <row r="236" spans="1:18" x14ac:dyDescent="0.35">
      <c r="A236" s="3" t="s">
        <v>257</v>
      </c>
      <c r="B236">
        <v>5</v>
      </c>
      <c r="C236">
        <v>0</v>
      </c>
      <c r="D236">
        <v>30</v>
      </c>
      <c r="E236">
        <v>2</v>
      </c>
      <c r="F236">
        <v>6885</v>
      </c>
      <c r="G236">
        <v>114</v>
      </c>
      <c r="H236">
        <v>261</v>
      </c>
      <c r="I236">
        <v>29</v>
      </c>
      <c r="J236">
        <v>2</v>
      </c>
      <c r="K236">
        <v>2</v>
      </c>
      <c r="L236">
        <v>1</v>
      </c>
      <c r="M236">
        <v>25</v>
      </c>
      <c r="N236">
        <v>1489.4549999999999</v>
      </c>
      <c r="O236">
        <v>0</v>
      </c>
      <c r="P2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6" t="str">
        <f>IF(Table1[[#This Row],[Fraud_Score]]&gt;=6, "High Risk",IF(Table1[[#This Row],[Fraud_Score]]&gt;=3, "Medium Risk", "Low Risk"))</f>
        <v>Low Risk</v>
      </c>
      <c r="R236">
        <f>IF(Table1[[#This Row],[Seconds of Use]]=0,0,Table1[[#This Row],[Customer Value]]/Table1[[#This Row],[Seconds of Use]]*100)</f>
        <v>21.633333333333333</v>
      </c>
    </row>
    <row r="237" spans="1:18" x14ac:dyDescent="0.35">
      <c r="A237" s="3" t="s">
        <v>258</v>
      </c>
      <c r="B237">
        <v>1</v>
      </c>
      <c r="C237">
        <v>0</v>
      </c>
      <c r="D237">
        <v>32</v>
      </c>
      <c r="E237">
        <v>0</v>
      </c>
      <c r="F237">
        <v>3638</v>
      </c>
      <c r="G237">
        <v>80</v>
      </c>
      <c r="H237">
        <v>0</v>
      </c>
      <c r="I237">
        <v>24</v>
      </c>
      <c r="J237">
        <v>2</v>
      </c>
      <c r="K237">
        <v>1</v>
      </c>
      <c r="L237">
        <v>1</v>
      </c>
      <c r="M237">
        <v>25</v>
      </c>
      <c r="N237">
        <v>167.31</v>
      </c>
      <c r="O237">
        <v>0</v>
      </c>
      <c r="P2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7" t="str">
        <f>IF(Table1[[#This Row],[Fraud_Score]]&gt;=6, "High Risk",IF(Table1[[#This Row],[Fraud_Score]]&gt;=3, "Medium Risk", "Low Risk"))</f>
        <v>Low Risk</v>
      </c>
      <c r="R237">
        <f>IF(Table1[[#This Row],[Seconds of Use]]=0,0,Table1[[#This Row],[Customer Value]]/Table1[[#This Row],[Seconds of Use]]*100)</f>
        <v>4.5989554700384829</v>
      </c>
    </row>
    <row r="238" spans="1:18" x14ac:dyDescent="0.35">
      <c r="A238" s="3" t="s">
        <v>259</v>
      </c>
      <c r="B238">
        <v>2</v>
      </c>
      <c r="C238">
        <v>0</v>
      </c>
      <c r="D238">
        <v>31</v>
      </c>
      <c r="E238">
        <v>0</v>
      </c>
      <c r="F238">
        <v>1585</v>
      </c>
      <c r="G238">
        <v>42</v>
      </c>
      <c r="H238">
        <v>28</v>
      </c>
      <c r="I238">
        <v>16</v>
      </c>
      <c r="J238">
        <v>3</v>
      </c>
      <c r="K238">
        <v>1</v>
      </c>
      <c r="L238">
        <v>2</v>
      </c>
      <c r="M238">
        <v>30</v>
      </c>
      <c r="N238">
        <v>177.08</v>
      </c>
      <c r="O238">
        <v>0</v>
      </c>
      <c r="P2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8" t="str">
        <f>IF(Table1[[#This Row],[Fraud_Score]]&gt;=6, "High Risk",IF(Table1[[#This Row],[Fraud_Score]]&gt;=3, "Medium Risk", "Low Risk"))</f>
        <v>Low Risk</v>
      </c>
      <c r="R238">
        <f>IF(Table1[[#This Row],[Seconds of Use]]=0,0,Table1[[#This Row],[Customer Value]]/Table1[[#This Row],[Seconds of Use]]*100)</f>
        <v>11.17223974763407</v>
      </c>
    </row>
    <row r="239" spans="1:18" x14ac:dyDescent="0.35">
      <c r="A239" s="3" t="s">
        <v>260</v>
      </c>
      <c r="B239">
        <v>5</v>
      </c>
      <c r="C239">
        <v>0</v>
      </c>
      <c r="D239">
        <v>32</v>
      </c>
      <c r="E239">
        <v>0</v>
      </c>
      <c r="F239">
        <v>2700</v>
      </c>
      <c r="G239">
        <v>51</v>
      </c>
      <c r="H239">
        <v>165</v>
      </c>
      <c r="I239">
        <v>19</v>
      </c>
      <c r="J239">
        <v>2</v>
      </c>
      <c r="K239">
        <v>1</v>
      </c>
      <c r="L239">
        <v>1</v>
      </c>
      <c r="M239">
        <v>25</v>
      </c>
      <c r="N239">
        <v>866.29499999999996</v>
      </c>
      <c r="O239">
        <v>0</v>
      </c>
      <c r="P2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9" t="str">
        <f>IF(Table1[[#This Row],[Fraud_Score]]&gt;=6, "High Risk",IF(Table1[[#This Row],[Fraud_Score]]&gt;=3, "Medium Risk", "Low Risk"))</f>
        <v>Low Risk</v>
      </c>
      <c r="R239">
        <f>IF(Table1[[#This Row],[Seconds of Use]]=0,0,Table1[[#This Row],[Customer Value]]/Table1[[#This Row],[Seconds of Use]]*100)</f>
        <v>32.084999999999994</v>
      </c>
    </row>
    <row r="240" spans="1:18" x14ac:dyDescent="0.35">
      <c r="A240" s="3" t="s">
        <v>261</v>
      </c>
      <c r="B240">
        <v>3</v>
      </c>
      <c r="C240">
        <v>0</v>
      </c>
      <c r="D240">
        <v>23</v>
      </c>
      <c r="E240">
        <v>0</v>
      </c>
      <c r="F240">
        <v>1235</v>
      </c>
      <c r="G240">
        <v>34</v>
      </c>
      <c r="H240">
        <v>183</v>
      </c>
      <c r="I240">
        <v>7</v>
      </c>
      <c r="J240">
        <v>2</v>
      </c>
      <c r="K240">
        <v>2</v>
      </c>
      <c r="L240">
        <v>1</v>
      </c>
      <c r="M240">
        <v>25</v>
      </c>
      <c r="N240">
        <v>880.60500000000002</v>
      </c>
      <c r="O240">
        <v>0</v>
      </c>
      <c r="P2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0" t="str">
        <f>IF(Table1[[#This Row],[Fraud_Score]]&gt;=6, "High Risk",IF(Table1[[#This Row],[Fraud_Score]]&gt;=3, "Medium Risk", "Low Risk"))</f>
        <v>Low Risk</v>
      </c>
      <c r="R240">
        <f>IF(Table1[[#This Row],[Seconds of Use]]=0,0,Table1[[#This Row],[Customer Value]]/Table1[[#This Row],[Seconds of Use]]*100)</f>
        <v>71.304048582995947</v>
      </c>
    </row>
    <row r="241" spans="1:18" x14ac:dyDescent="0.35">
      <c r="A241" s="3" t="s">
        <v>262</v>
      </c>
      <c r="B241">
        <v>3</v>
      </c>
      <c r="C241">
        <v>0</v>
      </c>
      <c r="D241">
        <v>22</v>
      </c>
      <c r="E241">
        <v>0</v>
      </c>
      <c r="F241">
        <v>1488</v>
      </c>
      <c r="G241">
        <v>37</v>
      </c>
      <c r="H241">
        <v>20</v>
      </c>
      <c r="I241">
        <v>64</v>
      </c>
      <c r="J241">
        <v>4</v>
      </c>
      <c r="K241">
        <v>1</v>
      </c>
      <c r="L241">
        <v>1</v>
      </c>
      <c r="M241">
        <v>45</v>
      </c>
      <c r="N241">
        <v>88.125</v>
      </c>
      <c r="O241">
        <v>0</v>
      </c>
      <c r="P2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1" t="str">
        <f>IF(Table1[[#This Row],[Fraud_Score]]&gt;=6, "High Risk",IF(Table1[[#This Row],[Fraud_Score]]&gt;=3, "Medium Risk", "Low Risk"))</f>
        <v>Low Risk</v>
      </c>
      <c r="R241">
        <f>IF(Table1[[#This Row],[Seconds of Use]]=0,0,Table1[[#This Row],[Customer Value]]/Table1[[#This Row],[Seconds of Use]]*100)</f>
        <v>5.9223790322580649</v>
      </c>
    </row>
    <row r="242" spans="1:18" x14ac:dyDescent="0.35">
      <c r="A242" s="3" t="s">
        <v>263</v>
      </c>
      <c r="B242">
        <v>10</v>
      </c>
      <c r="C242">
        <v>0</v>
      </c>
      <c r="D242">
        <v>23</v>
      </c>
      <c r="E242">
        <v>0</v>
      </c>
      <c r="F242">
        <v>620</v>
      </c>
      <c r="G242">
        <v>23</v>
      </c>
      <c r="H242">
        <v>0</v>
      </c>
      <c r="I242">
        <v>3</v>
      </c>
      <c r="J242">
        <v>2</v>
      </c>
      <c r="K242">
        <v>1</v>
      </c>
      <c r="L242">
        <v>2</v>
      </c>
      <c r="M242">
        <v>25</v>
      </c>
      <c r="N242">
        <v>28.934999999999999</v>
      </c>
      <c r="O242">
        <v>0</v>
      </c>
      <c r="P2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2" t="str">
        <f>IF(Table1[[#This Row],[Fraud_Score]]&gt;=6, "High Risk",IF(Table1[[#This Row],[Fraud_Score]]&gt;=3, "Medium Risk", "Low Risk"))</f>
        <v>Low Risk</v>
      </c>
      <c r="R242">
        <f>IF(Table1[[#This Row],[Seconds of Use]]=0,0,Table1[[#This Row],[Customer Value]]/Table1[[#This Row],[Seconds of Use]]*100)</f>
        <v>4.6669354838709678</v>
      </c>
    </row>
    <row r="243" spans="1:18" x14ac:dyDescent="0.35">
      <c r="A243" s="3" t="s">
        <v>264</v>
      </c>
      <c r="B243">
        <v>0</v>
      </c>
      <c r="C243">
        <v>0</v>
      </c>
      <c r="D243">
        <v>22</v>
      </c>
      <c r="E243">
        <v>0</v>
      </c>
      <c r="F243">
        <v>0</v>
      </c>
      <c r="G243">
        <v>0</v>
      </c>
      <c r="H243">
        <v>11</v>
      </c>
      <c r="I243">
        <v>0</v>
      </c>
      <c r="J243">
        <v>4</v>
      </c>
      <c r="K243">
        <v>1</v>
      </c>
      <c r="L243">
        <v>2</v>
      </c>
      <c r="M243">
        <v>45</v>
      </c>
      <c r="N243">
        <v>27.5</v>
      </c>
      <c r="O243">
        <v>0</v>
      </c>
      <c r="P2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3" t="str">
        <f>IF(Table1[[#This Row],[Fraud_Score]]&gt;=6, "High Risk",IF(Table1[[#This Row],[Fraud_Score]]&gt;=3, "Medium Risk", "Low Risk"))</f>
        <v>Low Risk</v>
      </c>
      <c r="R243">
        <f>IF(Table1[[#This Row],[Seconds of Use]]=0,0,Table1[[#This Row],[Customer Value]]/Table1[[#This Row],[Seconds of Use]]*100)</f>
        <v>0</v>
      </c>
    </row>
    <row r="244" spans="1:18" x14ac:dyDescent="0.35">
      <c r="A244" s="3" t="s">
        <v>265</v>
      </c>
      <c r="B244">
        <v>9</v>
      </c>
      <c r="C244">
        <v>0</v>
      </c>
      <c r="D244">
        <v>21</v>
      </c>
      <c r="E244">
        <v>0</v>
      </c>
      <c r="F244">
        <v>1145</v>
      </c>
      <c r="G244">
        <v>30</v>
      </c>
      <c r="H244">
        <v>9</v>
      </c>
      <c r="I244">
        <v>9</v>
      </c>
      <c r="J244">
        <v>2</v>
      </c>
      <c r="K244">
        <v>1</v>
      </c>
      <c r="L244">
        <v>1</v>
      </c>
      <c r="M244">
        <v>25</v>
      </c>
      <c r="N244">
        <v>93.375</v>
      </c>
      <c r="O244">
        <v>0</v>
      </c>
      <c r="P2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4" t="str">
        <f>IF(Table1[[#This Row],[Fraud_Score]]&gt;=6, "High Risk",IF(Table1[[#This Row],[Fraud_Score]]&gt;=3, "Medium Risk", "Low Risk"))</f>
        <v>Low Risk</v>
      </c>
      <c r="R244">
        <f>IF(Table1[[#This Row],[Seconds of Use]]=0,0,Table1[[#This Row],[Customer Value]]/Table1[[#This Row],[Seconds of Use]]*100)</f>
        <v>8.1550218340611345</v>
      </c>
    </row>
    <row r="245" spans="1:18" x14ac:dyDescent="0.35">
      <c r="A245" s="3" t="s">
        <v>266</v>
      </c>
      <c r="B245">
        <v>1</v>
      </c>
      <c r="C245">
        <v>0</v>
      </c>
      <c r="D245">
        <v>21</v>
      </c>
      <c r="E245">
        <v>0</v>
      </c>
      <c r="F245">
        <v>3145</v>
      </c>
      <c r="G245">
        <v>59</v>
      </c>
      <c r="H245">
        <v>0</v>
      </c>
      <c r="I245">
        <v>19</v>
      </c>
      <c r="J245">
        <v>3</v>
      </c>
      <c r="K245">
        <v>1</v>
      </c>
      <c r="L245">
        <v>1</v>
      </c>
      <c r="M245">
        <v>30</v>
      </c>
      <c r="N245">
        <v>128.16</v>
      </c>
      <c r="O245">
        <v>0</v>
      </c>
      <c r="P2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5" t="str">
        <f>IF(Table1[[#This Row],[Fraud_Score]]&gt;=6, "High Risk",IF(Table1[[#This Row],[Fraud_Score]]&gt;=3, "Medium Risk", "Low Risk"))</f>
        <v>Low Risk</v>
      </c>
      <c r="R245">
        <f>IF(Table1[[#This Row],[Seconds of Use]]=0,0,Table1[[#This Row],[Customer Value]]/Table1[[#This Row],[Seconds of Use]]*100)</f>
        <v>4.075039745627981</v>
      </c>
    </row>
    <row r="246" spans="1:18" x14ac:dyDescent="0.35">
      <c r="A246" s="3" t="s">
        <v>267</v>
      </c>
      <c r="B246">
        <v>1</v>
      </c>
      <c r="C246">
        <v>0</v>
      </c>
      <c r="D246">
        <v>14</v>
      </c>
      <c r="E246">
        <v>0</v>
      </c>
      <c r="F246">
        <v>1615</v>
      </c>
      <c r="G246">
        <v>24</v>
      </c>
      <c r="H246">
        <v>18</v>
      </c>
      <c r="I246">
        <v>10</v>
      </c>
      <c r="J246">
        <v>2</v>
      </c>
      <c r="K246">
        <v>1</v>
      </c>
      <c r="L246">
        <v>1</v>
      </c>
      <c r="M246">
        <v>25</v>
      </c>
      <c r="N246">
        <v>154.755</v>
      </c>
      <c r="O246">
        <v>0</v>
      </c>
      <c r="P2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6" t="str">
        <f>IF(Table1[[#This Row],[Fraud_Score]]&gt;=6, "High Risk",IF(Table1[[#This Row],[Fraud_Score]]&gt;=3, "Medium Risk", "Low Risk"))</f>
        <v>Low Risk</v>
      </c>
      <c r="R246">
        <f>IF(Table1[[#This Row],[Seconds of Use]]=0,0,Table1[[#This Row],[Customer Value]]/Table1[[#This Row],[Seconds of Use]]*100)</f>
        <v>9.5823529411764703</v>
      </c>
    </row>
    <row r="247" spans="1:18" x14ac:dyDescent="0.35">
      <c r="A247" s="3" t="s">
        <v>268</v>
      </c>
      <c r="B247">
        <v>15</v>
      </c>
      <c r="C247">
        <v>0</v>
      </c>
      <c r="D247">
        <v>13</v>
      </c>
      <c r="E247">
        <v>0</v>
      </c>
      <c r="F247">
        <v>6313</v>
      </c>
      <c r="G247">
        <v>139</v>
      </c>
      <c r="H247">
        <v>75</v>
      </c>
      <c r="I247">
        <v>38</v>
      </c>
      <c r="J247">
        <v>1</v>
      </c>
      <c r="K247">
        <v>2</v>
      </c>
      <c r="L247">
        <v>1</v>
      </c>
      <c r="M247">
        <v>15</v>
      </c>
      <c r="N247">
        <v>767.36</v>
      </c>
      <c r="O247">
        <v>0</v>
      </c>
      <c r="P2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7" t="str">
        <f>IF(Table1[[#This Row],[Fraud_Score]]&gt;=6, "High Risk",IF(Table1[[#This Row],[Fraud_Score]]&gt;=3, "Medium Risk", "Low Risk"))</f>
        <v>Medium Risk</v>
      </c>
      <c r="R247">
        <f>IF(Table1[[#This Row],[Seconds of Use]]=0,0,Table1[[#This Row],[Customer Value]]/Table1[[#This Row],[Seconds of Use]]*100)</f>
        <v>12.15523522889276</v>
      </c>
    </row>
    <row r="248" spans="1:18" x14ac:dyDescent="0.35">
      <c r="A248" s="3" t="s">
        <v>269</v>
      </c>
      <c r="B248">
        <v>11</v>
      </c>
      <c r="C248">
        <v>0</v>
      </c>
      <c r="D248">
        <v>11</v>
      </c>
      <c r="E248">
        <v>0</v>
      </c>
      <c r="F248">
        <v>8853</v>
      </c>
      <c r="G248">
        <v>169</v>
      </c>
      <c r="H248">
        <v>63</v>
      </c>
      <c r="I248">
        <v>36</v>
      </c>
      <c r="J248">
        <v>4</v>
      </c>
      <c r="K248">
        <v>1</v>
      </c>
      <c r="L248">
        <v>1</v>
      </c>
      <c r="M248">
        <v>45</v>
      </c>
      <c r="N248">
        <v>383.05</v>
      </c>
      <c r="O248">
        <v>0</v>
      </c>
      <c r="P2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8" t="str">
        <f>IF(Table1[[#This Row],[Fraud_Score]]&gt;=6, "High Risk",IF(Table1[[#This Row],[Fraud_Score]]&gt;=3, "Medium Risk", "Low Risk"))</f>
        <v>Medium Risk</v>
      </c>
      <c r="R248">
        <f>IF(Table1[[#This Row],[Seconds of Use]]=0,0,Table1[[#This Row],[Customer Value]]/Table1[[#This Row],[Seconds of Use]]*100)</f>
        <v>4.3267818818479613</v>
      </c>
    </row>
    <row r="249" spans="1:18" x14ac:dyDescent="0.35">
      <c r="A249" s="3" t="s">
        <v>270</v>
      </c>
      <c r="B249">
        <v>7</v>
      </c>
      <c r="C249">
        <v>0</v>
      </c>
      <c r="D249">
        <v>12</v>
      </c>
      <c r="E249">
        <v>2</v>
      </c>
      <c r="F249">
        <v>2773</v>
      </c>
      <c r="G249">
        <v>43</v>
      </c>
      <c r="H249">
        <v>21</v>
      </c>
      <c r="I249">
        <v>15</v>
      </c>
      <c r="J249">
        <v>3</v>
      </c>
      <c r="K249">
        <v>1</v>
      </c>
      <c r="L249">
        <v>1</v>
      </c>
      <c r="M249">
        <v>30</v>
      </c>
      <c r="N249">
        <v>196.64</v>
      </c>
      <c r="O249">
        <v>0</v>
      </c>
      <c r="P2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9" t="str">
        <f>IF(Table1[[#This Row],[Fraud_Score]]&gt;=6, "High Risk",IF(Table1[[#This Row],[Fraud_Score]]&gt;=3, "Medium Risk", "Low Risk"))</f>
        <v>Low Risk</v>
      </c>
      <c r="R249">
        <f>IF(Table1[[#This Row],[Seconds of Use]]=0,0,Table1[[#This Row],[Customer Value]]/Table1[[#This Row],[Seconds of Use]]*100)</f>
        <v>7.0912369275153262</v>
      </c>
    </row>
    <row r="250" spans="1:18" x14ac:dyDescent="0.35">
      <c r="A250" s="3" t="s">
        <v>271</v>
      </c>
      <c r="B250">
        <v>1</v>
      </c>
      <c r="C250">
        <v>0</v>
      </c>
      <c r="D250">
        <v>5</v>
      </c>
      <c r="E250">
        <v>0</v>
      </c>
      <c r="F250">
        <v>4310</v>
      </c>
      <c r="G250">
        <v>38</v>
      </c>
      <c r="H250">
        <v>205</v>
      </c>
      <c r="I250">
        <v>6</v>
      </c>
      <c r="J250">
        <v>3</v>
      </c>
      <c r="K250">
        <v>1</v>
      </c>
      <c r="L250">
        <v>1</v>
      </c>
      <c r="M250">
        <v>30</v>
      </c>
      <c r="N250">
        <v>993.92</v>
      </c>
      <c r="O250">
        <v>0</v>
      </c>
      <c r="P2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0" t="str">
        <f>IF(Table1[[#This Row],[Fraud_Score]]&gt;=6, "High Risk",IF(Table1[[#This Row],[Fraud_Score]]&gt;=3, "Medium Risk", "Low Risk"))</f>
        <v>Low Risk</v>
      </c>
      <c r="R250">
        <f>IF(Table1[[#This Row],[Seconds of Use]]=0,0,Table1[[#This Row],[Customer Value]]/Table1[[#This Row],[Seconds of Use]]*100)</f>
        <v>23.060788863109046</v>
      </c>
    </row>
    <row r="251" spans="1:18" x14ac:dyDescent="0.35">
      <c r="A251" s="3" t="s">
        <v>272</v>
      </c>
      <c r="B251">
        <v>2</v>
      </c>
      <c r="C251">
        <v>0</v>
      </c>
      <c r="D251">
        <v>5</v>
      </c>
      <c r="E251">
        <v>0</v>
      </c>
      <c r="F251">
        <v>1408</v>
      </c>
      <c r="G251">
        <v>17</v>
      </c>
      <c r="H251">
        <v>0</v>
      </c>
      <c r="I251">
        <v>3</v>
      </c>
      <c r="J251">
        <v>3</v>
      </c>
      <c r="K251">
        <v>1</v>
      </c>
      <c r="L251">
        <v>1</v>
      </c>
      <c r="M251">
        <v>30</v>
      </c>
      <c r="N251">
        <v>57</v>
      </c>
      <c r="O251">
        <v>1</v>
      </c>
      <c r="P2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1" t="str">
        <f>IF(Table1[[#This Row],[Fraud_Score]]&gt;=6, "High Risk",IF(Table1[[#This Row],[Fraud_Score]]&gt;=3, "Medium Risk", "Low Risk"))</f>
        <v>Low Risk</v>
      </c>
      <c r="R251">
        <f>IF(Table1[[#This Row],[Seconds of Use]]=0,0,Table1[[#This Row],[Customer Value]]/Table1[[#This Row],[Seconds of Use]]*100)</f>
        <v>4.0482954545454541</v>
      </c>
    </row>
    <row r="252" spans="1:18" x14ac:dyDescent="0.35">
      <c r="A252" s="3" t="s">
        <v>273</v>
      </c>
      <c r="B252">
        <v>13</v>
      </c>
      <c r="C252">
        <v>0</v>
      </c>
      <c r="D252">
        <v>44</v>
      </c>
      <c r="E252">
        <v>1</v>
      </c>
      <c r="F252">
        <v>4630</v>
      </c>
      <c r="G252">
        <v>81</v>
      </c>
      <c r="H252">
        <v>20</v>
      </c>
      <c r="I252">
        <v>23</v>
      </c>
      <c r="J252">
        <v>3</v>
      </c>
      <c r="K252">
        <v>1</v>
      </c>
      <c r="L252">
        <v>1</v>
      </c>
      <c r="M252">
        <v>30</v>
      </c>
      <c r="N252">
        <v>268.44</v>
      </c>
      <c r="O252">
        <v>0</v>
      </c>
      <c r="P2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2" t="str">
        <f>IF(Table1[[#This Row],[Fraud_Score]]&gt;=6, "High Risk",IF(Table1[[#This Row],[Fraud_Score]]&gt;=3, "Medium Risk", "Low Risk"))</f>
        <v>Low Risk</v>
      </c>
      <c r="R252">
        <f>IF(Table1[[#This Row],[Seconds of Use]]=0,0,Table1[[#This Row],[Customer Value]]/Table1[[#This Row],[Seconds of Use]]*100)</f>
        <v>5.7978401727861772</v>
      </c>
    </row>
    <row r="253" spans="1:18" x14ac:dyDescent="0.35">
      <c r="A253" s="3" t="s">
        <v>274</v>
      </c>
      <c r="B253">
        <v>5</v>
      </c>
      <c r="C253">
        <v>0</v>
      </c>
      <c r="D253">
        <v>45</v>
      </c>
      <c r="E253">
        <v>0</v>
      </c>
      <c r="F253">
        <v>578</v>
      </c>
      <c r="G253">
        <v>15</v>
      </c>
      <c r="H253">
        <v>22</v>
      </c>
      <c r="I253">
        <v>10</v>
      </c>
      <c r="J253">
        <v>3</v>
      </c>
      <c r="K253">
        <v>1</v>
      </c>
      <c r="L253">
        <v>2</v>
      </c>
      <c r="M253">
        <v>30</v>
      </c>
      <c r="N253">
        <v>111.72</v>
      </c>
      <c r="O253">
        <v>0</v>
      </c>
      <c r="P2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3" t="str">
        <f>IF(Table1[[#This Row],[Fraud_Score]]&gt;=6, "High Risk",IF(Table1[[#This Row],[Fraud_Score]]&gt;=3, "Medium Risk", "Low Risk"))</f>
        <v>Low Risk</v>
      </c>
      <c r="R253">
        <f>IF(Table1[[#This Row],[Seconds of Use]]=0,0,Table1[[#This Row],[Customer Value]]/Table1[[#This Row],[Seconds of Use]]*100)</f>
        <v>19.32871972318339</v>
      </c>
    </row>
    <row r="254" spans="1:18" x14ac:dyDescent="0.35">
      <c r="A254" s="3" t="s">
        <v>275</v>
      </c>
      <c r="B254">
        <v>15</v>
      </c>
      <c r="C254">
        <v>0</v>
      </c>
      <c r="D254">
        <v>43</v>
      </c>
      <c r="E254">
        <v>1</v>
      </c>
      <c r="F254">
        <v>2713</v>
      </c>
      <c r="G254">
        <v>70</v>
      </c>
      <c r="H254">
        <v>374</v>
      </c>
      <c r="I254">
        <v>30</v>
      </c>
      <c r="J254">
        <v>3</v>
      </c>
      <c r="K254">
        <v>1</v>
      </c>
      <c r="L254">
        <v>1</v>
      </c>
      <c r="M254">
        <v>30</v>
      </c>
      <c r="N254">
        <v>1607.32</v>
      </c>
      <c r="O254">
        <v>0</v>
      </c>
      <c r="P2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4" t="str">
        <f>IF(Table1[[#This Row],[Fraud_Score]]&gt;=6, "High Risk",IF(Table1[[#This Row],[Fraud_Score]]&gt;=3, "Medium Risk", "Low Risk"))</f>
        <v>Low Risk</v>
      </c>
      <c r="R254">
        <f>IF(Table1[[#This Row],[Seconds of Use]]=0,0,Table1[[#This Row],[Customer Value]]/Table1[[#This Row],[Seconds of Use]]*100)</f>
        <v>59.245116107629926</v>
      </c>
    </row>
    <row r="255" spans="1:18" x14ac:dyDescent="0.35">
      <c r="A255" s="3" t="s">
        <v>276</v>
      </c>
      <c r="B255">
        <v>15</v>
      </c>
      <c r="C255">
        <v>0</v>
      </c>
      <c r="D255">
        <v>44</v>
      </c>
      <c r="E255">
        <v>1</v>
      </c>
      <c r="F255">
        <v>4458</v>
      </c>
      <c r="G255">
        <v>76</v>
      </c>
      <c r="H255">
        <v>16</v>
      </c>
      <c r="I255">
        <v>41</v>
      </c>
      <c r="J255">
        <v>1</v>
      </c>
      <c r="K255">
        <v>1</v>
      </c>
      <c r="L255">
        <v>1</v>
      </c>
      <c r="M255">
        <v>15</v>
      </c>
      <c r="N255">
        <v>337.37</v>
      </c>
      <c r="O255">
        <v>0</v>
      </c>
      <c r="P2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5" t="str">
        <f>IF(Table1[[#This Row],[Fraud_Score]]&gt;=6, "High Risk",IF(Table1[[#This Row],[Fraud_Score]]&gt;=3, "Medium Risk", "Low Risk"))</f>
        <v>Low Risk</v>
      </c>
      <c r="R255">
        <f>IF(Table1[[#This Row],[Seconds of Use]]=0,0,Table1[[#This Row],[Customer Value]]/Table1[[#This Row],[Seconds of Use]]*100)</f>
        <v>7.567743382682818</v>
      </c>
    </row>
    <row r="256" spans="1:18" x14ac:dyDescent="0.35">
      <c r="A256" s="3" t="s">
        <v>277</v>
      </c>
      <c r="B256">
        <v>8</v>
      </c>
      <c r="C256">
        <v>0</v>
      </c>
      <c r="D256">
        <v>44</v>
      </c>
      <c r="E256">
        <v>1</v>
      </c>
      <c r="F256">
        <v>2653</v>
      </c>
      <c r="G256">
        <v>68</v>
      </c>
      <c r="H256">
        <v>17</v>
      </c>
      <c r="I256">
        <v>39</v>
      </c>
      <c r="J256">
        <v>2</v>
      </c>
      <c r="K256">
        <v>1</v>
      </c>
      <c r="L256">
        <v>1</v>
      </c>
      <c r="M256">
        <v>25</v>
      </c>
      <c r="N256">
        <v>198.94499999999999</v>
      </c>
      <c r="O256">
        <v>0</v>
      </c>
      <c r="P2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6" t="str">
        <f>IF(Table1[[#This Row],[Fraud_Score]]&gt;=6, "High Risk",IF(Table1[[#This Row],[Fraud_Score]]&gt;=3, "Medium Risk", "Low Risk"))</f>
        <v>Low Risk</v>
      </c>
      <c r="R256">
        <f>IF(Table1[[#This Row],[Seconds of Use]]=0,0,Table1[[#This Row],[Customer Value]]/Table1[[#This Row],[Seconds of Use]]*100)</f>
        <v>7.4988692046739542</v>
      </c>
    </row>
    <row r="257" spans="1:18" x14ac:dyDescent="0.35">
      <c r="A257" s="3" t="s">
        <v>278</v>
      </c>
      <c r="B257">
        <v>16</v>
      </c>
      <c r="C257">
        <v>0</v>
      </c>
      <c r="D257">
        <v>44</v>
      </c>
      <c r="E257">
        <v>2</v>
      </c>
      <c r="F257">
        <v>4035</v>
      </c>
      <c r="G257">
        <v>92</v>
      </c>
      <c r="H257">
        <v>47</v>
      </c>
      <c r="I257">
        <v>34</v>
      </c>
      <c r="J257">
        <v>3</v>
      </c>
      <c r="K257">
        <v>1</v>
      </c>
      <c r="L257">
        <v>1</v>
      </c>
      <c r="M257">
        <v>30</v>
      </c>
      <c r="N257">
        <v>353.08</v>
      </c>
      <c r="O257">
        <v>0</v>
      </c>
      <c r="P2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7" t="str">
        <f>IF(Table1[[#This Row],[Fraud_Score]]&gt;=6, "High Risk",IF(Table1[[#This Row],[Fraud_Score]]&gt;=3, "Medium Risk", "Low Risk"))</f>
        <v>Low Risk</v>
      </c>
      <c r="R257">
        <f>IF(Table1[[#This Row],[Seconds of Use]]=0,0,Table1[[#This Row],[Customer Value]]/Table1[[#This Row],[Seconds of Use]]*100)</f>
        <v>8.7504337050805443</v>
      </c>
    </row>
    <row r="258" spans="1:18" x14ac:dyDescent="0.35">
      <c r="A258" s="3" t="s">
        <v>279</v>
      </c>
      <c r="B258">
        <v>9</v>
      </c>
      <c r="C258">
        <v>0</v>
      </c>
      <c r="D258">
        <v>44</v>
      </c>
      <c r="E258">
        <v>1</v>
      </c>
      <c r="F258">
        <v>2620</v>
      </c>
      <c r="G258">
        <v>49</v>
      </c>
      <c r="H258">
        <v>300</v>
      </c>
      <c r="I258">
        <v>24</v>
      </c>
      <c r="J258">
        <v>3</v>
      </c>
      <c r="K258">
        <v>1</v>
      </c>
      <c r="L258">
        <v>1</v>
      </c>
      <c r="M258">
        <v>30</v>
      </c>
      <c r="N258">
        <v>1306.76</v>
      </c>
      <c r="O258">
        <v>0</v>
      </c>
      <c r="P2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8" t="str">
        <f>IF(Table1[[#This Row],[Fraud_Score]]&gt;=6, "High Risk",IF(Table1[[#This Row],[Fraud_Score]]&gt;=3, "Medium Risk", "Low Risk"))</f>
        <v>Low Risk</v>
      </c>
      <c r="R258">
        <f>IF(Table1[[#This Row],[Seconds of Use]]=0,0,Table1[[#This Row],[Customer Value]]/Table1[[#This Row],[Seconds of Use]]*100)</f>
        <v>49.876335877862594</v>
      </c>
    </row>
    <row r="259" spans="1:18" x14ac:dyDescent="0.35">
      <c r="A259" s="3" t="s">
        <v>280</v>
      </c>
      <c r="B259">
        <v>18</v>
      </c>
      <c r="C259">
        <v>0</v>
      </c>
      <c r="D259">
        <v>43</v>
      </c>
      <c r="E259">
        <v>3</v>
      </c>
      <c r="F259">
        <v>9375</v>
      </c>
      <c r="G259">
        <v>131</v>
      </c>
      <c r="H259">
        <v>159</v>
      </c>
      <c r="I259">
        <v>49</v>
      </c>
      <c r="J259">
        <v>3</v>
      </c>
      <c r="K259">
        <v>1</v>
      </c>
      <c r="L259">
        <v>1</v>
      </c>
      <c r="M259">
        <v>30</v>
      </c>
      <c r="N259">
        <v>1016.24</v>
      </c>
      <c r="O259">
        <v>0</v>
      </c>
      <c r="P2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9" t="str">
        <f>IF(Table1[[#This Row],[Fraud_Score]]&gt;=6, "High Risk",IF(Table1[[#This Row],[Fraud_Score]]&gt;=3, "Medium Risk", "Low Risk"))</f>
        <v>Medium Risk</v>
      </c>
      <c r="R259">
        <f>IF(Table1[[#This Row],[Seconds of Use]]=0,0,Table1[[#This Row],[Customer Value]]/Table1[[#This Row],[Seconds of Use]]*100)</f>
        <v>10.839893333333334</v>
      </c>
    </row>
    <row r="260" spans="1:18" x14ac:dyDescent="0.35">
      <c r="A260" s="3" t="s">
        <v>281</v>
      </c>
      <c r="B260">
        <v>12</v>
      </c>
      <c r="C260">
        <v>0</v>
      </c>
      <c r="D260">
        <v>44</v>
      </c>
      <c r="E260">
        <v>1</v>
      </c>
      <c r="F260">
        <v>14033</v>
      </c>
      <c r="G260">
        <v>179</v>
      </c>
      <c r="H260">
        <v>15</v>
      </c>
      <c r="I260">
        <v>50</v>
      </c>
      <c r="J260">
        <v>3</v>
      </c>
      <c r="K260">
        <v>1</v>
      </c>
      <c r="L260">
        <v>1</v>
      </c>
      <c r="M260">
        <v>30</v>
      </c>
      <c r="N260">
        <v>628.48</v>
      </c>
      <c r="O260">
        <v>0</v>
      </c>
      <c r="P2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0" t="str">
        <f>IF(Table1[[#This Row],[Fraud_Score]]&gt;=6, "High Risk",IF(Table1[[#This Row],[Fraud_Score]]&gt;=3, "Medium Risk", "Low Risk"))</f>
        <v>Medium Risk</v>
      </c>
      <c r="R260">
        <f>IF(Table1[[#This Row],[Seconds of Use]]=0,0,Table1[[#This Row],[Customer Value]]/Table1[[#This Row],[Seconds of Use]]*100)</f>
        <v>4.4785861896957169</v>
      </c>
    </row>
    <row r="261" spans="1:18" x14ac:dyDescent="0.35">
      <c r="A261" s="3" t="s">
        <v>282</v>
      </c>
      <c r="B261">
        <v>12</v>
      </c>
      <c r="C261">
        <v>0</v>
      </c>
      <c r="D261">
        <v>44</v>
      </c>
      <c r="E261">
        <v>2</v>
      </c>
      <c r="F261">
        <v>4775</v>
      </c>
      <c r="G261">
        <v>93</v>
      </c>
      <c r="H261">
        <v>17</v>
      </c>
      <c r="I261">
        <v>31</v>
      </c>
      <c r="J261">
        <v>3</v>
      </c>
      <c r="K261">
        <v>1</v>
      </c>
      <c r="L261">
        <v>1</v>
      </c>
      <c r="M261">
        <v>30</v>
      </c>
      <c r="N261">
        <v>262.72000000000003</v>
      </c>
      <c r="O261">
        <v>0</v>
      </c>
      <c r="P2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1" t="str">
        <f>IF(Table1[[#This Row],[Fraud_Score]]&gt;=6, "High Risk",IF(Table1[[#This Row],[Fraud_Score]]&gt;=3, "Medium Risk", "Low Risk"))</f>
        <v>Low Risk</v>
      </c>
      <c r="R261">
        <f>IF(Table1[[#This Row],[Seconds of Use]]=0,0,Table1[[#This Row],[Customer Value]]/Table1[[#This Row],[Seconds of Use]]*100)</f>
        <v>5.5019895287958125</v>
      </c>
    </row>
    <row r="262" spans="1:18" x14ac:dyDescent="0.35">
      <c r="A262" s="3" t="s">
        <v>283</v>
      </c>
      <c r="B262">
        <v>11</v>
      </c>
      <c r="C262">
        <v>0</v>
      </c>
      <c r="D262">
        <v>44</v>
      </c>
      <c r="E262">
        <v>1</v>
      </c>
      <c r="F262">
        <v>6178</v>
      </c>
      <c r="G262">
        <v>105</v>
      </c>
      <c r="H262">
        <v>22</v>
      </c>
      <c r="I262">
        <v>18</v>
      </c>
      <c r="J262">
        <v>3</v>
      </c>
      <c r="K262">
        <v>1</v>
      </c>
      <c r="L262">
        <v>1</v>
      </c>
      <c r="M262">
        <v>30</v>
      </c>
      <c r="N262">
        <v>339.32</v>
      </c>
      <c r="O262">
        <v>0</v>
      </c>
      <c r="P2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2" t="str">
        <f>IF(Table1[[#This Row],[Fraud_Score]]&gt;=6, "High Risk",IF(Table1[[#This Row],[Fraud_Score]]&gt;=3, "Medium Risk", "Low Risk"))</f>
        <v>Low Risk</v>
      </c>
      <c r="R262">
        <f>IF(Table1[[#This Row],[Seconds of Use]]=0,0,Table1[[#This Row],[Customer Value]]/Table1[[#This Row],[Seconds of Use]]*100)</f>
        <v>5.4923923599870506</v>
      </c>
    </row>
    <row r="263" spans="1:18" x14ac:dyDescent="0.35">
      <c r="A263" s="3" t="s">
        <v>284</v>
      </c>
      <c r="B263">
        <v>14</v>
      </c>
      <c r="C263">
        <v>1</v>
      </c>
      <c r="D263">
        <v>44</v>
      </c>
      <c r="E263">
        <v>0</v>
      </c>
      <c r="F263">
        <v>2498</v>
      </c>
      <c r="G263">
        <v>64</v>
      </c>
      <c r="H263">
        <v>23</v>
      </c>
      <c r="I263">
        <v>23</v>
      </c>
      <c r="J263">
        <v>3</v>
      </c>
      <c r="K263">
        <v>1</v>
      </c>
      <c r="L263">
        <v>2</v>
      </c>
      <c r="M263">
        <v>30</v>
      </c>
      <c r="N263">
        <v>194.48</v>
      </c>
      <c r="O263">
        <v>0</v>
      </c>
      <c r="P2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3" t="str">
        <f>IF(Table1[[#This Row],[Fraud_Score]]&gt;=6, "High Risk",IF(Table1[[#This Row],[Fraud_Score]]&gt;=3, "Medium Risk", "Low Risk"))</f>
        <v>Medium Risk</v>
      </c>
      <c r="R263">
        <f>IF(Table1[[#This Row],[Seconds of Use]]=0,0,Table1[[#This Row],[Customer Value]]/Table1[[#This Row],[Seconds of Use]]*100)</f>
        <v>7.7854283426741393</v>
      </c>
    </row>
    <row r="264" spans="1:18" x14ac:dyDescent="0.35">
      <c r="A264" s="3" t="s">
        <v>285</v>
      </c>
      <c r="B264">
        <v>30</v>
      </c>
      <c r="C264">
        <v>0</v>
      </c>
      <c r="D264">
        <v>44</v>
      </c>
      <c r="E264">
        <v>4</v>
      </c>
      <c r="F264">
        <v>15400</v>
      </c>
      <c r="G264">
        <v>235</v>
      </c>
      <c r="H264">
        <v>69</v>
      </c>
      <c r="I264">
        <v>38</v>
      </c>
      <c r="J264">
        <v>3</v>
      </c>
      <c r="K264">
        <v>1</v>
      </c>
      <c r="L264">
        <v>1</v>
      </c>
      <c r="M264">
        <v>30</v>
      </c>
      <c r="N264">
        <v>901.4</v>
      </c>
      <c r="O264">
        <v>0</v>
      </c>
      <c r="P2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4" t="str">
        <f>IF(Table1[[#This Row],[Fraud_Score]]&gt;=6, "High Risk",IF(Table1[[#This Row],[Fraud_Score]]&gt;=3, "Medium Risk", "Low Risk"))</f>
        <v>Medium Risk</v>
      </c>
      <c r="R264">
        <f>IF(Table1[[#This Row],[Seconds of Use]]=0,0,Table1[[#This Row],[Customer Value]]/Table1[[#This Row],[Seconds of Use]]*100)</f>
        <v>5.8532467532467534</v>
      </c>
    </row>
    <row r="265" spans="1:18" x14ac:dyDescent="0.35">
      <c r="A265" s="3" t="s">
        <v>286</v>
      </c>
      <c r="B265">
        <v>9</v>
      </c>
      <c r="C265">
        <v>0</v>
      </c>
      <c r="D265">
        <v>44</v>
      </c>
      <c r="E265">
        <v>2</v>
      </c>
      <c r="F265">
        <v>3355</v>
      </c>
      <c r="G265">
        <v>37</v>
      </c>
      <c r="H265">
        <v>498</v>
      </c>
      <c r="I265">
        <v>14</v>
      </c>
      <c r="J265">
        <v>3</v>
      </c>
      <c r="K265">
        <v>1</v>
      </c>
      <c r="L265">
        <v>1</v>
      </c>
      <c r="M265">
        <v>30</v>
      </c>
      <c r="N265">
        <v>2127.6799999999998</v>
      </c>
      <c r="O265">
        <v>0</v>
      </c>
      <c r="P2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5" t="str">
        <f>IF(Table1[[#This Row],[Fraud_Score]]&gt;=6, "High Risk",IF(Table1[[#This Row],[Fraud_Score]]&gt;=3, "Medium Risk", "Low Risk"))</f>
        <v>Low Risk</v>
      </c>
      <c r="R265">
        <f>IF(Table1[[#This Row],[Seconds of Use]]=0,0,Table1[[#This Row],[Customer Value]]/Table1[[#This Row],[Seconds of Use]]*100)</f>
        <v>63.418181818181822</v>
      </c>
    </row>
    <row r="266" spans="1:18" x14ac:dyDescent="0.35">
      <c r="A266" s="3" t="s">
        <v>287</v>
      </c>
      <c r="B266">
        <v>14</v>
      </c>
      <c r="C266">
        <v>0</v>
      </c>
      <c r="D266">
        <v>43</v>
      </c>
      <c r="E266">
        <v>1</v>
      </c>
      <c r="F266">
        <v>15745</v>
      </c>
      <c r="G266">
        <v>192</v>
      </c>
      <c r="H266">
        <v>165</v>
      </c>
      <c r="I266">
        <v>36</v>
      </c>
      <c r="J266">
        <v>2</v>
      </c>
      <c r="K266">
        <v>1</v>
      </c>
      <c r="L266">
        <v>1</v>
      </c>
      <c r="M266">
        <v>25</v>
      </c>
      <c r="N266">
        <v>1459.665</v>
      </c>
      <c r="O266">
        <v>0</v>
      </c>
      <c r="P2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6" t="str">
        <f>IF(Table1[[#This Row],[Fraud_Score]]&gt;=6, "High Risk",IF(Table1[[#This Row],[Fraud_Score]]&gt;=3, "Medium Risk", "Low Risk"))</f>
        <v>Medium Risk</v>
      </c>
      <c r="R266">
        <f>IF(Table1[[#This Row],[Seconds of Use]]=0,0,Table1[[#This Row],[Customer Value]]/Table1[[#This Row],[Seconds of Use]]*100)</f>
        <v>9.2706573515401711</v>
      </c>
    </row>
    <row r="267" spans="1:18" x14ac:dyDescent="0.35">
      <c r="A267" s="3" t="s">
        <v>288</v>
      </c>
      <c r="B267">
        <v>8</v>
      </c>
      <c r="C267">
        <v>0</v>
      </c>
      <c r="D267">
        <v>43</v>
      </c>
      <c r="E267">
        <v>2</v>
      </c>
      <c r="F267">
        <v>6760</v>
      </c>
      <c r="G267">
        <v>96</v>
      </c>
      <c r="H267">
        <v>201</v>
      </c>
      <c r="I267">
        <v>32</v>
      </c>
      <c r="J267">
        <v>3</v>
      </c>
      <c r="K267">
        <v>1</v>
      </c>
      <c r="L267">
        <v>1</v>
      </c>
      <c r="M267">
        <v>30</v>
      </c>
      <c r="N267">
        <v>1078.24</v>
      </c>
      <c r="O267">
        <v>0</v>
      </c>
      <c r="P2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7" t="str">
        <f>IF(Table1[[#This Row],[Fraud_Score]]&gt;=6, "High Risk",IF(Table1[[#This Row],[Fraud_Score]]&gt;=3, "Medium Risk", "Low Risk"))</f>
        <v>Low Risk</v>
      </c>
      <c r="R267">
        <f>IF(Table1[[#This Row],[Seconds of Use]]=0,0,Table1[[#This Row],[Customer Value]]/Table1[[#This Row],[Seconds of Use]]*100)</f>
        <v>15.950295857988166</v>
      </c>
    </row>
    <row r="268" spans="1:18" x14ac:dyDescent="0.35">
      <c r="A268" s="3" t="s">
        <v>289</v>
      </c>
      <c r="B268">
        <v>5</v>
      </c>
      <c r="C268">
        <v>0</v>
      </c>
      <c r="D268">
        <v>43</v>
      </c>
      <c r="E268">
        <v>0</v>
      </c>
      <c r="F268">
        <v>1135</v>
      </c>
      <c r="G268">
        <v>24</v>
      </c>
      <c r="H268">
        <v>15</v>
      </c>
      <c r="I268">
        <v>17</v>
      </c>
      <c r="J268">
        <v>2</v>
      </c>
      <c r="K268">
        <v>1</v>
      </c>
      <c r="L268">
        <v>2</v>
      </c>
      <c r="M268">
        <v>25</v>
      </c>
      <c r="N268">
        <v>119.655</v>
      </c>
      <c r="O268">
        <v>0</v>
      </c>
      <c r="P2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8" t="str">
        <f>IF(Table1[[#This Row],[Fraud_Score]]&gt;=6, "High Risk",IF(Table1[[#This Row],[Fraud_Score]]&gt;=3, "Medium Risk", "Low Risk"))</f>
        <v>Low Risk</v>
      </c>
      <c r="R268">
        <f>IF(Table1[[#This Row],[Seconds of Use]]=0,0,Table1[[#This Row],[Customer Value]]/Table1[[#This Row],[Seconds of Use]]*100)</f>
        <v>10.542290748898679</v>
      </c>
    </row>
    <row r="269" spans="1:18" x14ac:dyDescent="0.35">
      <c r="A269" s="3" t="s">
        <v>290</v>
      </c>
      <c r="B269">
        <v>7</v>
      </c>
      <c r="C269">
        <v>0</v>
      </c>
      <c r="D269">
        <v>44</v>
      </c>
      <c r="E269">
        <v>0</v>
      </c>
      <c r="F269">
        <v>970</v>
      </c>
      <c r="G269">
        <v>24</v>
      </c>
      <c r="H269">
        <v>28</v>
      </c>
      <c r="I269">
        <v>14</v>
      </c>
      <c r="J269">
        <v>3</v>
      </c>
      <c r="K269">
        <v>1</v>
      </c>
      <c r="L269">
        <v>2</v>
      </c>
      <c r="M269">
        <v>30</v>
      </c>
      <c r="N269">
        <v>151.76</v>
      </c>
      <c r="O269">
        <v>0</v>
      </c>
      <c r="P2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9" t="str">
        <f>IF(Table1[[#This Row],[Fraud_Score]]&gt;=6, "High Risk",IF(Table1[[#This Row],[Fraud_Score]]&gt;=3, "Medium Risk", "Low Risk"))</f>
        <v>Low Risk</v>
      </c>
      <c r="R269">
        <f>IF(Table1[[#This Row],[Seconds of Use]]=0,0,Table1[[#This Row],[Customer Value]]/Table1[[#This Row],[Seconds of Use]]*100)</f>
        <v>15.645360824742266</v>
      </c>
    </row>
    <row r="270" spans="1:18" x14ac:dyDescent="0.35">
      <c r="A270" s="3" t="s">
        <v>291</v>
      </c>
      <c r="B270">
        <v>5</v>
      </c>
      <c r="C270">
        <v>0</v>
      </c>
      <c r="D270">
        <v>43</v>
      </c>
      <c r="E270">
        <v>0</v>
      </c>
      <c r="F270">
        <v>260</v>
      </c>
      <c r="G270">
        <v>10</v>
      </c>
      <c r="H270">
        <v>15</v>
      </c>
      <c r="I270">
        <v>6</v>
      </c>
      <c r="J270">
        <v>2</v>
      </c>
      <c r="K270">
        <v>1</v>
      </c>
      <c r="L270">
        <v>2</v>
      </c>
      <c r="M270">
        <v>25</v>
      </c>
      <c r="N270">
        <v>79.650000000000006</v>
      </c>
      <c r="O270">
        <v>1</v>
      </c>
      <c r="P2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0" t="str">
        <f>IF(Table1[[#This Row],[Fraud_Score]]&gt;=6, "High Risk",IF(Table1[[#This Row],[Fraud_Score]]&gt;=3, "Medium Risk", "Low Risk"))</f>
        <v>Low Risk</v>
      </c>
      <c r="R270">
        <f>IF(Table1[[#This Row],[Seconds of Use]]=0,0,Table1[[#This Row],[Customer Value]]/Table1[[#This Row],[Seconds of Use]]*100)</f>
        <v>30.634615384615387</v>
      </c>
    </row>
    <row r="271" spans="1:18" x14ac:dyDescent="0.35">
      <c r="A271" s="3" t="s">
        <v>292</v>
      </c>
      <c r="B271">
        <v>8</v>
      </c>
      <c r="C271">
        <v>0</v>
      </c>
      <c r="D271">
        <v>43</v>
      </c>
      <c r="E271">
        <v>1</v>
      </c>
      <c r="F271">
        <v>7768</v>
      </c>
      <c r="G271">
        <v>137</v>
      </c>
      <c r="H271">
        <v>399</v>
      </c>
      <c r="I271">
        <v>49</v>
      </c>
      <c r="J271">
        <v>3</v>
      </c>
      <c r="K271">
        <v>1</v>
      </c>
      <c r="L271">
        <v>1</v>
      </c>
      <c r="M271">
        <v>30</v>
      </c>
      <c r="N271">
        <v>1912.2</v>
      </c>
      <c r="O271">
        <v>0</v>
      </c>
      <c r="P2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1" t="str">
        <f>IF(Table1[[#This Row],[Fraud_Score]]&gt;=6, "High Risk",IF(Table1[[#This Row],[Fraud_Score]]&gt;=3, "Medium Risk", "Low Risk"))</f>
        <v>Low Risk</v>
      </c>
      <c r="R271">
        <f>IF(Table1[[#This Row],[Seconds of Use]]=0,0,Table1[[#This Row],[Customer Value]]/Table1[[#This Row],[Seconds of Use]]*100)</f>
        <v>24.616374871266736</v>
      </c>
    </row>
    <row r="272" spans="1:18" x14ac:dyDescent="0.35">
      <c r="A272" s="3" t="s">
        <v>293</v>
      </c>
      <c r="B272">
        <v>12</v>
      </c>
      <c r="C272">
        <v>0</v>
      </c>
      <c r="D272">
        <v>43</v>
      </c>
      <c r="E272">
        <v>2</v>
      </c>
      <c r="F272">
        <v>11725</v>
      </c>
      <c r="G272">
        <v>164</v>
      </c>
      <c r="H272">
        <v>26</v>
      </c>
      <c r="I272">
        <v>53</v>
      </c>
      <c r="J272">
        <v>4</v>
      </c>
      <c r="K272">
        <v>1</v>
      </c>
      <c r="L272">
        <v>1</v>
      </c>
      <c r="M272">
        <v>45</v>
      </c>
      <c r="N272">
        <v>362.22500000000002</v>
      </c>
      <c r="O272">
        <v>0</v>
      </c>
      <c r="P2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2" t="str">
        <f>IF(Table1[[#This Row],[Fraud_Score]]&gt;=6, "High Risk",IF(Table1[[#This Row],[Fraud_Score]]&gt;=3, "Medium Risk", "Low Risk"))</f>
        <v>Medium Risk</v>
      </c>
      <c r="R272">
        <f>IF(Table1[[#This Row],[Seconds of Use]]=0,0,Table1[[#This Row],[Customer Value]]/Table1[[#This Row],[Seconds of Use]]*100)</f>
        <v>3.0893390191897656</v>
      </c>
    </row>
    <row r="273" spans="1:18" x14ac:dyDescent="0.35">
      <c r="A273" s="3" t="s">
        <v>294</v>
      </c>
      <c r="B273">
        <v>13</v>
      </c>
      <c r="C273">
        <v>0</v>
      </c>
      <c r="D273">
        <v>43</v>
      </c>
      <c r="E273">
        <v>2</v>
      </c>
      <c r="F273">
        <v>6978</v>
      </c>
      <c r="G273">
        <v>85</v>
      </c>
      <c r="H273">
        <v>123</v>
      </c>
      <c r="I273">
        <v>43</v>
      </c>
      <c r="J273">
        <v>2</v>
      </c>
      <c r="K273">
        <v>1</v>
      </c>
      <c r="L273">
        <v>1</v>
      </c>
      <c r="M273">
        <v>25</v>
      </c>
      <c r="N273">
        <v>871.33500000000004</v>
      </c>
      <c r="O273">
        <v>0</v>
      </c>
      <c r="P2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3" t="str">
        <f>IF(Table1[[#This Row],[Fraud_Score]]&gt;=6, "High Risk",IF(Table1[[#This Row],[Fraud_Score]]&gt;=3, "Medium Risk", "Low Risk"))</f>
        <v>Low Risk</v>
      </c>
      <c r="R273">
        <f>IF(Table1[[#This Row],[Seconds of Use]]=0,0,Table1[[#This Row],[Customer Value]]/Table1[[#This Row],[Seconds of Use]]*100)</f>
        <v>12.486887360275151</v>
      </c>
    </row>
    <row r="274" spans="1:18" x14ac:dyDescent="0.35">
      <c r="A274" s="3" t="s">
        <v>295</v>
      </c>
      <c r="B274">
        <v>28</v>
      </c>
      <c r="C274">
        <v>1</v>
      </c>
      <c r="D274">
        <v>39</v>
      </c>
      <c r="E274">
        <v>0</v>
      </c>
      <c r="F274">
        <v>1215</v>
      </c>
      <c r="G274">
        <v>57</v>
      </c>
      <c r="H274">
        <v>31</v>
      </c>
      <c r="I274">
        <v>23</v>
      </c>
      <c r="J274">
        <v>3</v>
      </c>
      <c r="K274">
        <v>1</v>
      </c>
      <c r="L274">
        <v>2</v>
      </c>
      <c r="M274">
        <v>30</v>
      </c>
      <c r="N274">
        <v>174.88</v>
      </c>
      <c r="O274">
        <v>1</v>
      </c>
      <c r="P2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4" t="str">
        <f>IF(Table1[[#This Row],[Fraud_Score]]&gt;=6, "High Risk",IF(Table1[[#This Row],[Fraud_Score]]&gt;=3, "Medium Risk", "Low Risk"))</f>
        <v>Medium Risk</v>
      </c>
      <c r="R274">
        <f>IF(Table1[[#This Row],[Seconds of Use]]=0,0,Table1[[#This Row],[Customer Value]]/Table1[[#This Row],[Seconds of Use]]*100)</f>
        <v>14.393415637860082</v>
      </c>
    </row>
    <row r="275" spans="1:18" x14ac:dyDescent="0.35">
      <c r="A275" s="3" t="s">
        <v>296</v>
      </c>
      <c r="B275">
        <v>26</v>
      </c>
      <c r="C275">
        <v>0</v>
      </c>
      <c r="D275">
        <v>42</v>
      </c>
      <c r="E275">
        <v>9</v>
      </c>
      <c r="F275">
        <v>10695</v>
      </c>
      <c r="G275">
        <v>103</v>
      </c>
      <c r="H275">
        <v>16</v>
      </c>
      <c r="I275">
        <v>48</v>
      </c>
      <c r="J275">
        <v>5</v>
      </c>
      <c r="K275">
        <v>2</v>
      </c>
      <c r="L275">
        <v>1</v>
      </c>
      <c r="M275">
        <v>55</v>
      </c>
      <c r="N275">
        <v>185.97</v>
      </c>
      <c r="O275">
        <v>0</v>
      </c>
      <c r="P2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5" t="str">
        <f>IF(Table1[[#This Row],[Fraud_Score]]&gt;=6, "High Risk",IF(Table1[[#This Row],[Fraud_Score]]&gt;=3, "Medium Risk", "Low Risk"))</f>
        <v>Medium Risk</v>
      </c>
      <c r="R275">
        <f>IF(Table1[[#This Row],[Seconds of Use]]=0,0,Table1[[#This Row],[Customer Value]]/Table1[[#This Row],[Seconds of Use]]*100)</f>
        <v>1.7388499298737727</v>
      </c>
    </row>
    <row r="276" spans="1:18" x14ac:dyDescent="0.35">
      <c r="A276" s="3" t="s">
        <v>297</v>
      </c>
      <c r="B276">
        <v>18</v>
      </c>
      <c r="C276">
        <v>0</v>
      </c>
      <c r="D276">
        <v>42</v>
      </c>
      <c r="E276">
        <v>2</v>
      </c>
      <c r="F276">
        <v>6078</v>
      </c>
      <c r="G276">
        <v>108</v>
      </c>
      <c r="H276">
        <v>41</v>
      </c>
      <c r="I276">
        <v>30</v>
      </c>
      <c r="J276">
        <v>2</v>
      </c>
      <c r="K276">
        <v>1</v>
      </c>
      <c r="L276">
        <v>1</v>
      </c>
      <c r="M276">
        <v>25</v>
      </c>
      <c r="N276">
        <v>462.87</v>
      </c>
      <c r="O276">
        <v>0</v>
      </c>
      <c r="P2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6" t="str">
        <f>IF(Table1[[#This Row],[Fraud_Score]]&gt;=6, "High Risk",IF(Table1[[#This Row],[Fraud_Score]]&gt;=3, "Medium Risk", "Low Risk"))</f>
        <v>Low Risk</v>
      </c>
      <c r="R276">
        <f>IF(Table1[[#This Row],[Seconds of Use]]=0,0,Table1[[#This Row],[Customer Value]]/Table1[[#This Row],[Seconds of Use]]*100)</f>
        <v>7.6154985192497531</v>
      </c>
    </row>
    <row r="277" spans="1:18" x14ac:dyDescent="0.35">
      <c r="A277" s="3" t="s">
        <v>298</v>
      </c>
      <c r="B277">
        <v>6</v>
      </c>
      <c r="C277">
        <v>0</v>
      </c>
      <c r="D277">
        <v>40</v>
      </c>
      <c r="E277">
        <v>1</v>
      </c>
      <c r="F277">
        <v>3100</v>
      </c>
      <c r="G277">
        <v>32</v>
      </c>
      <c r="H277">
        <v>15</v>
      </c>
      <c r="I277">
        <v>20</v>
      </c>
      <c r="J277">
        <v>3</v>
      </c>
      <c r="K277">
        <v>1</v>
      </c>
      <c r="L277">
        <v>1</v>
      </c>
      <c r="M277">
        <v>30</v>
      </c>
      <c r="N277">
        <v>185.28</v>
      </c>
      <c r="O277">
        <v>0</v>
      </c>
      <c r="P2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7" t="str">
        <f>IF(Table1[[#This Row],[Fraud_Score]]&gt;=6, "High Risk",IF(Table1[[#This Row],[Fraud_Score]]&gt;=3, "Medium Risk", "Low Risk"))</f>
        <v>Low Risk</v>
      </c>
      <c r="R277">
        <f>IF(Table1[[#This Row],[Seconds of Use]]=0,0,Table1[[#This Row],[Customer Value]]/Table1[[#This Row],[Seconds of Use]]*100)</f>
        <v>5.9767741935483869</v>
      </c>
    </row>
    <row r="278" spans="1:18" x14ac:dyDescent="0.35">
      <c r="A278" s="3" t="s">
        <v>299</v>
      </c>
      <c r="B278">
        <v>14</v>
      </c>
      <c r="C278">
        <v>1</v>
      </c>
      <c r="D278">
        <v>41</v>
      </c>
      <c r="E278">
        <v>0</v>
      </c>
      <c r="F278">
        <v>3250</v>
      </c>
      <c r="G278">
        <v>51</v>
      </c>
      <c r="H278">
        <v>24</v>
      </c>
      <c r="I278">
        <v>22</v>
      </c>
      <c r="J278">
        <v>3</v>
      </c>
      <c r="K278">
        <v>1</v>
      </c>
      <c r="L278">
        <v>2</v>
      </c>
      <c r="M278">
        <v>30</v>
      </c>
      <c r="N278">
        <v>228.04</v>
      </c>
      <c r="O278">
        <v>1</v>
      </c>
      <c r="P2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8" t="str">
        <f>IF(Table1[[#This Row],[Fraud_Score]]&gt;=6, "High Risk",IF(Table1[[#This Row],[Fraud_Score]]&gt;=3, "Medium Risk", "Low Risk"))</f>
        <v>Medium Risk</v>
      </c>
      <c r="R278">
        <f>IF(Table1[[#This Row],[Seconds of Use]]=0,0,Table1[[#This Row],[Customer Value]]/Table1[[#This Row],[Seconds of Use]]*100)</f>
        <v>7.0166153846153847</v>
      </c>
    </row>
    <row r="279" spans="1:18" x14ac:dyDescent="0.35">
      <c r="A279" s="3" t="s">
        <v>300</v>
      </c>
      <c r="B279">
        <v>14</v>
      </c>
      <c r="C279">
        <v>1</v>
      </c>
      <c r="D279">
        <v>42</v>
      </c>
      <c r="E279">
        <v>0</v>
      </c>
      <c r="F279">
        <v>2528</v>
      </c>
      <c r="G279">
        <v>54</v>
      </c>
      <c r="H279">
        <v>49</v>
      </c>
      <c r="I279">
        <v>37</v>
      </c>
      <c r="J279">
        <v>4</v>
      </c>
      <c r="K279">
        <v>1</v>
      </c>
      <c r="L279">
        <v>2</v>
      </c>
      <c r="M279">
        <v>45</v>
      </c>
      <c r="N279">
        <v>187.05</v>
      </c>
      <c r="O279">
        <v>1</v>
      </c>
      <c r="P2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9" t="str">
        <f>IF(Table1[[#This Row],[Fraud_Score]]&gt;=6, "High Risk",IF(Table1[[#This Row],[Fraud_Score]]&gt;=3, "Medium Risk", "Low Risk"))</f>
        <v>Medium Risk</v>
      </c>
      <c r="R279">
        <f>IF(Table1[[#This Row],[Seconds of Use]]=0,0,Table1[[#This Row],[Customer Value]]/Table1[[#This Row],[Seconds of Use]]*100)</f>
        <v>7.3991297468354436</v>
      </c>
    </row>
    <row r="280" spans="1:18" x14ac:dyDescent="0.35">
      <c r="A280" s="3" t="s">
        <v>301</v>
      </c>
      <c r="B280">
        <v>5</v>
      </c>
      <c r="C280">
        <v>0</v>
      </c>
      <c r="D280">
        <v>42</v>
      </c>
      <c r="E280">
        <v>0</v>
      </c>
      <c r="F280">
        <v>393</v>
      </c>
      <c r="G280">
        <v>12</v>
      </c>
      <c r="H280">
        <v>15</v>
      </c>
      <c r="I280">
        <v>8</v>
      </c>
      <c r="J280">
        <v>3</v>
      </c>
      <c r="K280">
        <v>1</v>
      </c>
      <c r="L280">
        <v>2</v>
      </c>
      <c r="M280">
        <v>30</v>
      </c>
      <c r="N280">
        <v>76.2</v>
      </c>
      <c r="O280">
        <v>1</v>
      </c>
      <c r="P2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0" t="str">
        <f>IF(Table1[[#This Row],[Fraud_Score]]&gt;=6, "High Risk",IF(Table1[[#This Row],[Fraud_Score]]&gt;=3, "Medium Risk", "Low Risk"))</f>
        <v>Low Risk</v>
      </c>
      <c r="R280">
        <f>IF(Table1[[#This Row],[Seconds of Use]]=0,0,Table1[[#This Row],[Customer Value]]/Table1[[#This Row],[Seconds of Use]]*100)</f>
        <v>19.389312977099237</v>
      </c>
    </row>
    <row r="281" spans="1:18" x14ac:dyDescent="0.35">
      <c r="A281" s="3" t="s">
        <v>302</v>
      </c>
      <c r="B281">
        <v>6</v>
      </c>
      <c r="C281">
        <v>0</v>
      </c>
      <c r="D281">
        <v>42</v>
      </c>
      <c r="E281">
        <v>1</v>
      </c>
      <c r="F281">
        <v>1928</v>
      </c>
      <c r="G281">
        <v>35</v>
      </c>
      <c r="H281">
        <v>15</v>
      </c>
      <c r="I281">
        <v>12</v>
      </c>
      <c r="J281">
        <v>4</v>
      </c>
      <c r="K281">
        <v>1</v>
      </c>
      <c r="L281">
        <v>1</v>
      </c>
      <c r="M281">
        <v>45</v>
      </c>
      <c r="N281">
        <v>86.575000000000003</v>
      </c>
      <c r="O281">
        <v>0</v>
      </c>
      <c r="P2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1" t="str">
        <f>IF(Table1[[#This Row],[Fraud_Score]]&gt;=6, "High Risk",IF(Table1[[#This Row],[Fraud_Score]]&gt;=3, "Medium Risk", "Low Risk"))</f>
        <v>Low Risk</v>
      </c>
      <c r="R281">
        <f>IF(Table1[[#This Row],[Seconds of Use]]=0,0,Table1[[#This Row],[Customer Value]]/Table1[[#This Row],[Seconds of Use]]*100)</f>
        <v>4.4904045643153525</v>
      </c>
    </row>
    <row r="282" spans="1:18" x14ac:dyDescent="0.35">
      <c r="A282" s="3" t="s">
        <v>303</v>
      </c>
      <c r="B282">
        <v>8</v>
      </c>
      <c r="C282">
        <v>0</v>
      </c>
      <c r="D282">
        <v>39</v>
      </c>
      <c r="E282">
        <v>2</v>
      </c>
      <c r="F282">
        <v>7045</v>
      </c>
      <c r="G282">
        <v>107</v>
      </c>
      <c r="H282">
        <v>29</v>
      </c>
      <c r="I282">
        <v>28</v>
      </c>
      <c r="J282">
        <v>5</v>
      </c>
      <c r="K282">
        <v>1</v>
      </c>
      <c r="L282">
        <v>1</v>
      </c>
      <c r="M282">
        <v>55</v>
      </c>
      <c r="N282">
        <v>150.78</v>
      </c>
      <c r="O282">
        <v>0</v>
      </c>
      <c r="P2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2" t="str">
        <f>IF(Table1[[#This Row],[Fraud_Score]]&gt;=6, "High Risk",IF(Table1[[#This Row],[Fraud_Score]]&gt;=3, "Medium Risk", "Low Risk"))</f>
        <v>Low Risk</v>
      </c>
      <c r="R282">
        <f>IF(Table1[[#This Row],[Seconds of Use]]=0,0,Table1[[#This Row],[Customer Value]]/Table1[[#This Row],[Seconds of Use]]*100)</f>
        <v>2.1402413058907026</v>
      </c>
    </row>
    <row r="283" spans="1:18" x14ac:dyDescent="0.35">
      <c r="A283" s="3" t="s">
        <v>304</v>
      </c>
      <c r="B283">
        <v>5</v>
      </c>
      <c r="C283">
        <v>0</v>
      </c>
      <c r="D283">
        <v>42</v>
      </c>
      <c r="E283">
        <v>0</v>
      </c>
      <c r="F283">
        <v>888</v>
      </c>
      <c r="G283">
        <v>17</v>
      </c>
      <c r="H283">
        <v>24</v>
      </c>
      <c r="I283">
        <v>10</v>
      </c>
      <c r="J283">
        <v>4</v>
      </c>
      <c r="K283">
        <v>1</v>
      </c>
      <c r="L283">
        <v>2</v>
      </c>
      <c r="M283">
        <v>45</v>
      </c>
      <c r="N283">
        <v>82.625</v>
      </c>
      <c r="O283">
        <v>1</v>
      </c>
      <c r="P2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3" t="str">
        <f>IF(Table1[[#This Row],[Fraud_Score]]&gt;=6, "High Risk",IF(Table1[[#This Row],[Fraud_Score]]&gt;=3, "Medium Risk", "Low Risk"))</f>
        <v>Low Risk</v>
      </c>
      <c r="R283">
        <f>IF(Table1[[#This Row],[Seconds of Use]]=0,0,Table1[[#This Row],[Customer Value]]/Table1[[#This Row],[Seconds of Use]]*100)</f>
        <v>9.3046171171171164</v>
      </c>
    </row>
    <row r="284" spans="1:18" x14ac:dyDescent="0.35">
      <c r="A284" s="3" t="s">
        <v>305</v>
      </c>
      <c r="B284">
        <v>5</v>
      </c>
      <c r="C284">
        <v>0</v>
      </c>
      <c r="D284">
        <v>42</v>
      </c>
      <c r="E284">
        <v>2</v>
      </c>
      <c r="F284">
        <v>598</v>
      </c>
      <c r="G284">
        <v>14</v>
      </c>
      <c r="H284">
        <v>19</v>
      </c>
      <c r="I284">
        <v>8</v>
      </c>
      <c r="J284">
        <v>5</v>
      </c>
      <c r="K284">
        <v>1</v>
      </c>
      <c r="L284">
        <v>1</v>
      </c>
      <c r="M284">
        <v>55</v>
      </c>
      <c r="N284">
        <v>37.68</v>
      </c>
      <c r="O284">
        <v>0</v>
      </c>
      <c r="P2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4" t="str">
        <f>IF(Table1[[#This Row],[Fraud_Score]]&gt;=6, "High Risk",IF(Table1[[#This Row],[Fraud_Score]]&gt;=3, "Medium Risk", "Low Risk"))</f>
        <v>Low Risk</v>
      </c>
      <c r="R284">
        <f>IF(Table1[[#This Row],[Seconds of Use]]=0,0,Table1[[#This Row],[Customer Value]]/Table1[[#This Row],[Seconds of Use]]*100)</f>
        <v>6.3010033444816056</v>
      </c>
    </row>
    <row r="285" spans="1:18" x14ac:dyDescent="0.35">
      <c r="A285" s="3" t="s">
        <v>306</v>
      </c>
      <c r="B285">
        <v>30</v>
      </c>
      <c r="C285">
        <v>1</v>
      </c>
      <c r="D285">
        <v>37</v>
      </c>
      <c r="E285">
        <v>4</v>
      </c>
      <c r="F285">
        <v>16335</v>
      </c>
      <c r="G285">
        <v>248</v>
      </c>
      <c r="H285">
        <v>15</v>
      </c>
      <c r="I285">
        <v>86</v>
      </c>
      <c r="J285">
        <v>2</v>
      </c>
      <c r="K285">
        <v>1</v>
      </c>
      <c r="L285">
        <v>1</v>
      </c>
      <c r="M285">
        <v>25</v>
      </c>
      <c r="N285">
        <v>813.73500000000001</v>
      </c>
      <c r="O285">
        <v>0</v>
      </c>
      <c r="P2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7</v>
      </c>
      <c r="Q285" t="str">
        <f>IF(Table1[[#This Row],[Fraud_Score]]&gt;=6, "High Risk",IF(Table1[[#This Row],[Fraud_Score]]&gt;=3, "Medium Risk", "Low Risk"))</f>
        <v>High Risk</v>
      </c>
      <c r="R285">
        <f>IF(Table1[[#This Row],[Seconds of Use]]=0,0,Table1[[#This Row],[Customer Value]]/Table1[[#This Row],[Seconds of Use]]*100)</f>
        <v>4.9815426997245176</v>
      </c>
    </row>
    <row r="286" spans="1:18" x14ac:dyDescent="0.35">
      <c r="A286" s="3" t="s">
        <v>307</v>
      </c>
      <c r="B286">
        <v>11</v>
      </c>
      <c r="C286">
        <v>1</v>
      </c>
      <c r="D286">
        <v>40</v>
      </c>
      <c r="E286">
        <v>4</v>
      </c>
      <c r="F286">
        <v>7225</v>
      </c>
      <c r="G286">
        <v>126</v>
      </c>
      <c r="H286">
        <v>286</v>
      </c>
      <c r="I286">
        <v>39</v>
      </c>
      <c r="J286">
        <v>3</v>
      </c>
      <c r="K286">
        <v>2</v>
      </c>
      <c r="L286">
        <v>1</v>
      </c>
      <c r="M286">
        <v>30</v>
      </c>
      <c r="N286">
        <v>1438.04</v>
      </c>
      <c r="O286">
        <v>0</v>
      </c>
      <c r="P2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86" t="str">
        <f>IF(Table1[[#This Row],[Fraud_Score]]&gt;=6, "High Risk",IF(Table1[[#This Row],[Fraud_Score]]&gt;=3, "Medium Risk", "Low Risk"))</f>
        <v>Medium Risk</v>
      </c>
      <c r="R286">
        <f>IF(Table1[[#This Row],[Seconds of Use]]=0,0,Table1[[#This Row],[Customer Value]]/Table1[[#This Row],[Seconds of Use]]*100)</f>
        <v>19.903667820069202</v>
      </c>
    </row>
    <row r="287" spans="1:18" x14ac:dyDescent="0.35">
      <c r="A287" s="3" t="s">
        <v>308</v>
      </c>
      <c r="B287">
        <v>7</v>
      </c>
      <c r="C287">
        <v>0</v>
      </c>
      <c r="D287">
        <v>42</v>
      </c>
      <c r="E287">
        <v>1</v>
      </c>
      <c r="F287">
        <v>3978</v>
      </c>
      <c r="G287">
        <v>92</v>
      </c>
      <c r="H287">
        <v>17</v>
      </c>
      <c r="I287">
        <v>34</v>
      </c>
      <c r="J287">
        <v>3</v>
      </c>
      <c r="K287">
        <v>1</v>
      </c>
      <c r="L287">
        <v>1</v>
      </c>
      <c r="M287">
        <v>30</v>
      </c>
      <c r="N287">
        <v>230.8</v>
      </c>
      <c r="O287">
        <v>0</v>
      </c>
      <c r="P2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7" t="str">
        <f>IF(Table1[[#This Row],[Fraud_Score]]&gt;=6, "High Risk",IF(Table1[[#This Row],[Fraud_Score]]&gt;=3, "Medium Risk", "Low Risk"))</f>
        <v>Low Risk</v>
      </c>
      <c r="R287">
        <f>IF(Table1[[#This Row],[Seconds of Use]]=0,0,Table1[[#This Row],[Customer Value]]/Table1[[#This Row],[Seconds of Use]]*100)</f>
        <v>5.8019105077928605</v>
      </c>
    </row>
    <row r="288" spans="1:18" x14ac:dyDescent="0.35">
      <c r="A288" s="3" t="s">
        <v>309</v>
      </c>
      <c r="B288">
        <v>8</v>
      </c>
      <c r="C288">
        <v>0</v>
      </c>
      <c r="D288">
        <v>41</v>
      </c>
      <c r="E288">
        <v>0</v>
      </c>
      <c r="F288">
        <v>1925</v>
      </c>
      <c r="G288">
        <v>54</v>
      </c>
      <c r="H288">
        <v>53</v>
      </c>
      <c r="I288">
        <v>26</v>
      </c>
      <c r="J288">
        <v>3</v>
      </c>
      <c r="K288">
        <v>1</v>
      </c>
      <c r="L288">
        <v>2</v>
      </c>
      <c r="M288">
        <v>30</v>
      </c>
      <c r="N288">
        <v>291.16000000000003</v>
      </c>
      <c r="O288">
        <v>0</v>
      </c>
      <c r="P2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8" t="str">
        <f>IF(Table1[[#This Row],[Fraud_Score]]&gt;=6, "High Risk",IF(Table1[[#This Row],[Fraud_Score]]&gt;=3, "Medium Risk", "Low Risk"))</f>
        <v>Low Risk</v>
      </c>
      <c r="R288">
        <f>IF(Table1[[#This Row],[Seconds of Use]]=0,0,Table1[[#This Row],[Customer Value]]/Table1[[#This Row],[Seconds of Use]]*100)</f>
        <v>15.125194805194806</v>
      </c>
    </row>
    <row r="289" spans="1:18" x14ac:dyDescent="0.35">
      <c r="A289" s="3" t="s">
        <v>310</v>
      </c>
      <c r="B289">
        <v>11</v>
      </c>
      <c r="C289">
        <v>0</v>
      </c>
      <c r="D289">
        <v>42</v>
      </c>
      <c r="E289">
        <v>1</v>
      </c>
      <c r="F289">
        <v>3040</v>
      </c>
      <c r="G289">
        <v>63</v>
      </c>
      <c r="H289">
        <v>190</v>
      </c>
      <c r="I289">
        <v>29</v>
      </c>
      <c r="J289">
        <v>2</v>
      </c>
      <c r="K289">
        <v>1</v>
      </c>
      <c r="L289">
        <v>1</v>
      </c>
      <c r="M289">
        <v>25</v>
      </c>
      <c r="N289">
        <v>994.63499999999999</v>
      </c>
      <c r="O289">
        <v>0</v>
      </c>
      <c r="P2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9" t="str">
        <f>IF(Table1[[#This Row],[Fraud_Score]]&gt;=6, "High Risk",IF(Table1[[#This Row],[Fraud_Score]]&gt;=3, "Medium Risk", "Low Risk"))</f>
        <v>Low Risk</v>
      </c>
      <c r="R289">
        <f>IF(Table1[[#This Row],[Seconds of Use]]=0,0,Table1[[#This Row],[Customer Value]]/Table1[[#This Row],[Seconds of Use]]*100)</f>
        <v>32.718256578947368</v>
      </c>
    </row>
    <row r="290" spans="1:18" x14ac:dyDescent="0.35">
      <c r="A290" s="3" t="s">
        <v>311</v>
      </c>
      <c r="B290">
        <v>9</v>
      </c>
      <c r="C290">
        <v>0</v>
      </c>
      <c r="D290">
        <v>33</v>
      </c>
      <c r="E290">
        <v>2</v>
      </c>
      <c r="F290">
        <v>1575</v>
      </c>
      <c r="G290">
        <v>46</v>
      </c>
      <c r="H290">
        <v>208</v>
      </c>
      <c r="I290">
        <v>17</v>
      </c>
      <c r="J290">
        <v>3</v>
      </c>
      <c r="K290">
        <v>2</v>
      </c>
      <c r="L290">
        <v>1</v>
      </c>
      <c r="M290">
        <v>30</v>
      </c>
      <c r="N290">
        <v>896.84</v>
      </c>
      <c r="O290">
        <v>0</v>
      </c>
      <c r="P2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0" t="str">
        <f>IF(Table1[[#This Row],[Fraud_Score]]&gt;=6, "High Risk",IF(Table1[[#This Row],[Fraud_Score]]&gt;=3, "Medium Risk", "Low Risk"))</f>
        <v>Low Risk</v>
      </c>
      <c r="R290">
        <f>IF(Table1[[#This Row],[Seconds of Use]]=0,0,Table1[[#This Row],[Customer Value]]/Table1[[#This Row],[Seconds of Use]]*100)</f>
        <v>56.942222222222227</v>
      </c>
    </row>
    <row r="291" spans="1:18" x14ac:dyDescent="0.35">
      <c r="A291" s="3" t="s">
        <v>312</v>
      </c>
      <c r="B291">
        <v>9</v>
      </c>
      <c r="C291">
        <v>0</v>
      </c>
      <c r="D291">
        <v>32</v>
      </c>
      <c r="E291">
        <v>1</v>
      </c>
      <c r="F291">
        <v>1828</v>
      </c>
      <c r="G291">
        <v>49</v>
      </c>
      <c r="H291">
        <v>45</v>
      </c>
      <c r="I291">
        <v>74</v>
      </c>
      <c r="J291">
        <v>5</v>
      </c>
      <c r="K291">
        <v>1</v>
      </c>
      <c r="L291">
        <v>1</v>
      </c>
      <c r="M291">
        <v>55</v>
      </c>
      <c r="N291">
        <v>95.655000000000001</v>
      </c>
      <c r="O291">
        <v>0</v>
      </c>
      <c r="P2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1" t="str">
        <f>IF(Table1[[#This Row],[Fraud_Score]]&gt;=6, "High Risk",IF(Table1[[#This Row],[Fraud_Score]]&gt;=3, "Medium Risk", "Low Risk"))</f>
        <v>Low Risk</v>
      </c>
      <c r="R291">
        <f>IF(Table1[[#This Row],[Seconds of Use]]=0,0,Table1[[#This Row],[Customer Value]]/Table1[[#This Row],[Seconds of Use]]*100)</f>
        <v>5.2327680525164117</v>
      </c>
    </row>
    <row r="292" spans="1:18" x14ac:dyDescent="0.35">
      <c r="A292" s="3" t="s">
        <v>313</v>
      </c>
      <c r="B292">
        <v>16</v>
      </c>
      <c r="C292">
        <v>0</v>
      </c>
      <c r="D292">
        <v>33</v>
      </c>
      <c r="E292">
        <v>0</v>
      </c>
      <c r="F292">
        <v>960</v>
      </c>
      <c r="G292">
        <v>35</v>
      </c>
      <c r="H292">
        <v>25</v>
      </c>
      <c r="I292">
        <v>13</v>
      </c>
      <c r="J292">
        <v>3</v>
      </c>
      <c r="K292">
        <v>1</v>
      </c>
      <c r="L292">
        <v>2</v>
      </c>
      <c r="M292">
        <v>30</v>
      </c>
      <c r="N292">
        <v>139.80000000000001</v>
      </c>
      <c r="O292">
        <v>0</v>
      </c>
      <c r="P2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2" t="str">
        <f>IF(Table1[[#This Row],[Fraud_Score]]&gt;=6, "High Risk",IF(Table1[[#This Row],[Fraud_Score]]&gt;=3, "Medium Risk", "Low Risk"))</f>
        <v>Medium Risk</v>
      </c>
      <c r="R292">
        <f>IF(Table1[[#This Row],[Seconds of Use]]=0,0,Table1[[#This Row],[Customer Value]]/Table1[[#This Row],[Seconds of Use]]*100)</f>
        <v>14.5625</v>
      </c>
    </row>
    <row r="293" spans="1:18" x14ac:dyDescent="0.35">
      <c r="A293" s="3" t="s">
        <v>314</v>
      </c>
      <c r="B293">
        <v>5</v>
      </c>
      <c r="C293">
        <v>0</v>
      </c>
      <c r="D293">
        <v>32</v>
      </c>
      <c r="E293">
        <v>0</v>
      </c>
      <c r="F293">
        <v>1085</v>
      </c>
      <c r="G293">
        <v>20</v>
      </c>
      <c r="H293">
        <v>36</v>
      </c>
      <c r="I293">
        <v>9</v>
      </c>
      <c r="J293">
        <v>4</v>
      </c>
      <c r="K293">
        <v>1</v>
      </c>
      <c r="L293">
        <v>2</v>
      </c>
      <c r="M293">
        <v>45</v>
      </c>
      <c r="N293">
        <v>117.625</v>
      </c>
      <c r="O293">
        <v>0</v>
      </c>
      <c r="P2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3" t="str">
        <f>IF(Table1[[#This Row],[Fraud_Score]]&gt;=6, "High Risk",IF(Table1[[#This Row],[Fraud_Score]]&gt;=3, "Medium Risk", "Low Risk"))</f>
        <v>Low Risk</v>
      </c>
      <c r="R293">
        <f>IF(Table1[[#This Row],[Seconds of Use]]=0,0,Table1[[#This Row],[Customer Value]]/Table1[[#This Row],[Seconds of Use]]*100)</f>
        <v>10.841013824884794</v>
      </c>
    </row>
    <row r="294" spans="1:18" x14ac:dyDescent="0.35">
      <c r="A294" s="3" t="s">
        <v>315</v>
      </c>
      <c r="B294">
        <v>15</v>
      </c>
      <c r="C294">
        <v>0</v>
      </c>
      <c r="D294">
        <v>31</v>
      </c>
      <c r="E294">
        <v>1</v>
      </c>
      <c r="F294">
        <v>1485</v>
      </c>
      <c r="G294">
        <v>42</v>
      </c>
      <c r="H294">
        <v>34</v>
      </c>
      <c r="I294">
        <v>19</v>
      </c>
      <c r="J294">
        <v>2</v>
      </c>
      <c r="K294">
        <v>1</v>
      </c>
      <c r="L294">
        <v>1</v>
      </c>
      <c r="M294">
        <v>25</v>
      </c>
      <c r="N294">
        <v>221.715</v>
      </c>
      <c r="O294">
        <v>0</v>
      </c>
      <c r="P2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4" t="str">
        <f>IF(Table1[[#This Row],[Fraud_Score]]&gt;=6, "High Risk",IF(Table1[[#This Row],[Fraud_Score]]&gt;=3, "Medium Risk", "Low Risk"))</f>
        <v>Low Risk</v>
      </c>
      <c r="R294">
        <f>IF(Table1[[#This Row],[Seconds of Use]]=0,0,Table1[[#This Row],[Customer Value]]/Table1[[#This Row],[Seconds of Use]]*100)</f>
        <v>14.93030303030303</v>
      </c>
    </row>
    <row r="295" spans="1:18" x14ac:dyDescent="0.35">
      <c r="A295" s="3" t="s">
        <v>316</v>
      </c>
      <c r="B295">
        <v>7</v>
      </c>
      <c r="C295">
        <v>0</v>
      </c>
      <c r="D295">
        <v>31</v>
      </c>
      <c r="E295">
        <v>1</v>
      </c>
      <c r="F295">
        <v>3485</v>
      </c>
      <c r="G295">
        <v>71</v>
      </c>
      <c r="H295">
        <v>23</v>
      </c>
      <c r="I295">
        <v>29</v>
      </c>
      <c r="J295">
        <v>3</v>
      </c>
      <c r="K295">
        <v>1</v>
      </c>
      <c r="L295">
        <v>1</v>
      </c>
      <c r="M295">
        <v>30</v>
      </c>
      <c r="N295">
        <v>234.24</v>
      </c>
      <c r="O295">
        <v>0</v>
      </c>
      <c r="P2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5" t="str">
        <f>IF(Table1[[#This Row],[Fraud_Score]]&gt;=6, "High Risk",IF(Table1[[#This Row],[Fraud_Score]]&gt;=3, "Medium Risk", "Low Risk"))</f>
        <v>Low Risk</v>
      </c>
      <c r="R295">
        <f>IF(Table1[[#This Row],[Seconds of Use]]=0,0,Table1[[#This Row],[Customer Value]]/Table1[[#This Row],[Seconds of Use]]*100)</f>
        <v>6.7213773314203733</v>
      </c>
    </row>
    <row r="296" spans="1:18" x14ac:dyDescent="0.35">
      <c r="A296" s="3" t="s">
        <v>317</v>
      </c>
      <c r="B296">
        <v>7</v>
      </c>
      <c r="C296">
        <v>0</v>
      </c>
      <c r="D296">
        <v>24</v>
      </c>
      <c r="E296">
        <v>1</v>
      </c>
      <c r="F296">
        <v>1955</v>
      </c>
      <c r="G296">
        <v>36</v>
      </c>
      <c r="H296">
        <v>43</v>
      </c>
      <c r="I296">
        <v>20</v>
      </c>
      <c r="J296">
        <v>3</v>
      </c>
      <c r="K296">
        <v>1</v>
      </c>
      <c r="L296">
        <v>1</v>
      </c>
      <c r="M296">
        <v>30</v>
      </c>
      <c r="N296">
        <v>251.64</v>
      </c>
      <c r="O296">
        <v>0</v>
      </c>
      <c r="P2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6" t="str">
        <f>IF(Table1[[#This Row],[Fraud_Score]]&gt;=6, "High Risk",IF(Table1[[#This Row],[Fraud_Score]]&gt;=3, "Medium Risk", "Low Risk"))</f>
        <v>Low Risk</v>
      </c>
      <c r="R296">
        <f>IF(Table1[[#This Row],[Seconds of Use]]=0,0,Table1[[#This Row],[Customer Value]]/Table1[[#This Row],[Seconds of Use]]*100)</f>
        <v>12.87161125319693</v>
      </c>
    </row>
    <row r="297" spans="1:18" x14ac:dyDescent="0.35">
      <c r="A297" s="3" t="s">
        <v>318</v>
      </c>
      <c r="B297">
        <v>21</v>
      </c>
      <c r="C297">
        <v>0</v>
      </c>
      <c r="D297">
        <v>23</v>
      </c>
      <c r="E297">
        <v>2</v>
      </c>
      <c r="F297">
        <v>6653</v>
      </c>
      <c r="G297">
        <v>151</v>
      </c>
      <c r="H297">
        <v>100</v>
      </c>
      <c r="I297">
        <v>48</v>
      </c>
      <c r="J297">
        <v>2</v>
      </c>
      <c r="K297">
        <v>2</v>
      </c>
      <c r="L297">
        <v>1</v>
      </c>
      <c r="M297">
        <v>25</v>
      </c>
      <c r="N297">
        <v>756.18</v>
      </c>
      <c r="O297">
        <v>0</v>
      </c>
      <c r="P2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7" t="str">
        <f>IF(Table1[[#This Row],[Fraud_Score]]&gt;=6, "High Risk",IF(Table1[[#This Row],[Fraud_Score]]&gt;=3, "Medium Risk", "Low Risk"))</f>
        <v>Medium Risk</v>
      </c>
      <c r="R297">
        <f>IF(Table1[[#This Row],[Seconds of Use]]=0,0,Table1[[#This Row],[Customer Value]]/Table1[[#This Row],[Seconds of Use]]*100)</f>
        <v>11.366000300616262</v>
      </c>
    </row>
    <row r="298" spans="1:18" x14ac:dyDescent="0.35">
      <c r="A298" s="3" t="s">
        <v>319</v>
      </c>
      <c r="B298">
        <v>17</v>
      </c>
      <c r="C298">
        <v>0</v>
      </c>
      <c r="D298">
        <v>21</v>
      </c>
      <c r="E298">
        <v>1</v>
      </c>
      <c r="F298">
        <v>9193</v>
      </c>
      <c r="G298">
        <v>181</v>
      </c>
      <c r="H298">
        <v>88</v>
      </c>
      <c r="I298">
        <v>46</v>
      </c>
      <c r="J298">
        <v>5</v>
      </c>
      <c r="K298">
        <v>1</v>
      </c>
      <c r="L298">
        <v>1</v>
      </c>
      <c r="M298">
        <v>55</v>
      </c>
      <c r="N298">
        <v>272.61</v>
      </c>
      <c r="O298">
        <v>0</v>
      </c>
      <c r="P2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8" t="str">
        <f>IF(Table1[[#This Row],[Fraud_Score]]&gt;=6, "High Risk",IF(Table1[[#This Row],[Fraud_Score]]&gt;=3, "Medium Risk", "Low Risk"))</f>
        <v>Medium Risk</v>
      </c>
      <c r="R298">
        <f>IF(Table1[[#This Row],[Seconds of Use]]=0,0,Table1[[#This Row],[Customer Value]]/Table1[[#This Row],[Seconds of Use]]*100)</f>
        <v>2.9654084629609487</v>
      </c>
    </row>
    <row r="299" spans="1:18" x14ac:dyDescent="0.35">
      <c r="A299" s="3" t="s">
        <v>320</v>
      </c>
      <c r="B299">
        <v>13</v>
      </c>
      <c r="C299">
        <v>0</v>
      </c>
      <c r="D299">
        <v>22</v>
      </c>
      <c r="E299">
        <v>4</v>
      </c>
      <c r="F299">
        <v>3113</v>
      </c>
      <c r="G299">
        <v>55</v>
      </c>
      <c r="H299">
        <v>46</v>
      </c>
      <c r="I299">
        <v>25</v>
      </c>
      <c r="J299">
        <v>3</v>
      </c>
      <c r="K299">
        <v>1</v>
      </c>
      <c r="L299">
        <v>1</v>
      </c>
      <c r="M299">
        <v>30</v>
      </c>
      <c r="N299">
        <v>310.72000000000003</v>
      </c>
      <c r="O299">
        <v>0</v>
      </c>
      <c r="P2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9" t="str">
        <f>IF(Table1[[#This Row],[Fraud_Score]]&gt;=6, "High Risk",IF(Table1[[#This Row],[Fraud_Score]]&gt;=3, "Medium Risk", "Low Risk"))</f>
        <v>Low Risk</v>
      </c>
      <c r="R299">
        <f>IF(Table1[[#This Row],[Seconds of Use]]=0,0,Table1[[#This Row],[Customer Value]]/Table1[[#This Row],[Seconds of Use]]*100)</f>
        <v>9.9813684548666881</v>
      </c>
    </row>
    <row r="300" spans="1:18" x14ac:dyDescent="0.35">
      <c r="A300" s="3" t="s">
        <v>321</v>
      </c>
      <c r="B300">
        <v>7</v>
      </c>
      <c r="C300">
        <v>0</v>
      </c>
      <c r="D300">
        <v>15</v>
      </c>
      <c r="E300">
        <v>2</v>
      </c>
      <c r="F300">
        <v>4650</v>
      </c>
      <c r="G300">
        <v>50</v>
      </c>
      <c r="H300">
        <v>230</v>
      </c>
      <c r="I300">
        <v>16</v>
      </c>
      <c r="J300">
        <v>3</v>
      </c>
      <c r="K300">
        <v>1</v>
      </c>
      <c r="L300">
        <v>1</v>
      </c>
      <c r="M300">
        <v>30</v>
      </c>
      <c r="N300">
        <v>1108</v>
      </c>
      <c r="O300">
        <v>0</v>
      </c>
      <c r="P3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0" t="str">
        <f>IF(Table1[[#This Row],[Fraud_Score]]&gt;=6, "High Risk",IF(Table1[[#This Row],[Fraud_Score]]&gt;=3, "Medium Risk", "Low Risk"))</f>
        <v>Low Risk</v>
      </c>
      <c r="R300">
        <f>IF(Table1[[#This Row],[Seconds of Use]]=0,0,Table1[[#This Row],[Customer Value]]/Table1[[#This Row],[Seconds of Use]]*100)</f>
        <v>23.827956989247312</v>
      </c>
    </row>
    <row r="301" spans="1:18" x14ac:dyDescent="0.35">
      <c r="A301" s="3" t="s">
        <v>322</v>
      </c>
      <c r="B301">
        <v>8</v>
      </c>
      <c r="C301">
        <v>1</v>
      </c>
      <c r="D301">
        <v>15</v>
      </c>
      <c r="E301">
        <v>2</v>
      </c>
      <c r="F301">
        <v>1748</v>
      </c>
      <c r="G301">
        <v>29</v>
      </c>
      <c r="H301">
        <v>15</v>
      </c>
      <c r="I301">
        <v>13</v>
      </c>
      <c r="J301">
        <v>3</v>
      </c>
      <c r="K301">
        <v>1</v>
      </c>
      <c r="L301">
        <v>1</v>
      </c>
      <c r="M301">
        <v>30</v>
      </c>
      <c r="N301">
        <v>131.08000000000001</v>
      </c>
      <c r="O301">
        <v>1</v>
      </c>
      <c r="P3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1" t="str">
        <f>IF(Table1[[#This Row],[Fraud_Score]]&gt;=6, "High Risk",IF(Table1[[#This Row],[Fraud_Score]]&gt;=3, "Medium Risk", "Low Risk"))</f>
        <v>Low Risk</v>
      </c>
      <c r="R301">
        <f>IF(Table1[[#This Row],[Seconds of Use]]=0,0,Table1[[#This Row],[Customer Value]]/Table1[[#This Row],[Seconds of Use]]*100)</f>
        <v>7.4988558352402759</v>
      </c>
    </row>
    <row r="302" spans="1:18" x14ac:dyDescent="0.35">
      <c r="A302" s="3" t="s">
        <v>323</v>
      </c>
      <c r="B302">
        <v>3</v>
      </c>
      <c r="C302">
        <v>0</v>
      </c>
      <c r="D302">
        <v>32</v>
      </c>
      <c r="E302">
        <v>0</v>
      </c>
      <c r="F302">
        <v>4110</v>
      </c>
      <c r="G302">
        <v>61</v>
      </c>
      <c r="H302">
        <v>0</v>
      </c>
      <c r="I302">
        <v>11</v>
      </c>
      <c r="J302">
        <v>2</v>
      </c>
      <c r="K302">
        <v>1</v>
      </c>
      <c r="L302">
        <v>1</v>
      </c>
      <c r="M302">
        <v>25</v>
      </c>
      <c r="N302">
        <v>187.69499999999999</v>
      </c>
      <c r="O302">
        <v>0</v>
      </c>
      <c r="P3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2" t="str">
        <f>IF(Table1[[#This Row],[Fraud_Score]]&gt;=6, "High Risk",IF(Table1[[#This Row],[Fraud_Score]]&gt;=3, "Medium Risk", "Low Risk"))</f>
        <v>Low Risk</v>
      </c>
      <c r="R302">
        <f>IF(Table1[[#This Row],[Seconds of Use]]=0,0,Table1[[#This Row],[Customer Value]]/Table1[[#This Row],[Seconds of Use]]*100)</f>
        <v>4.5667883211678832</v>
      </c>
    </row>
    <row r="303" spans="1:18" x14ac:dyDescent="0.35">
      <c r="A303" s="3" t="s">
        <v>324</v>
      </c>
      <c r="B303">
        <v>0</v>
      </c>
      <c r="C303">
        <v>0</v>
      </c>
      <c r="D303">
        <v>33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2</v>
      </c>
      <c r="K303">
        <v>1</v>
      </c>
      <c r="L303">
        <v>2</v>
      </c>
      <c r="M303">
        <v>25</v>
      </c>
      <c r="N303">
        <v>0</v>
      </c>
      <c r="O303">
        <v>0</v>
      </c>
      <c r="P3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3" t="str">
        <f>IF(Table1[[#This Row],[Fraud_Score]]&gt;=6, "High Risk",IF(Table1[[#This Row],[Fraud_Score]]&gt;=3, "Medium Risk", "Low Risk"))</f>
        <v>Low Risk</v>
      </c>
      <c r="R303">
        <f>IF(Table1[[#This Row],[Seconds of Use]]=0,0,Table1[[#This Row],[Customer Value]]/Table1[[#This Row],[Seconds of Use]]*100)</f>
        <v>0</v>
      </c>
    </row>
    <row r="304" spans="1:18" x14ac:dyDescent="0.35">
      <c r="A304" s="3" t="s">
        <v>325</v>
      </c>
      <c r="B304">
        <v>5</v>
      </c>
      <c r="C304">
        <v>0</v>
      </c>
      <c r="D304">
        <v>31</v>
      </c>
      <c r="E304">
        <v>0</v>
      </c>
      <c r="F304">
        <v>2193</v>
      </c>
      <c r="G304">
        <v>50</v>
      </c>
      <c r="H304">
        <v>344</v>
      </c>
      <c r="I304">
        <v>18</v>
      </c>
      <c r="J304">
        <v>2</v>
      </c>
      <c r="K304">
        <v>1</v>
      </c>
      <c r="L304">
        <v>1</v>
      </c>
      <c r="M304">
        <v>25</v>
      </c>
      <c r="N304">
        <v>1648.9349999999999</v>
      </c>
      <c r="O304">
        <v>0</v>
      </c>
      <c r="P3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4" t="str">
        <f>IF(Table1[[#This Row],[Fraud_Score]]&gt;=6, "High Risk",IF(Table1[[#This Row],[Fraud_Score]]&gt;=3, "Medium Risk", "Low Risk"))</f>
        <v>Low Risk</v>
      </c>
      <c r="R304">
        <f>IF(Table1[[#This Row],[Seconds of Use]]=0,0,Table1[[#This Row],[Customer Value]]/Table1[[#This Row],[Seconds of Use]]*100)</f>
        <v>75.190834473324202</v>
      </c>
    </row>
    <row r="305" spans="1:18" x14ac:dyDescent="0.35">
      <c r="A305" s="3" t="s">
        <v>326</v>
      </c>
      <c r="B305">
        <v>5</v>
      </c>
      <c r="C305">
        <v>0</v>
      </c>
      <c r="D305">
        <v>32</v>
      </c>
      <c r="E305">
        <v>0</v>
      </c>
      <c r="F305">
        <v>3938</v>
      </c>
      <c r="G305">
        <v>56</v>
      </c>
      <c r="H305">
        <v>0</v>
      </c>
      <c r="I305">
        <v>29</v>
      </c>
      <c r="J305">
        <v>1</v>
      </c>
      <c r="K305">
        <v>1</v>
      </c>
      <c r="L305">
        <v>1</v>
      </c>
      <c r="M305">
        <v>15</v>
      </c>
      <c r="N305">
        <v>219.67</v>
      </c>
      <c r="O305">
        <v>0</v>
      </c>
      <c r="P3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5" t="str">
        <f>IF(Table1[[#This Row],[Fraud_Score]]&gt;=6, "High Risk",IF(Table1[[#This Row],[Fraud_Score]]&gt;=3, "Medium Risk", "Low Risk"))</f>
        <v>Low Risk</v>
      </c>
      <c r="R305">
        <f>IF(Table1[[#This Row],[Seconds of Use]]=0,0,Table1[[#This Row],[Customer Value]]/Table1[[#This Row],[Seconds of Use]]*100)</f>
        <v>5.5782122905027931</v>
      </c>
    </row>
    <row r="306" spans="1:18" x14ac:dyDescent="0.35">
      <c r="A306" s="3" t="s">
        <v>327</v>
      </c>
      <c r="B306">
        <v>0</v>
      </c>
      <c r="C306">
        <v>0</v>
      </c>
      <c r="D306">
        <v>32</v>
      </c>
      <c r="E306">
        <v>0</v>
      </c>
      <c r="F306">
        <v>2133</v>
      </c>
      <c r="G306">
        <v>48</v>
      </c>
      <c r="H306">
        <v>0</v>
      </c>
      <c r="I306">
        <v>27</v>
      </c>
      <c r="J306">
        <v>1</v>
      </c>
      <c r="K306">
        <v>1</v>
      </c>
      <c r="L306">
        <v>1</v>
      </c>
      <c r="M306">
        <v>15</v>
      </c>
      <c r="N306">
        <v>119.955</v>
      </c>
      <c r="O306">
        <v>0</v>
      </c>
      <c r="P3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6" t="str">
        <f>IF(Table1[[#This Row],[Fraud_Score]]&gt;=6, "High Risk",IF(Table1[[#This Row],[Fraud_Score]]&gt;=3, "Medium Risk", "Low Risk"))</f>
        <v>Low Risk</v>
      </c>
      <c r="R306">
        <f>IF(Table1[[#This Row],[Seconds of Use]]=0,0,Table1[[#This Row],[Customer Value]]/Table1[[#This Row],[Seconds of Use]]*100)</f>
        <v>5.623769338959212</v>
      </c>
    </row>
    <row r="307" spans="1:18" x14ac:dyDescent="0.35">
      <c r="A307" s="3" t="s">
        <v>328</v>
      </c>
      <c r="B307">
        <v>6</v>
      </c>
      <c r="C307">
        <v>0</v>
      </c>
      <c r="D307">
        <v>32</v>
      </c>
      <c r="E307">
        <v>0</v>
      </c>
      <c r="F307">
        <v>3515</v>
      </c>
      <c r="G307">
        <v>72</v>
      </c>
      <c r="H307">
        <v>17</v>
      </c>
      <c r="I307">
        <v>22</v>
      </c>
      <c r="J307">
        <v>2</v>
      </c>
      <c r="K307">
        <v>1</v>
      </c>
      <c r="L307">
        <v>1</v>
      </c>
      <c r="M307">
        <v>25</v>
      </c>
      <c r="N307">
        <v>237.91499999999999</v>
      </c>
      <c r="O307">
        <v>0</v>
      </c>
      <c r="P3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7" t="str">
        <f>IF(Table1[[#This Row],[Fraud_Score]]&gt;=6, "High Risk",IF(Table1[[#This Row],[Fraud_Score]]&gt;=3, "Medium Risk", "Low Risk"))</f>
        <v>Low Risk</v>
      </c>
      <c r="R307">
        <f>IF(Table1[[#This Row],[Seconds of Use]]=0,0,Table1[[#This Row],[Customer Value]]/Table1[[#This Row],[Seconds of Use]]*100)</f>
        <v>6.7685633001422465</v>
      </c>
    </row>
    <row r="308" spans="1:18" x14ac:dyDescent="0.35">
      <c r="A308" s="3" t="s">
        <v>329</v>
      </c>
      <c r="B308">
        <v>0</v>
      </c>
      <c r="C308">
        <v>0</v>
      </c>
      <c r="D308">
        <v>32</v>
      </c>
      <c r="E308">
        <v>0</v>
      </c>
      <c r="F308">
        <v>2100</v>
      </c>
      <c r="G308">
        <v>29</v>
      </c>
      <c r="H308">
        <v>270</v>
      </c>
      <c r="I308">
        <v>12</v>
      </c>
      <c r="J308">
        <v>3</v>
      </c>
      <c r="K308">
        <v>1</v>
      </c>
      <c r="L308">
        <v>1</v>
      </c>
      <c r="M308">
        <v>30</v>
      </c>
      <c r="N308">
        <v>1165.1600000000001</v>
      </c>
      <c r="O308">
        <v>0</v>
      </c>
      <c r="P3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8" t="str">
        <f>IF(Table1[[#This Row],[Fraud_Score]]&gt;=6, "High Risk",IF(Table1[[#This Row],[Fraud_Score]]&gt;=3, "Medium Risk", "Low Risk"))</f>
        <v>Low Risk</v>
      </c>
      <c r="R308">
        <f>IF(Table1[[#This Row],[Seconds of Use]]=0,0,Table1[[#This Row],[Customer Value]]/Table1[[#This Row],[Seconds of Use]]*100)</f>
        <v>55.483809523809526</v>
      </c>
    </row>
    <row r="309" spans="1:18" x14ac:dyDescent="0.35">
      <c r="A309" s="3" t="s">
        <v>330</v>
      </c>
      <c r="B309">
        <v>8</v>
      </c>
      <c r="C309">
        <v>0</v>
      </c>
      <c r="D309">
        <v>31</v>
      </c>
      <c r="E309">
        <v>1</v>
      </c>
      <c r="F309">
        <v>8855</v>
      </c>
      <c r="G309">
        <v>111</v>
      </c>
      <c r="H309">
        <v>129</v>
      </c>
      <c r="I309">
        <v>37</v>
      </c>
      <c r="J309">
        <v>3</v>
      </c>
      <c r="K309">
        <v>1</v>
      </c>
      <c r="L309">
        <v>1</v>
      </c>
      <c r="M309">
        <v>30</v>
      </c>
      <c r="N309">
        <v>874.64</v>
      </c>
      <c r="O309">
        <v>0</v>
      </c>
      <c r="P3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9" t="str">
        <f>IF(Table1[[#This Row],[Fraud_Score]]&gt;=6, "High Risk",IF(Table1[[#This Row],[Fraud_Score]]&gt;=3, "Medium Risk", "Low Risk"))</f>
        <v>Low Risk</v>
      </c>
      <c r="R309">
        <f>IF(Table1[[#This Row],[Seconds of Use]]=0,0,Table1[[#This Row],[Customer Value]]/Table1[[#This Row],[Seconds of Use]]*100)</f>
        <v>9.8773574251835132</v>
      </c>
    </row>
    <row r="310" spans="1:18" x14ac:dyDescent="0.35">
      <c r="A310" s="3" t="s">
        <v>331</v>
      </c>
      <c r="B310">
        <v>2</v>
      </c>
      <c r="C310">
        <v>0</v>
      </c>
      <c r="D310">
        <v>32</v>
      </c>
      <c r="E310">
        <v>0</v>
      </c>
      <c r="F310">
        <v>13513</v>
      </c>
      <c r="G310">
        <v>159</v>
      </c>
      <c r="H310">
        <v>0</v>
      </c>
      <c r="I310">
        <v>38</v>
      </c>
      <c r="J310">
        <v>3</v>
      </c>
      <c r="K310">
        <v>1</v>
      </c>
      <c r="L310">
        <v>1</v>
      </c>
      <c r="M310">
        <v>30</v>
      </c>
      <c r="N310">
        <v>546.88</v>
      </c>
      <c r="O310">
        <v>0</v>
      </c>
      <c r="P3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10" t="str">
        <f>IF(Table1[[#This Row],[Fraud_Score]]&gt;=6, "High Risk",IF(Table1[[#This Row],[Fraud_Score]]&gt;=3, "Medium Risk", "Low Risk"))</f>
        <v>Medium Risk</v>
      </c>
      <c r="R310">
        <f>IF(Table1[[#This Row],[Seconds of Use]]=0,0,Table1[[#This Row],[Customer Value]]/Table1[[#This Row],[Seconds of Use]]*100)</f>
        <v>4.047065788499963</v>
      </c>
    </row>
    <row r="311" spans="1:18" x14ac:dyDescent="0.35">
      <c r="A311" s="3" t="s">
        <v>332</v>
      </c>
      <c r="B311">
        <v>2</v>
      </c>
      <c r="C311">
        <v>0</v>
      </c>
      <c r="D311">
        <v>32</v>
      </c>
      <c r="E311">
        <v>0</v>
      </c>
      <c r="F311">
        <v>4255</v>
      </c>
      <c r="G311">
        <v>73</v>
      </c>
      <c r="H311">
        <v>0</v>
      </c>
      <c r="I311">
        <v>19</v>
      </c>
      <c r="J311">
        <v>3</v>
      </c>
      <c r="K311">
        <v>1</v>
      </c>
      <c r="L311">
        <v>1</v>
      </c>
      <c r="M311">
        <v>30</v>
      </c>
      <c r="N311">
        <v>173.12</v>
      </c>
      <c r="O311">
        <v>0</v>
      </c>
      <c r="P3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1" t="str">
        <f>IF(Table1[[#This Row],[Fraud_Score]]&gt;=6, "High Risk",IF(Table1[[#This Row],[Fraud_Score]]&gt;=3, "Medium Risk", "Low Risk"))</f>
        <v>Low Risk</v>
      </c>
      <c r="R311">
        <f>IF(Table1[[#This Row],[Seconds of Use]]=0,0,Table1[[#This Row],[Customer Value]]/Table1[[#This Row],[Seconds of Use]]*100)</f>
        <v>4.0686251468860162</v>
      </c>
    </row>
    <row r="312" spans="1:18" x14ac:dyDescent="0.35">
      <c r="A312" s="3" t="s">
        <v>333</v>
      </c>
      <c r="B312">
        <v>1</v>
      </c>
      <c r="C312">
        <v>0</v>
      </c>
      <c r="D312">
        <v>32</v>
      </c>
      <c r="E312">
        <v>0</v>
      </c>
      <c r="F312">
        <v>5658</v>
      </c>
      <c r="G312">
        <v>85</v>
      </c>
      <c r="H312">
        <v>0</v>
      </c>
      <c r="I312">
        <v>6</v>
      </c>
      <c r="J312">
        <v>2</v>
      </c>
      <c r="K312">
        <v>1</v>
      </c>
      <c r="L312">
        <v>1</v>
      </c>
      <c r="M312">
        <v>25</v>
      </c>
      <c r="N312">
        <v>258.435</v>
      </c>
      <c r="O312">
        <v>0</v>
      </c>
      <c r="P3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2" t="str">
        <f>IF(Table1[[#This Row],[Fraud_Score]]&gt;=6, "High Risk",IF(Table1[[#This Row],[Fraud_Score]]&gt;=3, "Medium Risk", "Low Risk"))</f>
        <v>Low Risk</v>
      </c>
      <c r="R312">
        <f>IF(Table1[[#This Row],[Seconds of Use]]=0,0,Table1[[#This Row],[Customer Value]]/Table1[[#This Row],[Seconds of Use]]*100)</f>
        <v>4.5676033934252391</v>
      </c>
    </row>
    <row r="313" spans="1:18" x14ac:dyDescent="0.35">
      <c r="A313" s="3" t="s">
        <v>334</v>
      </c>
      <c r="B313">
        <v>4</v>
      </c>
      <c r="C313">
        <v>0</v>
      </c>
      <c r="D313">
        <v>32</v>
      </c>
      <c r="E313">
        <v>0</v>
      </c>
      <c r="F313">
        <v>1978</v>
      </c>
      <c r="G313">
        <v>44</v>
      </c>
      <c r="H313">
        <v>0</v>
      </c>
      <c r="I313">
        <v>11</v>
      </c>
      <c r="J313">
        <v>3</v>
      </c>
      <c r="K313">
        <v>1</v>
      </c>
      <c r="L313">
        <v>2</v>
      </c>
      <c r="M313">
        <v>30</v>
      </c>
      <c r="N313">
        <v>80.88</v>
      </c>
      <c r="O313">
        <v>0</v>
      </c>
      <c r="P3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3" t="str">
        <f>IF(Table1[[#This Row],[Fraud_Score]]&gt;=6, "High Risk",IF(Table1[[#This Row],[Fraud_Score]]&gt;=3, "Medium Risk", "Low Risk"))</f>
        <v>Low Risk</v>
      </c>
      <c r="R313">
        <f>IF(Table1[[#This Row],[Seconds of Use]]=0,0,Table1[[#This Row],[Customer Value]]/Table1[[#This Row],[Seconds of Use]]*100)</f>
        <v>4.0889787664307375</v>
      </c>
    </row>
    <row r="314" spans="1:18" x14ac:dyDescent="0.35">
      <c r="A314" s="3" t="s">
        <v>335</v>
      </c>
      <c r="B314">
        <v>20</v>
      </c>
      <c r="C314">
        <v>0</v>
      </c>
      <c r="D314">
        <v>32</v>
      </c>
      <c r="E314">
        <v>2</v>
      </c>
      <c r="F314">
        <v>14880</v>
      </c>
      <c r="G314">
        <v>215</v>
      </c>
      <c r="H314">
        <v>39</v>
      </c>
      <c r="I314">
        <v>26</v>
      </c>
      <c r="J314">
        <v>3</v>
      </c>
      <c r="K314">
        <v>1</v>
      </c>
      <c r="L314">
        <v>1</v>
      </c>
      <c r="M314">
        <v>30</v>
      </c>
      <c r="N314">
        <v>759.8</v>
      </c>
      <c r="O314">
        <v>0</v>
      </c>
      <c r="P3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14" t="str">
        <f>IF(Table1[[#This Row],[Fraud_Score]]&gt;=6, "High Risk",IF(Table1[[#This Row],[Fraud_Score]]&gt;=3, "Medium Risk", "Low Risk"))</f>
        <v>Medium Risk</v>
      </c>
      <c r="R314">
        <f>IF(Table1[[#This Row],[Seconds of Use]]=0,0,Table1[[#This Row],[Customer Value]]/Table1[[#This Row],[Seconds of Use]]*100)</f>
        <v>5.1061827956989241</v>
      </c>
    </row>
    <row r="315" spans="1:18" x14ac:dyDescent="0.35">
      <c r="A315" s="3" t="s">
        <v>336</v>
      </c>
      <c r="B315">
        <v>0</v>
      </c>
      <c r="C315">
        <v>0</v>
      </c>
      <c r="D315">
        <v>32</v>
      </c>
      <c r="E315">
        <v>0</v>
      </c>
      <c r="F315">
        <v>2835</v>
      </c>
      <c r="G315">
        <v>17</v>
      </c>
      <c r="H315">
        <v>468</v>
      </c>
      <c r="I315">
        <v>2</v>
      </c>
      <c r="J315">
        <v>3</v>
      </c>
      <c r="K315">
        <v>1</v>
      </c>
      <c r="L315">
        <v>1</v>
      </c>
      <c r="M315">
        <v>30</v>
      </c>
      <c r="N315">
        <v>1986.08</v>
      </c>
      <c r="O315">
        <v>0</v>
      </c>
      <c r="P3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5" t="str">
        <f>IF(Table1[[#This Row],[Fraud_Score]]&gt;=6, "High Risk",IF(Table1[[#This Row],[Fraud_Score]]&gt;=3, "Medium Risk", "Low Risk"))</f>
        <v>Low Risk</v>
      </c>
      <c r="R315">
        <f>IF(Table1[[#This Row],[Seconds of Use]]=0,0,Table1[[#This Row],[Customer Value]]/Table1[[#This Row],[Seconds of Use]]*100)</f>
        <v>70.055731922398593</v>
      </c>
    </row>
    <row r="316" spans="1:18" x14ac:dyDescent="0.35">
      <c r="A316" s="3" t="s">
        <v>337</v>
      </c>
      <c r="B316">
        <v>4</v>
      </c>
      <c r="C316">
        <v>0</v>
      </c>
      <c r="D316">
        <v>31</v>
      </c>
      <c r="E316">
        <v>0</v>
      </c>
      <c r="F316">
        <v>15225</v>
      </c>
      <c r="G316">
        <v>172</v>
      </c>
      <c r="H316">
        <v>135</v>
      </c>
      <c r="I316">
        <v>24</v>
      </c>
      <c r="J316">
        <v>2</v>
      </c>
      <c r="K316">
        <v>1</v>
      </c>
      <c r="L316">
        <v>1</v>
      </c>
      <c r="M316">
        <v>25</v>
      </c>
      <c r="N316">
        <v>1300.365</v>
      </c>
      <c r="O316">
        <v>0</v>
      </c>
      <c r="P3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16" t="str">
        <f>IF(Table1[[#This Row],[Fraud_Score]]&gt;=6, "High Risk",IF(Table1[[#This Row],[Fraud_Score]]&gt;=3, "Medium Risk", "Low Risk"))</f>
        <v>Medium Risk</v>
      </c>
      <c r="R316">
        <f>IF(Table1[[#This Row],[Seconds of Use]]=0,0,Table1[[#This Row],[Customer Value]]/Table1[[#This Row],[Seconds of Use]]*100)</f>
        <v>8.5409852216748767</v>
      </c>
    </row>
    <row r="317" spans="1:18" x14ac:dyDescent="0.35">
      <c r="A317" s="3" t="s">
        <v>338</v>
      </c>
      <c r="B317">
        <v>0</v>
      </c>
      <c r="C317">
        <v>0</v>
      </c>
      <c r="D317">
        <v>31</v>
      </c>
      <c r="E317">
        <v>0</v>
      </c>
      <c r="F317">
        <v>6240</v>
      </c>
      <c r="G317">
        <v>76</v>
      </c>
      <c r="H317">
        <v>171</v>
      </c>
      <c r="I317">
        <v>20</v>
      </c>
      <c r="J317">
        <v>3</v>
      </c>
      <c r="K317">
        <v>1</v>
      </c>
      <c r="L317">
        <v>1</v>
      </c>
      <c r="M317">
        <v>30</v>
      </c>
      <c r="N317">
        <v>936.64</v>
      </c>
      <c r="O317">
        <v>0</v>
      </c>
      <c r="P3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7" t="str">
        <f>IF(Table1[[#This Row],[Fraud_Score]]&gt;=6, "High Risk",IF(Table1[[#This Row],[Fraud_Score]]&gt;=3, "Medium Risk", "Low Risk"))</f>
        <v>Low Risk</v>
      </c>
      <c r="R317">
        <f>IF(Table1[[#This Row],[Seconds of Use]]=0,0,Table1[[#This Row],[Customer Value]]/Table1[[#This Row],[Seconds of Use]]*100)</f>
        <v>15.010256410256408</v>
      </c>
    </row>
    <row r="318" spans="1:18" x14ac:dyDescent="0.35">
      <c r="A318" s="3" t="s">
        <v>339</v>
      </c>
      <c r="B318">
        <v>0</v>
      </c>
      <c r="C318">
        <v>0</v>
      </c>
      <c r="D318">
        <v>31</v>
      </c>
      <c r="E318">
        <v>0</v>
      </c>
      <c r="F318">
        <v>615</v>
      </c>
      <c r="G318">
        <v>4</v>
      </c>
      <c r="H318">
        <v>0</v>
      </c>
      <c r="I318">
        <v>5</v>
      </c>
      <c r="J318">
        <v>2</v>
      </c>
      <c r="K318">
        <v>1</v>
      </c>
      <c r="L318">
        <v>2</v>
      </c>
      <c r="M318">
        <v>25</v>
      </c>
      <c r="N318">
        <v>27.855</v>
      </c>
      <c r="O318">
        <v>0</v>
      </c>
      <c r="P3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8" t="str">
        <f>IF(Table1[[#This Row],[Fraud_Score]]&gt;=6, "High Risk",IF(Table1[[#This Row],[Fraud_Score]]&gt;=3, "Medium Risk", "Low Risk"))</f>
        <v>Low Risk</v>
      </c>
      <c r="R318">
        <f>IF(Table1[[#This Row],[Seconds of Use]]=0,0,Table1[[#This Row],[Customer Value]]/Table1[[#This Row],[Seconds of Use]]*100)</f>
        <v>4.5292682926829269</v>
      </c>
    </row>
    <row r="319" spans="1:18" x14ac:dyDescent="0.35">
      <c r="A319" s="3" t="s">
        <v>340</v>
      </c>
      <c r="B319">
        <v>0</v>
      </c>
      <c r="C319">
        <v>0</v>
      </c>
      <c r="D319">
        <v>32</v>
      </c>
      <c r="E319">
        <v>0</v>
      </c>
      <c r="F319">
        <v>450</v>
      </c>
      <c r="G319">
        <v>4</v>
      </c>
      <c r="H319">
        <v>0</v>
      </c>
      <c r="I319">
        <v>2</v>
      </c>
      <c r="J319">
        <v>2</v>
      </c>
      <c r="K319">
        <v>1</v>
      </c>
      <c r="L319">
        <v>2</v>
      </c>
      <c r="M319">
        <v>25</v>
      </c>
      <c r="N319">
        <v>20.43</v>
      </c>
      <c r="O319">
        <v>0</v>
      </c>
      <c r="P3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9" t="str">
        <f>IF(Table1[[#This Row],[Fraud_Score]]&gt;=6, "High Risk",IF(Table1[[#This Row],[Fraud_Score]]&gt;=3, "Medium Risk", "Low Risk"))</f>
        <v>Low Risk</v>
      </c>
      <c r="R319">
        <f>IF(Table1[[#This Row],[Seconds of Use]]=0,0,Table1[[#This Row],[Customer Value]]/Table1[[#This Row],[Seconds of Use]]*100)</f>
        <v>4.5399999999999991</v>
      </c>
    </row>
    <row r="320" spans="1:18" x14ac:dyDescent="0.35">
      <c r="A320" s="3" t="s">
        <v>341</v>
      </c>
      <c r="B320">
        <v>0</v>
      </c>
      <c r="C320">
        <v>0</v>
      </c>
      <c r="D320">
        <v>31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2</v>
      </c>
      <c r="K320">
        <v>1</v>
      </c>
      <c r="L320">
        <v>2</v>
      </c>
      <c r="M320">
        <v>25</v>
      </c>
      <c r="N320">
        <v>0</v>
      </c>
      <c r="O320">
        <v>1</v>
      </c>
      <c r="P3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20" t="str">
        <f>IF(Table1[[#This Row],[Fraud_Score]]&gt;=6, "High Risk",IF(Table1[[#This Row],[Fraud_Score]]&gt;=3, "Medium Risk", "Low Risk"))</f>
        <v>Low Risk</v>
      </c>
      <c r="R320">
        <f>IF(Table1[[#This Row],[Seconds of Use]]=0,0,Table1[[#This Row],[Customer Value]]/Table1[[#This Row],[Seconds of Use]]*100)</f>
        <v>0</v>
      </c>
    </row>
    <row r="321" spans="1:18" x14ac:dyDescent="0.35">
      <c r="A321" s="3" t="s">
        <v>342</v>
      </c>
      <c r="B321">
        <v>0</v>
      </c>
      <c r="C321">
        <v>0</v>
      </c>
      <c r="D321">
        <v>31</v>
      </c>
      <c r="E321">
        <v>0</v>
      </c>
      <c r="F321">
        <v>7248</v>
      </c>
      <c r="G321">
        <v>117</v>
      </c>
      <c r="H321">
        <v>369</v>
      </c>
      <c r="I321">
        <v>37</v>
      </c>
      <c r="J321">
        <v>2</v>
      </c>
      <c r="K321">
        <v>1</v>
      </c>
      <c r="L321">
        <v>1</v>
      </c>
      <c r="M321">
        <v>25</v>
      </c>
      <c r="N321">
        <v>1991.925</v>
      </c>
      <c r="O321">
        <v>0</v>
      </c>
      <c r="P3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21" t="str">
        <f>IF(Table1[[#This Row],[Fraud_Score]]&gt;=6, "High Risk",IF(Table1[[#This Row],[Fraud_Score]]&gt;=3, "Medium Risk", "Low Risk"))</f>
        <v>Low Risk</v>
      </c>
      <c r="R321">
        <f>IF(Table1[[#This Row],[Seconds of Use]]=0,0,Table1[[#This Row],[Customer Value]]/Table1[[#This Row],[Seconds of Use]]*100)</f>
        <v>27.482408940397352</v>
      </c>
    </row>
    <row r="322" spans="1:18" x14ac:dyDescent="0.35">
      <c r="A322" s="3" t="s">
        <v>343</v>
      </c>
      <c r="B322">
        <v>2</v>
      </c>
      <c r="C322">
        <v>0</v>
      </c>
      <c r="D322">
        <v>31</v>
      </c>
      <c r="E322">
        <v>0</v>
      </c>
      <c r="F322">
        <v>11205</v>
      </c>
      <c r="G322">
        <v>144</v>
      </c>
      <c r="H322">
        <v>0</v>
      </c>
      <c r="I322">
        <v>41</v>
      </c>
      <c r="J322">
        <v>3</v>
      </c>
      <c r="K322">
        <v>1</v>
      </c>
      <c r="L322">
        <v>1</v>
      </c>
      <c r="M322">
        <v>30</v>
      </c>
      <c r="N322">
        <v>453.96</v>
      </c>
      <c r="O322">
        <v>0</v>
      </c>
      <c r="P3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22" t="str">
        <f>IF(Table1[[#This Row],[Fraud_Score]]&gt;=6, "High Risk",IF(Table1[[#This Row],[Fraud_Score]]&gt;=3, "Medium Risk", "Low Risk"))</f>
        <v>Medium Risk</v>
      </c>
      <c r="R322">
        <f>IF(Table1[[#This Row],[Seconds of Use]]=0,0,Table1[[#This Row],[Customer Value]]/Table1[[#This Row],[Seconds of Use]]*100)</f>
        <v>4.0514056224899599</v>
      </c>
    </row>
    <row r="323" spans="1:18" x14ac:dyDescent="0.35">
      <c r="A323" s="3" t="s">
        <v>344</v>
      </c>
      <c r="B323">
        <v>3</v>
      </c>
      <c r="C323">
        <v>0</v>
      </c>
      <c r="D323">
        <v>31</v>
      </c>
      <c r="E323">
        <v>0</v>
      </c>
      <c r="F323">
        <v>6458</v>
      </c>
      <c r="G323">
        <v>65</v>
      </c>
      <c r="H323">
        <v>93</v>
      </c>
      <c r="I323">
        <v>31</v>
      </c>
      <c r="J323">
        <v>2</v>
      </c>
      <c r="K323">
        <v>1</v>
      </c>
      <c r="L323">
        <v>1</v>
      </c>
      <c r="M323">
        <v>25</v>
      </c>
      <c r="N323">
        <v>712.03499999999997</v>
      </c>
      <c r="O323">
        <v>0</v>
      </c>
      <c r="P3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23" t="str">
        <f>IF(Table1[[#This Row],[Fraud_Score]]&gt;=6, "High Risk",IF(Table1[[#This Row],[Fraud_Score]]&gt;=3, "Medium Risk", "Low Risk"))</f>
        <v>Low Risk</v>
      </c>
      <c r="R323">
        <f>IF(Table1[[#This Row],[Seconds of Use]]=0,0,Table1[[#This Row],[Customer Value]]/Table1[[#This Row],[Seconds of Use]]*100)</f>
        <v>11.025627129142149</v>
      </c>
    </row>
    <row r="324" spans="1:18" x14ac:dyDescent="0.35">
      <c r="A324" s="3" t="s">
        <v>345</v>
      </c>
      <c r="B324">
        <v>18</v>
      </c>
      <c r="C324">
        <v>1</v>
      </c>
      <c r="D324">
        <v>27</v>
      </c>
      <c r="E324">
        <v>0</v>
      </c>
      <c r="F324">
        <v>695</v>
      </c>
      <c r="G324">
        <v>37</v>
      </c>
      <c r="H324">
        <v>1</v>
      </c>
      <c r="I324">
        <v>11</v>
      </c>
      <c r="J324">
        <v>2</v>
      </c>
      <c r="K324">
        <v>1</v>
      </c>
      <c r="L324">
        <v>2</v>
      </c>
      <c r="M324">
        <v>25</v>
      </c>
      <c r="N324">
        <v>37.44</v>
      </c>
      <c r="O324">
        <v>1</v>
      </c>
      <c r="P3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24" t="str">
        <f>IF(Table1[[#This Row],[Fraud_Score]]&gt;=6, "High Risk",IF(Table1[[#This Row],[Fraud_Score]]&gt;=3, "Medium Risk", "Low Risk"))</f>
        <v>Medium Risk</v>
      </c>
      <c r="R324">
        <f>IF(Table1[[#This Row],[Seconds of Use]]=0,0,Table1[[#This Row],[Customer Value]]/Table1[[#This Row],[Seconds of Use]]*100)</f>
        <v>5.3870503597122292</v>
      </c>
    </row>
    <row r="325" spans="1:18" x14ac:dyDescent="0.35">
      <c r="A325" s="3" t="s">
        <v>346</v>
      </c>
      <c r="B325">
        <v>16</v>
      </c>
      <c r="C325">
        <v>0</v>
      </c>
      <c r="D325">
        <v>30</v>
      </c>
      <c r="E325">
        <v>7</v>
      </c>
      <c r="F325">
        <v>10175</v>
      </c>
      <c r="G325">
        <v>83</v>
      </c>
      <c r="H325">
        <v>0</v>
      </c>
      <c r="I325">
        <v>36</v>
      </c>
      <c r="J325">
        <v>4</v>
      </c>
      <c r="K325">
        <v>1</v>
      </c>
      <c r="L325">
        <v>1</v>
      </c>
      <c r="M325">
        <v>45</v>
      </c>
      <c r="N325">
        <v>256.45</v>
      </c>
      <c r="O325">
        <v>0</v>
      </c>
      <c r="P3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25" t="str">
        <f>IF(Table1[[#This Row],[Fraud_Score]]&gt;=6, "High Risk",IF(Table1[[#This Row],[Fraud_Score]]&gt;=3, "Medium Risk", "Low Risk"))</f>
        <v>Low Risk</v>
      </c>
      <c r="R325">
        <f>IF(Table1[[#This Row],[Seconds of Use]]=0,0,Table1[[#This Row],[Customer Value]]/Table1[[#This Row],[Seconds of Use]]*100)</f>
        <v>2.5203931203931202</v>
      </c>
    </row>
    <row r="326" spans="1:18" x14ac:dyDescent="0.35">
      <c r="A326" s="3" t="s">
        <v>347</v>
      </c>
      <c r="B326">
        <v>8</v>
      </c>
      <c r="C326">
        <v>1</v>
      </c>
      <c r="D326">
        <v>30</v>
      </c>
      <c r="E326">
        <v>0</v>
      </c>
      <c r="F326">
        <v>5558</v>
      </c>
      <c r="G326">
        <v>88</v>
      </c>
      <c r="H326">
        <v>11</v>
      </c>
      <c r="I326">
        <v>18</v>
      </c>
      <c r="J326">
        <v>2</v>
      </c>
      <c r="K326">
        <v>1</v>
      </c>
      <c r="L326">
        <v>1</v>
      </c>
      <c r="M326">
        <v>25</v>
      </c>
      <c r="N326">
        <v>303.57</v>
      </c>
      <c r="O326">
        <v>1</v>
      </c>
      <c r="P3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26" t="str">
        <f>IF(Table1[[#This Row],[Fraud_Score]]&gt;=6, "High Risk",IF(Table1[[#This Row],[Fraud_Score]]&gt;=3, "Medium Risk", "Low Risk"))</f>
        <v>Medium Risk</v>
      </c>
      <c r="R326">
        <f>IF(Table1[[#This Row],[Seconds of Use]]=0,0,Table1[[#This Row],[Customer Value]]/Table1[[#This Row],[Seconds of Use]]*100)</f>
        <v>5.4618567830154729</v>
      </c>
    </row>
    <row r="327" spans="1:18" x14ac:dyDescent="0.35">
      <c r="A327" s="3" t="s">
        <v>348</v>
      </c>
      <c r="B327">
        <v>0</v>
      </c>
      <c r="C327">
        <v>0</v>
      </c>
      <c r="D327">
        <v>28</v>
      </c>
      <c r="E327">
        <v>0</v>
      </c>
      <c r="F327">
        <v>2580</v>
      </c>
      <c r="G327">
        <v>12</v>
      </c>
      <c r="H327">
        <v>0</v>
      </c>
      <c r="I327">
        <v>8</v>
      </c>
      <c r="J327">
        <v>3</v>
      </c>
      <c r="K327">
        <v>1</v>
      </c>
      <c r="L327">
        <v>1</v>
      </c>
      <c r="M327">
        <v>30</v>
      </c>
      <c r="N327">
        <v>103.68</v>
      </c>
      <c r="O327">
        <v>0</v>
      </c>
      <c r="P3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27" t="str">
        <f>IF(Table1[[#This Row],[Fraud_Score]]&gt;=6, "High Risk",IF(Table1[[#This Row],[Fraud_Score]]&gt;=3, "Medium Risk", "Low Risk"))</f>
        <v>Low Risk</v>
      </c>
      <c r="R327">
        <f>IF(Table1[[#This Row],[Seconds of Use]]=0,0,Table1[[#This Row],[Customer Value]]/Table1[[#This Row],[Seconds of Use]]*100)</f>
        <v>4.0186046511627911</v>
      </c>
    </row>
    <row r="328" spans="1:18" x14ac:dyDescent="0.35">
      <c r="A328" s="3" t="s">
        <v>349</v>
      </c>
      <c r="B328">
        <v>4</v>
      </c>
      <c r="C328">
        <v>0</v>
      </c>
      <c r="D328">
        <v>29</v>
      </c>
      <c r="E328">
        <v>0</v>
      </c>
      <c r="F328">
        <v>2730</v>
      </c>
      <c r="G328">
        <v>31</v>
      </c>
      <c r="H328">
        <v>0</v>
      </c>
      <c r="I328">
        <v>10</v>
      </c>
      <c r="J328">
        <v>2</v>
      </c>
      <c r="K328">
        <v>1</v>
      </c>
      <c r="L328">
        <v>2</v>
      </c>
      <c r="M328">
        <v>25</v>
      </c>
      <c r="N328">
        <v>124.245</v>
      </c>
      <c r="O328">
        <v>1</v>
      </c>
      <c r="P3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28" t="str">
        <f>IF(Table1[[#This Row],[Fraud_Score]]&gt;=6, "High Risk",IF(Table1[[#This Row],[Fraud_Score]]&gt;=3, "Medium Risk", "Low Risk"))</f>
        <v>Low Risk</v>
      </c>
      <c r="R328">
        <f>IF(Table1[[#This Row],[Seconds of Use]]=0,0,Table1[[#This Row],[Customer Value]]/Table1[[#This Row],[Seconds of Use]]*100)</f>
        <v>4.5510989010989009</v>
      </c>
    </row>
    <row r="329" spans="1:18" x14ac:dyDescent="0.35">
      <c r="A329" s="3" t="s">
        <v>350</v>
      </c>
      <c r="B329">
        <v>4</v>
      </c>
      <c r="C329">
        <v>1</v>
      </c>
      <c r="D329">
        <v>30</v>
      </c>
      <c r="E329">
        <v>0</v>
      </c>
      <c r="F329">
        <v>2008</v>
      </c>
      <c r="G329">
        <v>34</v>
      </c>
      <c r="H329">
        <v>19</v>
      </c>
      <c r="I329">
        <v>25</v>
      </c>
      <c r="J329">
        <v>3</v>
      </c>
      <c r="K329">
        <v>1</v>
      </c>
      <c r="L329">
        <v>2</v>
      </c>
      <c r="M329">
        <v>30</v>
      </c>
      <c r="N329">
        <v>157.68</v>
      </c>
      <c r="O329">
        <v>1</v>
      </c>
      <c r="P3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29" t="str">
        <f>IF(Table1[[#This Row],[Fraud_Score]]&gt;=6, "High Risk",IF(Table1[[#This Row],[Fraud_Score]]&gt;=3, "Medium Risk", "Low Risk"))</f>
        <v>Medium Risk</v>
      </c>
      <c r="R329">
        <f>IF(Table1[[#This Row],[Seconds of Use]]=0,0,Table1[[#This Row],[Customer Value]]/Table1[[#This Row],[Seconds of Use]]*100)</f>
        <v>7.8525896414342631</v>
      </c>
    </row>
    <row r="330" spans="1:18" x14ac:dyDescent="0.35">
      <c r="A330" s="3" t="s">
        <v>351</v>
      </c>
      <c r="B330">
        <v>0</v>
      </c>
      <c r="C330">
        <v>0</v>
      </c>
      <c r="D330">
        <v>30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3</v>
      </c>
      <c r="K330">
        <v>1</v>
      </c>
      <c r="L330">
        <v>2</v>
      </c>
      <c r="M330">
        <v>30</v>
      </c>
      <c r="N330">
        <v>0</v>
      </c>
      <c r="O330">
        <v>1</v>
      </c>
      <c r="P3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30" t="str">
        <f>IF(Table1[[#This Row],[Fraud_Score]]&gt;=6, "High Risk",IF(Table1[[#This Row],[Fraud_Score]]&gt;=3, "Medium Risk", "Low Risk"))</f>
        <v>Low Risk</v>
      </c>
      <c r="R330">
        <f>IF(Table1[[#This Row],[Seconds of Use]]=0,0,Table1[[#This Row],[Customer Value]]/Table1[[#This Row],[Seconds of Use]]*100)</f>
        <v>0</v>
      </c>
    </row>
    <row r="331" spans="1:18" x14ac:dyDescent="0.35">
      <c r="A331" s="3" t="s">
        <v>352</v>
      </c>
      <c r="B331">
        <v>0</v>
      </c>
      <c r="C331">
        <v>0</v>
      </c>
      <c r="D331">
        <v>30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3</v>
      </c>
      <c r="K331">
        <v>1</v>
      </c>
      <c r="L331">
        <v>1</v>
      </c>
      <c r="M331">
        <v>30</v>
      </c>
      <c r="N331">
        <v>0</v>
      </c>
      <c r="O331">
        <v>0</v>
      </c>
      <c r="P3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31" t="str">
        <f>IF(Table1[[#This Row],[Fraud_Score]]&gt;=6, "High Risk",IF(Table1[[#This Row],[Fraud_Score]]&gt;=3, "Medium Risk", "Low Risk"))</f>
        <v>Low Risk</v>
      </c>
      <c r="R331">
        <f>IF(Table1[[#This Row],[Seconds of Use]]=0,0,Table1[[#This Row],[Customer Value]]/Table1[[#This Row],[Seconds of Use]]*100)</f>
        <v>0</v>
      </c>
    </row>
    <row r="332" spans="1:18" x14ac:dyDescent="0.35">
      <c r="A332" s="3" t="s">
        <v>353</v>
      </c>
      <c r="B332">
        <v>0</v>
      </c>
      <c r="C332">
        <v>0</v>
      </c>
      <c r="D332">
        <v>27</v>
      </c>
      <c r="E332">
        <v>0</v>
      </c>
      <c r="F332">
        <v>6525</v>
      </c>
      <c r="G332">
        <v>87</v>
      </c>
      <c r="H332">
        <v>0</v>
      </c>
      <c r="I332">
        <v>16</v>
      </c>
      <c r="J332">
        <v>4</v>
      </c>
      <c r="K332">
        <v>1</v>
      </c>
      <c r="L332">
        <v>1</v>
      </c>
      <c r="M332">
        <v>45</v>
      </c>
      <c r="N332">
        <v>165.3</v>
      </c>
      <c r="O332">
        <v>0</v>
      </c>
      <c r="P3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32" t="str">
        <f>IF(Table1[[#This Row],[Fraud_Score]]&gt;=6, "High Risk",IF(Table1[[#This Row],[Fraud_Score]]&gt;=3, "Medium Risk", "Low Risk"))</f>
        <v>Low Risk</v>
      </c>
      <c r="R332">
        <f>IF(Table1[[#This Row],[Seconds of Use]]=0,0,Table1[[#This Row],[Customer Value]]/Table1[[#This Row],[Seconds of Use]]*100)</f>
        <v>2.5333333333333337</v>
      </c>
    </row>
    <row r="333" spans="1:18" x14ac:dyDescent="0.35">
      <c r="A333" s="3" t="s">
        <v>354</v>
      </c>
      <c r="B333">
        <v>0</v>
      </c>
      <c r="C333">
        <v>1</v>
      </c>
      <c r="D333">
        <v>30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4</v>
      </c>
      <c r="K333">
        <v>1</v>
      </c>
      <c r="L333">
        <v>2</v>
      </c>
      <c r="M333">
        <v>45</v>
      </c>
      <c r="N333">
        <v>0</v>
      </c>
      <c r="O333">
        <v>1</v>
      </c>
      <c r="P3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33" t="str">
        <f>IF(Table1[[#This Row],[Fraud_Score]]&gt;=6, "High Risk",IF(Table1[[#This Row],[Fraud_Score]]&gt;=3, "Medium Risk", "Low Risk"))</f>
        <v>Medium Risk</v>
      </c>
      <c r="R333">
        <f>IF(Table1[[#This Row],[Seconds of Use]]=0,0,Table1[[#This Row],[Customer Value]]/Table1[[#This Row],[Seconds of Use]]*100)</f>
        <v>0</v>
      </c>
    </row>
    <row r="334" spans="1:18" x14ac:dyDescent="0.35">
      <c r="A334" s="3" t="s">
        <v>355</v>
      </c>
      <c r="B334">
        <v>0</v>
      </c>
      <c r="C334">
        <v>1</v>
      </c>
      <c r="D334">
        <v>30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5</v>
      </c>
      <c r="K334">
        <v>1</v>
      </c>
      <c r="L334">
        <v>1</v>
      </c>
      <c r="M334">
        <v>55</v>
      </c>
      <c r="N334">
        <v>0</v>
      </c>
      <c r="O334">
        <v>1</v>
      </c>
      <c r="P3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34" t="str">
        <f>IF(Table1[[#This Row],[Fraud_Score]]&gt;=6, "High Risk",IF(Table1[[#This Row],[Fraud_Score]]&gt;=3, "Medium Risk", "Low Risk"))</f>
        <v>Medium Risk</v>
      </c>
      <c r="R334">
        <f>IF(Table1[[#This Row],[Seconds of Use]]=0,0,Table1[[#This Row],[Customer Value]]/Table1[[#This Row],[Seconds of Use]]*100)</f>
        <v>0</v>
      </c>
    </row>
    <row r="335" spans="1:18" x14ac:dyDescent="0.35">
      <c r="A335" s="3" t="s">
        <v>356</v>
      </c>
      <c r="B335">
        <v>20</v>
      </c>
      <c r="C335">
        <v>0</v>
      </c>
      <c r="D335">
        <v>25</v>
      </c>
      <c r="E335">
        <v>2</v>
      </c>
      <c r="F335">
        <v>15815</v>
      </c>
      <c r="G335">
        <v>228</v>
      </c>
      <c r="H335">
        <v>0</v>
      </c>
      <c r="I335">
        <v>74</v>
      </c>
      <c r="J335">
        <v>2</v>
      </c>
      <c r="K335">
        <v>1</v>
      </c>
      <c r="L335">
        <v>1</v>
      </c>
      <c r="M335">
        <v>25</v>
      </c>
      <c r="N335">
        <v>721.93499999999995</v>
      </c>
      <c r="O335">
        <v>0</v>
      </c>
      <c r="P3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35" t="str">
        <f>IF(Table1[[#This Row],[Fraud_Score]]&gt;=6, "High Risk",IF(Table1[[#This Row],[Fraud_Score]]&gt;=3, "Medium Risk", "Low Risk"))</f>
        <v>Medium Risk</v>
      </c>
      <c r="R335">
        <f>IF(Table1[[#This Row],[Seconds of Use]]=0,0,Table1[[#This Row],[Customer Value]]/Table1[[#This Row],[Seconds of Use]]*100)</f>
        <v>4.5648751185583309</v>
      </c>
    </row>
    <row r="336" spans="1:18" x14ac:dyDescent="0.35">
      <c r="A336" s="3" t="s">
        <v>357</v>
      </c>
      <c r="B336">
        <v>1</v>
      </c>
      <c r="C336">
        <v>0</v>
      </c>
      <c r="D336">
        <v>28</v>
      </c>
      <c r="E336">
        <v>2</v>
      </c>
      <c r="F336">
        <v>6705</v>
      </c>
      <c r="G336">
        <v>106</v>
      </c>
      <c r="H336">
        <v>256</v>
      </c>
      <c r="I336">
        <v>27</v>
      </c>
      <c r="J336">
        <v>2</v>
      </c>
      <c r="K336">
        <v>2</v>
      </c>
      <c r="L336">
        <v>1</v>
      </c>
      <c r="M336">
        <v>25</v>
      </c>
      <c r="N336">
        <v>1458.4949999999999</v>
      </c>
      <c r="O336">
        <v>0</v>
      </c>
      <c r="P3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36" t="str">
        <f>IF(Table1[[#This Row],[Fraud_Score]]&gt;=6, "High Risk",IF(Table1[[#This Row],[Fraud_Score]]&gt;=3, "Medium Risk", "Low Risk"))</f>
        <v>Low Risk</v>
      </c>
      <c r="R336">
        <f>IF(Table1[[#This Row],[Seconds of Use]]=0,0,Table1[[#This Row],[Customer Value]]/Table1[[#This Row],[Seconds of Use]]*100)</f>
        <v>21.752348993288589</v>
      </c>
    </row>
    <row r="337" spans="1:18" x14ac:dyDescent="0.35">
      <c r="A337" s="3" t="s">
        <v>358</v>
      </c>
      <c r="B337">
        <v>0</v>
      </c>
      <c r="C337">
        <v>0</v>
      </c>
      <c r="D337">
        <v>30</v>
      </c>
      <c r="E337">
        <v>0</v>
      </c>
      <c r="F337">
        <v>3458</v>
      </c>
      <c r="G337">
        <v>72</v>
      </c>
      <c r="H337">
        <v>0</v>
      </c>
      <c r="I337">
        <v>22</v>
      </c>
      <c r="J337">
        <v>2</v>
      </c>
      <c r="K337">
        <v>1</v>
      </c>
      <c r="L337">
        <v>1</v>
      </c>
      <c r="M337">
        <v>25</v>
      </c>
      <c r="N337">
        <v>158.85</v>
      </c>
      <c r="O337">
        <v>0</v>
      </c>
      <c r="P3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37" t="str">
        <f>IF(Table1[[#This Row],[Fraud_Score]]&gt;=6, "High Risk",IF(Table1[[#This Row],[Fraud_Score]]&gt;=3, "Medium Risk", "Low Risk"))</f>
        <v>Low Risk</v>
      </c>
      <c r="R337">
        <f>IF(Table1[[#This Row],[Seconds of Use]]=0,0,Table1[[#This Row],[Customer Value]]/Table1[[#This Row],[Seconds of Use]]*100)</f>
        <v>4.5936957779063041</v>
      </c>
    </row>
    <row r="338" spans="1:18" x14ac:dyDescent="0.35">
      <c r="A338" s="3" t="s">
        <v>359</v>
      </c>
      <c r="B338">
        <v>0</v>
      </c>
      <c r="C338">
        <v>0</v>
      </c>
      <c r="D338">
        <v>29</v>
      </c>
      <c r="E338">
        <v>0</v>
      </c>
      <c r="F338">
        <v>1405</v>
      </c>
      <c r="G338">
        <v>34</v>
      </c>
      <c r="H338">
        <v>23</v>
      </c>
      <c r="I338">
        <v>14</v>
      </c>
      <c r="J338">
        <v>3</v>
      </c>
      <c r="K338">
        <v>1</v>
      </c>
      <c r="L338">
        <v>2</v>
      </c>
      <c r="M338">
        <v>30</v>
      </c>
      <c r="N338">
        <v>149.56</v>
      </c>
      <c r="O338">
        <v>0</v>
      </c>
      <c r="P3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38" t="str">
        <f>IF(Table1[[#This Row],[Fraud_Score]]&gt;=6, "High Risk",IF(Table1[[#This Row],[Fraud_Score]]&gt;=3, "Medium Risk", "Low Risk"))</f>
        <v>Low Risk</v>
      </c>
      <c r="R338">
        <f>IF(Table1[[#This Row],[Seconds of Use]]=0,0,Table1[[#This Row],[Customer Value]]/Table1[[#This Row],[Seconds of Use]]*100)</f>
        <v>10.644839857651247</v>
      </c>
    </row>
    <row r="339" spans="1:18" x14ac:dyDescent="0.35">
      <c r="A339" s="3" t="s">
        <v>360</v>
      </c>
      <c r="B339">
        <v>1</v>
      </c>
      <c r="C339">
        <v>0</v>
      </c>
      <c r="D339">
        <v>30</v>
      </c>
      <c r="E339">
        <v>0</v>
      </c>
      <c r="F339">
        <v>2520</v>
      </c>
      <c r="G339">
        <v>43</v>
      </c>
      <c r="H339">
        <v>160</v>
      </c>
      <c r="I339">
        <v>17</v>
      </c>
      <c r="J339">
        <v>2</v>
      </c>
      <c r="K339">
        <v>1</v>
      </c>
      <c r="L339">
        <v>1</v>
      </c>
      <c r="M339">
        <v>25</v>
      </c>
      <c r="N339">
        <v>835.33500000000004</v>
      </c>
      <c r="O339">
        <v>0</v>
      </c>
      <c r="P3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39" t="str">
        <f>IF(Table1[[#This Row],[Fraud_Score]]&gt;=6, "High Risk",IF(Table1[[#This Row],[Fraud_Score]]&gt;=3, "Medium Risk", "Low Risk"))</f>
        <v>Low Risk</v>
      </c>
      <c r="R339">
        <f>IF(Table1[[#This Row],[Seconds of Use]]=0,0,Table1[[#This Row],[Customer Value]]/Table1[[#This Row],[Seconds of Use]]*100)</f>
        <v>33.148214285714289</v>
      </c>
    </row>
    <row r="340" spans="1:18" x14ac:dyDescent="0.35">
      <c r="A340" s="3" t="s">
        <v>361</v>
      </c>
      <c r="B340">
        <v>0</v>
      </c>
      <c r="C340">
        <v>0</v>
      </c>
      <c r="D340">
        <v>21</v>
      </c>
      <c r="E340">
        <v>0</v>
      </c>
      <c r="F340">
        <v>1055</v>
      </c>
      <c r="G340">
        <v>26</v>
      </c>
      <c r="H340">
        <v>178</v>
      </c>
      <c r="I340">
        <v>5</v>
      </c>
      <c r="J340">
        <v>2</v>
      </c>
      <c r="K340">
        <v>2</v>
      </c>
      <c r="L340">
        <v>1</v>
      </c>
      <c r="M340">
        <v>25</v>
      </c>
      <c r="N340">
        <v>849.64499999999998</v>
      </c>
      <c r="O340">
        <v>0</v>
      </c>
      <c r="P3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40" t="str">
        <f>IF(Table1[[#This Row],[Fraud_Score]]&gt;=6, "High Risk",IF(Table1[[#This Row],[Fraud_Score]]&gt;=3, "Medium Risk", "Low Risk"))</f>
        <v>Low Risk</v>
      </c>
      <c r="R340">
        <f>IF(Table1[[#This Row],[Seconds of Use]]=0,0,Table1[[#This Row],[Customer Value]]/Table1[[#This Row],[Seconds of Use]]*100)</f>
        <v>80.535071090047396</v>
      </c>
    </row>
    <row r="341" spans="1:18" x14ac:dyDescent="0.35">
      <c r="A341" s="3" t="s">
        <v>362</v>
      </c>
      <c r="B341">
        <v>0</v>
      </c>
      <c r="C341">
        <v>0</v>
      </c>
      <c r="D341">
        <v>20</v>
      </c>
      <c r="E341">
        <v>0</v>
      </c>
      <c r="F341">
        <v>1308</v>
      </c>
      <c r="G341">
        <v>29</v>
      </c>
      <c r="H341">
        <v>15</v>
      </c>
      <c r="I341">
        <v>62</v>
      </c>
      <c r="J341">
        <v>4</v>
      </c>
      <c r="K341">
        <v>1</v>
      </c>
      <c r="L341">
        <v>1</v>
      </c>
      <c r="M341">
        <v>45</v>
      </c>
      <c r="N341">
        <v>70.924999999999997</v>
      </c>
      <c r="O341">
        <v>0</v>
      </c>
      <c r="P3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41" t="str">
        <f>IF(Table1[[#This Row],[Fraud_Score]]&gt;=6, "High Risk",IF(Table1[[#This Row],[Fraud_Score]]&gt;=3, "Medium Risk", "Low Risk"))</f>
        <v>Low Risk</v>
      </c>
      <c r="R341">
        <f>IF(Table1[[#This Row],[Seconds of Use]]=0,0,Table1[[#This Row],[Customer Value]]/Table1[[#This Row],[Seconds of Use]]*100)</f>
        <v>5.4224006116207955</v>
      </c>
    </row>
    <row r="342" spans="1:18" x14ac:dyDescent="0.35">
      <c r="A342" s="3" t="s">
        <v>363</v>
      </c>
      <c r="B342">
        <v>6</v>
      </c>
      <c r="C342">
        <v>0</v>
      </c>
      <c r="D342">
        <v>21</v>
      </c>
      <c r="E342">
        <v>0</v>
      </c>
      <c r="F342">
        <v>440</v>
      </c>
      <c r="G342">
        <v>15</v>
      </c>
      <c r="H342">
        <v>0</v>
      </c>
      <c r="I342">
        <v>1</v>
      </c>
      <c r="J342">
        <v>2</v>
      </c>
      <c r="K342">
        <v>1</v>
      </c>
      <c r="L342">
        <v>2</v>
      </c>
      <c r="M342">
        <v>25</v>
      </c>
      <c r="N342">
        <v>20.475000000000001</v>
      </c>
      <c r="O342">
        <v>0</v>
      </c>
      <c r="P3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42" t="str">
        <f>IF(Table1[[#This Row],[Fraud_Score]]&gt;=6, "High Risk",IF(Table1[[#This Row],[Fraud_Score]]&gt;=3, "Medium Risk", "Low Risk"))</f>
        <v>Low Risk</v>
      </c>
      <c r="R342">
        <f>IF(Table1[[#This Row],[Seconds of Use]]=0,0,Table1[[#This Row],[Customer Value]]/Table1[[#This Row],[Seconds of Use]]*100)</f>
        <v>4.6534090909090917</v>
      </c>
    </row>
    <row r="343" spans="1:18" x14ac:dyDescent="0.35">
      <c r="A343" s="3" t="s">
        <v>364</v>
      </c>
      <c r="B343">
        <v>0</v>
      </c>
      <c r="C343">
        <v>0</v>
      </c>
      <c r="D343">
        <v>20</v>
      </c>
      <c r="E343">
        <v>0</v>
      </c>
      <c r="F343">
        <v>0</v>
      </c>
      <c r="G343">
        <v>0</v>
      </c>
      <c r="H343">
        <v>6</v>
      </c>
      <c r="I343">
        <v>0</v>
      </c>
      <c r="J343">
        <v>4</v>
      </c>
      <c r="K343">
        <v>1</v>
      </c>
      <c r="L343">
        <v>2</v>
      </c>
      <c r="M343">
        <v>45</v>
      </c>
      <c r="N343">
        <v>15</v>
      </c>
      <c r="O343">
        <v>0</v>
      </c>
      <c r="P3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43" t="str">
        <f>IF(Table1[[#This Row],[Fraud_Score]]&gt;=6, "High Risk",IF(Table1[[#This Row],[Fraud_Score]]&gt;=3, "Medium Risk", "Low Risk"))</f>
        <v>Low Risk</v>
      </c>
      <c r="R343">
        <f>IF(Table1[[#This Row],[Seconds of Use]]=0,0,Table1[[#This Row],[Customer Value]]/Table1[[#This Row],[Seconds of Use]]*100)</f>
        <v>0</v>
      </c>
    </row>
    <row r="344" spans="1:18" x14ac:dyDescent="0.35">
      <c r="A344" s="3" t="s">
        <v>365</v>
      </c>
      <c r="B344">
        <v>5</v>
      </c>
      <c r="C344">
        <v>0</v>
      </c>
      <c r="D344">
        <v>19</v>
      </c>
      <c r="E344">
        <v>0</v>
      </c>
      <c r="F344">
        <v>965</v>
      </c>
      <c r="G344">
        <v>22</v>
      </c>
      <c r="H344">
        <v>4</v>
      </c>
      <c r="I344">
        <v>7</v>
      </c>
      <c r="J344">
        <v>2</v>
      </c>
      <c r="K344">
        <v>1</v>
      </c>
      <c r="L344">
        <v>1</v>
      </c>
      <c r="M344">
        <v>25</v>
      </c>
      <c r="N344">
        <v>62.414999999999999</v>
      </c>
      <c r="O344">
        <v>0</v>
      </c>
      <c r="P3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44" t="str">
        <f>IF(Table1[[#This Row],[Fraud_Score]]&gt;=6, "High Risk",IF(Table1[[#This Row],[Fraud_Score]]&gt;=3, "Medium Risk", "Low Risk"))</f>
        <v>Low Risk</v>
      </c>
      <c r="R344">
        <f>IF(Table1[[#This Row],[Seconds of Use]]=0,0,Table1[[#This Row],[Customer Value]]/Table1[[#This Row],[Seconds of Use]]*100)</f>
        <v>6.467875647668393</v>
      </c>
    </row>
    <row r="345" spans="1:18" x14ac:dyDescent="0.35">
      <c r="A345" s="3" t="s">
        <v>366</v>
      </c>
      <c r="B345">
        <v>0</v>
      </c>
      <c r="C345">
        <v>0</v>
      </c>
      <c r="D345">
        <v>19</v>
      </c>
      <c r="E345">
        <v>0</v>
      </c>
      <c r="F345">
        <v>2965</v>
      </c>
      <c r="G345">
        <v>51</v>
      </c>
      <c r="H345">
        <v>0</v>
      </c>
      <c r="I345">
        <v>17</v>
      </c>
      <c r="J345">
        <v>3</v>
      </c>
      <c r="K345">
        <v>1</v>
      </c>
      <c r="L345">
        <v>1</v>
      </c>
      <c r="M345">
        <v>30</v>
      </c>
      <c r="N345">
        <v>120.64</v>
      </c>
      <c r="O345">
        <v>0</v>
      </c>
      <c r="P3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45" t="str">
        <f>IF(Table1[[#This Row],[Fraud_Score]]&gt;=6, "High Risk",IF(Table1[[#This Row],[Fraud_Score]]&gt;=3, "Medium Risk", "Low Risk"))</f>
        <v>Low Risk</v>
      </c>
      <c r="R345">
        <f>IF(Table1[[#This Row],[Seconds of Use]]=0,0,Table1[[#This Row],[Customer Value]]/Table1[[#This Row],[Seconds of Use]]*100)</f>
        <v>4.068802698145026</v>
      </c>
    </row>
    <row r="346" spans="1:18" x14ac:dyDescent="0.35">
      <c r="A346" s="3" t="s">
        <v>367</v>
      </c>
      <c r="B346">
        <v>0</v>
      </c>
      <c r="C346">
        <v>0</v>
      </c>
      <c r="D346">
        <v>12</v>
      </c>
      <c r="E346">
        <v>0</v>
      </c>
      <c r="F346">
        <v>1435</v>
      </c>
      <c r="G346">
        <v>16</v>
      </c>
      <c r="H346">
        <v>13</v>
      </c>
      <c r="I346">
        <v>8</v>
      </c>
      <c r="J346">
        <v>2</v>
      </c>
      <c r="K346">
        <v>1</v>
      </c>
      <c r="L346">
        <v>1</v>
      </c>
      <c r="M346">
        <v>25</v>
      </c>
      <c r="N346">
        <v>123.795</v>
      </c>
      <c r="O346">
        <v>0</v>
      </c>
      <c r="P3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46" t="str">
        <f>IF(Table1[[#This Row],[Fraud_Score]]&gt;=6, "High Risk",IF(Table1[[#This Row],[Fraud_Score]]&gt;=3, "Medium Risk", "Low Risk"))</f>
        <v>Low Risk</v>
      </c>
      <c r="R346">
        <f>IF(Table1[[#This Row],[Seconds of Use]]=0,0,Table1[[#This Row],[Customer Value]]/Table1[[#This Row],[Seconds of Use]]*100)</f>
        <v>8.626829268292683</v>
      </c>
    </row>
    <row r="347" spans="1:18" x14ac:dyDescent="0.35">
      <c r="A347" s="3" t="s">
        <v>368</v>
      </c>
      <c r="B347">
        <v>11</v>
      </c>
      <c r="C347">
        <v>0</v>
      </c>
      <c r="D347">
        <v>11</v>
      </c>
      <c r="E347">
        <v>0</v>
      </c>
      <c r="F347">
        <v>6133</v>
      </c>
      <c r="G347">
        <v>131</v>
      </c>
      <c r="H347">
        <v>70</v>
      </c>
      <c r="I347">
        <v>36</v>
      </c>
      <c r="J347">
        <v>1</v>
      </c>
      <c r="K347">
        <v>2</v>
      </c>
      <c r="L347">
        <v>1</v>
      </c>
      <c r="M347">
        <v>15</v>
      </c>
      <c r="N347">
        <v>729.52</v>
      </c>
      <c r="O347">
        <v>0</v>
      </c>
      <c r="P3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47" t="str">
        <f>IF(Table1[[#This Row],[Fraud_Score]]&gt;=6, "High Risk",IF(Table1[[#This Row],[Fraud_Score]]&gt;=3, "Medium Risk", "Low Risk"))</f>
        <v>Medium Risk</v>
      </c>
      <c r="R347">
        <f>IF(Table1[[#This Row],[Seconds of Use]]=0,0,Table1[[#This Row],[Customer Value]]/Table1[[#This Row],[Seconds of Use]]*100)</f>
        <v>11.894994293168107</v>
      </c>
    </row>
    <row r="348" spans="1:18" x14ac:dyDescent="0.35">
      <c r="A348" s="3" t="s">
        <v>369</v>
      </c>
      <c r="B348">
        <v>7</v>
      </c>
      <c r="C348">
        <v>0</v>
      </c>
      <c r="D348">
        <v>9</v>
      </c>
      <c r="E348">
        <v>0</v>
      </c>
      <c r="F348">
        <v>8673</v>
      </c>
      <c r="G348">
        <v>161</v>
      </c>
      <c r="H348">
        <v>58</v>
      </c>
      <c r="I348">
        <v>34</v>
      </c>
      <c r="J348">
        <v>4</v>
      </c>
      <c r="K348">
        <v>1</v>
      </c>
      <c r="L348">
        <v>1</v>
      </c>
      <c r="M348">
        <v>45</v>
      </c>
      <c r="N348">
        <v>365.85</v>
      </c>
      <c r="O348">
        <v>0</v>
      </c>
      <c r="P3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48" t="str">
        <f>IF(Table1[[#This Row],[Fraud_Score]]&gt;=6, "High Risk",IF(Table1[[#This Row],[Fraud_Score]]&gt;=3, "Medium Risk", "Low Risk"))</f>
        <v>Medium Risk</v>
      </c>
      <c r="R348">
        <f>IF(Table1[[#This Row],[Seconds of Use]]=0,0,Table1[[#This Row],[Customer Value]]/Table1[[#This Row],[Seconds of Use]]*100)</f>
        <v>4.2182635766170877</v>
      </c>
    </row>
    <row r="349" spans="1:18" x14ac:dyDescent="0.35">
      <c r="A349" s="3" t="s">
        <v>370</v>
      </c>
      <c r="B349">
        <v>3</v>
      </c>
      <c r="C349">
        <v>0</v>
      </c>
      <c r="D349">
        <v>10</v>
      </c>
      <c r="E349">
        <v>2</v>
      </c>
      <c r="F349">
        <v>2593</v>
      </c>
      <c r="G349">
        <v>35</v>
      </c>
      <c r="H349">
        <v>16</v>
      </c>
      <c r="I349">
        <v>13</v>
      </c>
      <c r="J349">
        <v>3</v>
      </c>
      <c r="K349">
        <v>1</v>
      </c>
      <c r="L349">
        <v>1</v>
      </c>
      <c r="M349">
        <v>30</v>
      </c>
      <c r="N349">
        <v>169.12</v>
      </c>
      <c r="O349">
        <v>0</v>
      </c>
      <c r="P3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49" t="str">
        <f>IF(Table1[[#This Row],[Fraud_Score]]&gt;=6, "High Risk",IF(Table1[[#This Row],[Fraud_Score]]&gt;=3, "Medium Risk", "Low Risk"))</f>
        <v>Low Risk</v>
      </c>
      <c r="R349">
        <f>IF(Table1[[#This Row],[Seconds of Use]]=0,0,Table1[[#This Row],[Customer Value]]/Table1[[#This Row],[Seconds of Use]]*100)</f>
        <v>6.5221750867720791</v>
      </c>
    </row>
    <row r="350" spans="1:18" x14ac:dyDescent="0.35">
      <c r="A350" s="3" t="s">
        <v>371</v>
      </c>
      <c r="B350">
        <v>0</v>
      </c>
      <c r="C350">
        <v>0</v>
      </c>
      <c r="D350">
        <v>3</v>
      </c>
      <c r="E350">
        <v>0</v>
      </c>
      <c r="F350">
        <v>4130</v>
      </c>
      <c r="G350">
        <v>30</v>
      </c>
      <c r="H350">
        <v>200</v>
      </c>
      <c r="I350">
        <v>4</v>
      </c>
      <c r="J350">
        <v>3</v>
      </c>
      <c r="K350">
        <v>1</v>
      </c>
      <c r="L350">
        <v>1</v>
      </c>
      <c r="M350">
        <v>30</v>
      </c>
      <c r="N350">
        <v>966.4</v>
      </c>
      <c r="O350">
        <v>0</v>
      </c>
      <c r="P3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50" t="str">
        <f>IF(Table1[[#This Row],[Fraud_Score]]&gt;=6, "High Risk",IF(Table1[[#This Row],[Fraud_Score]]&gt;=3, "Medium Risk", "Low Risk"))</f>
        <v>Low Risk</v>
      </c>
      <c r="R350">
        <f>IF(Table1[[#This Row],[Seconds of Use]]=0,0,Table1[[#This Row],[Customer Value]]/Table1[[#This Row],[Seconds of Use]]*100)</f>
        <v>23.399515738498788</v>
      </c>
    </row>
    <row r="351" spans="1:18" x14ac:dyDescent="0.35">
      <c r="A351" s="3" t="s">
        <v>372</v>
      </c>
      <c r="B351">
        <v>0</v>
      </c>
      <c r="C351">
        <v>1</v>
      </c>
      <c r="D351">
        <v>3</v>
      </c>
      <c r="E351">
        <v>0</v>
      </c>
      <c r="F351">
        <v>1228</v>
      </c>
      <c r="G351">
        <v>9</v>
      </c>
      <c r="H351">
        <v>0</v>
      </c>
      <c r="I351">
        <v>1</v>
      </c>
      <c r="J351">
        <v>2</v>
      </c>
      <c r="K351">
        <v>1</v>
      </c>
      <c r="L351">
        <v>1</v>
      </c>
      <c r="M351">
        <v>25</v>
      </c>
      <c r="N351">
        <v>55.664999999999999</v>
      </c>
      <c r="O351">
        <v>1</v>
      </c>
      <c r="P3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51" t="str">
        <f>IF(Table1[[#This Row],[Fraud_Score]]&gt;=6, "High Risk",IF(Table1[[#This Row],[Fraud_Score]]&gt;=3, "Medium Risk", "Low Risk"))</f>
        <v>Medium Risk</v>
      </c>
      <c r="R351">
        <f>IF(Table1[[#This Row],[Seconds of Use]]=0,0,Table1[[#This Row],[Customer Value]]/Table1[[#This Row],[Seconds of Use]]*100)</f>
        <v>4.532980456026058</v>
      </c>
    </row>
    <row r="352" spans="1:18" x14ac:dyDescent="0.35">
      <c r="A352" s="3" t="s">
        <v>373</v>
      </c>
      <c r="B352">
        <v>10</v>
      </c>
      <c r="C352">
        <v>0</v>
      </c>
      <c r="D352">
        <v>41</v>
      </c>
      <c r="E352">
        <v>0</v>
      </c>
      <c r="F352">
        <v>4550</v>
      </c>
      <c r="G352">
        <v>79</v>
      </c>
      <c r="H352">
        <v>16</v>
      </c>
      <c r="I352">
        <v>22</v>
      </c>
      <c r="J352">
        <v>3</v>
      </c>
      <c r="K352">
        <v>1</v>
      </c>
      <c r="L352">
        <v>1</v>
      </c>
      <c r="M352">
        <v>30</v>
      </c>
      <c r="N352">
        <v>249.16</v>
      </c>
      <c r="O352">
        <v>0</v>
      </c>
      <c r="P3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52" t="str">
        <f>IF(Table1[[#This Row],[Fraud_Score]]&gt;=6, "High Risk",IF(Table1[[#This Row],[Fraud_Score]]&gt;=3, "Medium Risk", "Low Risk"))</f>
        <v>Low Risk</v>
      </c>
      <c r="R352">
        <f>IF(Table1[[#This Row],[Seconds of Use]]=0,0,Table1[[#This Row],[Customer Value]]/Table1[[#This Row],[Seconds of Use]]*100)</f>
        <v>5.4760439560439558</v>
      </c>
    </row>
    <row r="353" spans="1:18" x14ac:dyDescent="0.35">
      <c r="A353" s="3" t="s">
        <v>374</v>
      </c>
      <c r="B353">
        <v>2</v>
      </c>
      <c r="C353">
        <v>0</v>
      </c>
      <c r="D353">
        <v>42</v>
      </c>
      <c r="E353">
        <v>0</v>
      </c>
      <c r="F353">
        <v>498</v>
      </c>
      <c r="G353">
        <v>13</v>
      </c>
      <c r="H353">
        <v>18</v>
      </c>
      <c r="I353">
        <v>9</v>
      </c>
      <c r="J353">
        <v>2</v>
      </c>
      <c r="K353">
        <v>1</v>
      </c>
      <c r="L353">
        <v>2</v>
      </c>
      <c r="M353">
        <v>25</v>
      </c>
      <c r="N353">
        <v>103.995</v>
      </c>
      <c r="O353">
        <v>0</v>
      </c>
      <c r="P3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53" t="str">
        <f>IF(Table1[[#This Row],[Fraud_Score]]&gt;=6, "High Risk",IF(Table1[[#This Row],[Fraud_Score]]&gt;=3, "Medium Risk", "Low Risk"))</f>
        <v>Low Risk</v>
      </c>
      <c r="R353">
        <f>IF(Table1[[#This Row],[Seconds of Use]]=0,0,Table1[[#This Row],[Customer Value]]/Table1[[#This Row],[Seconds of Use]]*100)</f>
        <v>20.882530120481928</v>
      </c>
    </row>
    <row r="354" spans="1:18" x14ac:dyDescent="0.35">
      <c r="A354" s="3" t="s">
        <v>375</v>
      </c>
      <c r="B354">
        <v>12</v>
      </c>
      <c r="C354">
        <v>0</v>
      </c>
      <c r="D354">
        <v>40</v>
      </c>
      <c r="E354">
        <v>0</v>
      </c>
      <c r="F354">
        <v>2633</v>
      </c>
      <c r="G354">
        <v>68</v>
      </c>
      <c r="H354">
        <v>370</v>
      </c>
      <c r="I354">
        <v>29</v>
      </c>
      <c r="J354">
        <v>3</v>
      </c>
      <c r="K354">
        <v>1</v>
      </c>
      <c r="L354">
        <v>1</v>
      </c>
      <c r="M354">
        <v>30</v>
      </c>
      <c r="N354">
        <v>1588.04</v>
      </c>
      <c r="O354">
        <v>0</v>
      </c>
      <c r="P3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54" t="str">
        <f>IF(Table1[[#This Row],[Fraud_Score]]&gt;=6, "High Risk",IF(Table1[[#This Row],[Fraud_Score]]&gt;=3, "Medium Risk", "Low Risk"))</f>
        <v>Medium Risk</v>
      </c>
      <c r="R354">
        <f>IF(Table1[[#This Row],[Seconds of Use]]=0,0,Table1[[#This Row],[Customer Value]]/Table1[[#This Row],[Seconds of Use]]*100)</f>
        <v>60.312951006456515</v>
      </c>
    </row>
    <row r="355" spans="1:18" x14ac:dyDescent="0.35">
      <c r="A355" s="3" t="s">
        <v>376</v>
      </c>
      <c r="B355">
        <v>12</v>
      </c>
      <c r="C355">
        <v>0</v>
      </c>
      <c r="D355">
        <v>41</v>
      </c>
      <c r="E355">
        <v>0</v>
      </c>
      <c r="F355">
        <v>4378</v>
      </c>
      <c r="G355">
        <v>74</v>
      </c>
      <c r="H355">
        <v>12</v>
      </c>
      <c r="I355">
        <v>40</v>
      </c>
      <c r="J355">
        <v>1</v>
      </c>
      <c r="K355">
        <v>1</v>
      </c>
      <c r="L355">
        <v>1</v>
      </c>
      <c r="M355">
        <v>15</v>
      </c>
      <c r="N355">
        <v>310.86</v>
      </c>
      <c r="O355">
        <v>0</v>
      </c>
      <c r="P3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55" t="str">
        <f>IF(Table1[[#This Row],[Fraud_Score]]&gt;=6, "High Risk",IF(Table1[[#This Row],[Fraud_Score]]&gt;=3, "Medium Risk", "Low Risk"))</f>
        <v>Medium Risk</v>
      </c>
      <c r="R355">
        <f>IF(Table1[[#This Row],[Seconds of Use]]=0,0,Table1[[#This Row],[Customer Value]]/Table1[[#This Row],[Seconds of Use]]*100)</f>
        <v>7.1005025125628149</v>
      </c>
    </row>
    <row r="356" spans="1:18" x14ac:dyDescent="0.35">
      <c r="A356" s="3" t="s">
        <v>377</v>
      </c>
      <c r="B356">
        <v>5</v>
      </c>
      <c r="C356">
        <v>0</v>
      </c>
      <c r="D356">
        <v>41</v>
      </c>
      <c r="E356">
        <v>0</v>
      </c>
      <c r="F356">
        <v>2573</v>
      </c>
      <c r="G356">
        <v>66</v>
      </c>
      <c r="H356">
        <v>13</v>
      </c>
      <c r="I356">
        <v>38</v>
      </c>
      <c r="J356">
        <v>1</v>
      </c>
      <c r="K356">
        <v>1</v>
      </c>
      <c r="L356">
        <v>1</v>
      </c>
      <c r="M356">
        <v>15</v>
      </c>
      <c r="N356">
        <v>216.64500000000001</v>
      </c>
      <c r="O356">
        <v>0</v>
      </c>
      <c r="P3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56" t="str">
        <f>IF(Table1[[#This Row],[Fraud_Score]]&gt;=6, "High Risk",IF(Table1[[#This Row],[Fraud_Score]]&gt;=3, "Medium Risk", "Low Risk"))</f>
        <v>Low Risk</v>
      </c>
      <c r="R356">
        <f>IF(Table1[[#This Row],[Seconds of Use]]=0,0,Table1[[#This Row],[Customer Value]]/Table1[[#This Row],[Seconds of Use]]*100)</f>
        <v>8.4199378157792459</v>
      </c>
    </row>
    <row r="357" spans="1:18" x14ac:dyDescent="0.35">
      <c r="A357" s="3" t="s">
        <v>378</v>
      </c>
      <c r="B357">
        <v>13</v>
      </c>
      <c r="C357">
        <v>0</v>
      </c>
      <c r="D357">
        <v>41</v>
      </c>
      <c r="E357">
        <v>1</v>
      </c>
      <c r="F357">
        <v>3955</v>
      </c>
      <c r="G357">
        <v>90</v>
      </c>
      <c r="H357">
        <v>43</v>
      </c>
      <c r="I357">
        <v>33</v>
      </c>
      <c r="J357">
        <v>3</v>
      </c>
      <c r="K357">
        <v>1</v>
      </c>
      <c r="L357">
        <v>1</v>
      </c>
      <c r="M357">
        <v>30</v>
      </c>
      <c r="N357">
        <v>333.8</v>
      </c>
      <c r="O357">
        <v>0</v>
      </c>
      <c r="P3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57" t="str">
        <f>IF(Table1[[#This Row],[Fraud_Score]]&gt;=6, "High Risk",IF(Table1[[#This Row],[Fraud_Score]]&gt;=3, "Medium Risk", "Low Risk"))</f>
        <v>Low Risk</v>
      </c>
      <c r="R357">
        <f>IF(Table1[[#This Row],[Seconds of Use]]=0,0,Table1[[#This Row],[Customer Value]]/Table1[[#This Row],[Seconds of Use]]*100)</f>
        <v>8.4399494310998726</v>
      </c>
    </row>
    <row r="358" spans="1:18" x14ac:dyDescent="0.35">
      <c r="A358" s="3" t="s">
        <v>379</v>
      </c>
      <c r="B358">
        <v>6</v>
      </c>
      <c r="C358">
        <v>0</v>
      </c>
      <c r="D358">
        <v>41</v>
      </c>
      <c r="E358">
        <v>0</v>
      </c>
      <c r="F358">
        <v>2540</v>
      </c>
      <c r="G358">
        <v>47</v>
      </c>
      <c r="H358">
        <v>296</v>
      </c>
      <c r="I358">
        <v>23</v>
      </c>
      <c r="J358">
        <v>3</v>
      </c>
      <c r="K358">
        <v>1</v>
      </c>
      <c r="L358">
        <v>1</v>
      </c>
      <c r="M358">
        <v>30</v>
      </c>
      <c r="N358">
        <v>1287.48</v>
      </c>
      <c r="O358">
        <v>0</v>
      </c>
      <c r="P3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58" t="str">
        <f>IF(Table1[[#This Row],[Fraud_Score]]&gt;=6, "High Risk",IF(Table1[[#This Row],[Fraud_Score]]&gt;=3, "Medium Risk", "Low Risk"))</f>
        <v>Low Risk</v>
      </c>
      <c r="R358">
        <f>IF(Table1[[#This Row],[Seconds of Use]]=0,0,Table1[[#This Row],[Customer Value]]/Table1[[#This Row],[Seconds of Use]]*100)</f>
        <v>50.688188976377958</v>
      </c>
    </row>
    <row r="359" spans="1:18" x14ac:dyDescent="0.35">
      <c r="A359" s="3" t="s">
        <v>380</v>
      </c>
      <c r="B359">
        <v>15</v>
      </c>
      <c r="C359">
        <v>0</v>
      </c>
      <c r="D359">
        <v>40</v>
      </c>
      <c r="E359">
        <v>2</v>
      </c>
      <c r="F359">
        <v>9295</v>
      </c>
      <c r="G359">
        <v>129</v>
      </c>
      <c r="H359">
        <v>155</v>
      </c>
      <c r="I359">
        <v>48</v>
      </c>
      <c r="J359">
        <v>3</v>
      </c>
      <c r="K359">
        <v>1</v>
      </c>
      <c r="L359">
        <v>1</v>
      </c>
      <c r="M359">
        <v>30</v>
      </c>
      <c r="N359">
        <v>996.96</v>
      </c>
      <c r="O359">
        <v>0</v>
      </c>
      <c r="P3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59" t="str">
        <f>IF(Table1[[#This Row],[Fraud_Score]]&gt;=6, "High Risk",IF(Table1[[#This Row],[Fraud_Score]]&gt;=3, "Medium Risk", "Low Risk"))</f>
        <v>Medium Risk</v>
      </c>
      <c r="R359">
        <f>IF(Table1[[#This Row],[Seconds of Use]]=0,0,Table1[[#This Row],[Customer Value]]/Table1[[#This Row],[Seconds of Use]]*100)</f>
        <v>10.725766541151156</v>
      </c>
    </row>
    <row r="360" spans="1:18" x14ac:dyDescent="0.35">
      <c r="A360" s="3" t="s">
        <v>381</v>
      </c>
      <c r="B360">
        <v>9</v>
      </c>
      <c r="C360">
        <v>0</v>
      </c>
      <c r="D360">
        <v>41</v>
      </c>
      <c r="E360">
        <v>0</v>
      </c>
      <c r="F360">
        <v>13953</v>
      </c>
      <c r="G360">
        <v>177</v>
      </c>
      <c r="H360">
        <v>11</v>
      </c>
      <c r="I360">
        <v>49</v>
      </c>
      <c r="J360">
        <v>3</v>
      </c>
      <c r="K360">
        <v>1</v>
      </c>
      <c r="L360">
        <v>1</v>
      </c>
      <c r="M360">
        <v>30</v>
      </c>
      <c r="N360">
        <v>609.20000000000005</v>
      </c>
      <c r="O360">
        <v>0</v>
      </c>
      <c r="P3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60" t="str">
        <f>IF(Table1[[#This Row],[Fraud_Score]]&gt;=6, "High Risk",IF(Table1[[#This Row],[Fraud_Score]]&gt;=3, "Medium Risk", "Low Risk"))</f>
        <v>Medium Risk</v>
      </c>
      <c r="R360">
        <f>IF(Table1[[#This Row],[Seconds of Use]]=0,0,Table1[[#This Row],[Customer Value]]/Table1[[#This Row],[Seconds of Use]]*100)</f>
        <v>4.3660861463484562</v>
      </c>
    </row>
    <row r="361" spans="1:18" x14ac:dyDescent="0.35">
      <c r="A361" s="3" t="s">
        <v>382</v>
      </c>
      <c r="B361">
        <v>9</v>
      </c>
      <c r="C361">
        <v>0</v>
      </c>
      <c r="D361">
        <v>41</v>
      </c>
      <c r="E361">
        <v>1</v>
      </c>
      <c r="F361">
        <v>4695</v>
      </c>
      <c r="G361">
        <v>91</v>
      </c>
      <c r="H361">
        <v>13</v>
      </c>
      <c r="I361">
        <v>30</v>
      </c>
      <c r="J361">
        <v>3</v>
      </c>
      <c r="K361">
        <v>1</v>
      </c>
      <c r="L361">
        <v>1</v>
      </c>
      <c r="M361">
        <v>30</v>
      </c>
      <c r="N361">
        <v>243.44</v>
      </c>
      <c r="O361">
        <v>0</v>
      </c>
      <c r="P3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61" t="str">
        <f>IF(Table1[[#This Row],[Fraud_Score]]&gt;=6, "High Risk",IF(Table1[[#This Row],[Fraud_Score]]&gt;=3, "Medium Risk", "Low Risk"))</f>
        <v>Low Risk</v>
      </c>
      <c r="R361">
        <f>IF(Table1[[#This Row],[Seconds of Use]]=0,0,Table1[[#This Row],[Customer Value]]/Table1[[#This Row],[Seconds of Use]]*100)</f>
        <v>5.1850905218317358</v>
      </c>
    </row>
    <row r="362" spans="1:18" x14ac:dyDescent="0.35">
      <c r="A362" s="3" t="s">
        <v>383</v>
      </c>
      <c r="B362">
        <v>8</v>
      </c>
      <c r="C362">
        <v>0</v>
      </c>
      <c r="D362">
        <v>41</v>
      </c>
      <c r="E362">
        <v>0</v>
      </c>
      <c r="F362">
        <v>6098</v>
      </c>
      <c r="G362">
        <v>103</v>
      </c>
      <c r="H362">
        <v>18</v>
      </c>
      <c r="I362">
        <v>17</v>
      </c>
      <c r="J362">
        <v>3</v>
      </c>
      <c r="K362">
        <v>1</v>
      </c>
      <c r="L362">
        <v>1</v>
      </c>
      <c r="M362">
        <v>30</v>
      </c>
      <c r="N362">
        <v>320.04000000000002</v>
      </c>
      <c r="O362">
        <v>0</v>
      </c>
      <c r="P3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62" t="str">
        <f>IF(Table1[[#This Row],[Fraud_Score]]&gt;=6, "High Risk",IF(Table1[[#This Row],[Fraud_Score]]&gt;=3, "Medium Risk", "Low Risk"))</f>
        <v>Low Risk</v>
      </c>
      <c r="R362">
        <f>IF(Table1[[#This Row],[Seconds of Use]]=0,0,Table1[[#This Row],[Customer Value]]/Table1[[#This Row],[Seconds of Use]]*100)</f>
        <v>5.2482781239750738</v>
      </c>
    </row>
    <row r="363" spans="1:18" x14ac:dyDescent="0.35">
      <c r="A363" s="3" t="s">
        <v>384</v>
      </c>
      <c r="B363">
        <v>11</v>
      </c>
      <c r="C363">
        <v>0</v>
      </c>
      <c r="D363">
        <v>41</v>
      </c>
      <c r="E363">
        <v>0</v>
      </c>
      <c r="F363">
        <v>2418</v>
      </c>
      <c r="G363">
        <v>62</v>
      </c>
      <c r="H363">
        <v>19</v>
      </c>
      <c r="I363">
        <v>22</v>
      </c>
      <c r="J363">
        <v>3</v>
      </c>
      <c r="K363">
        <v>1</v>
      </c>
      <c r="L363">
        <v>2</v>
      </c>
      <c r="M363">
        <v>30</v>
      </c>
      <c r="N363">
        <v>175.2</v>
      </c>
      <c r="O363">
        <v>0</v>
      </c>
      <c r="P3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63" t="str">
        <f>IF(Table1[[#This Row],[Fraud_Score]]&gt;=6, "High Risk",IF(Table1[[#This Row],[Fraud_Score]]&gt;=3, "Medium Risk", "Low Risk"))</f>
        <v>Medium Risk</v>
      </c>
      <c r="R363">
        <f>IF(Table1[[#This Row],[Seconds of Use]]=0,0,Table1[[#This Row],[Customer Value]]/Table1[[#This Row],[Seconds of Use]]*100)</f>
        <v>7.2456575682382134</v>
      </c>
    </row>
    <row r="364" spans="1:18" x14ac:dyDescent="0.35">
      <c r="A364" s="3" t="s">
        <v>385</v>
      </c>
      <c r="B364">
        <v>27</v>
      </c>
      <c r="C364">
        <v>0</v>
      </c>
      <c r="D364">
        <v>41</v>
      </c>
      <c r="E364">
        <v>3</v>
      </c>
      <c r="F364">
        <v>15320</v>
      </c>
      <c r="G364">
        <v>233</v>
      </c>
      <c r="H364">
        <v>65</v>
      </c>
      <c r="I364">
        <v>37</v>
      </c>
      <c r="J364">
        <v>3</v>
      </c>
      <c r="K364">
        <v>1</v>
      </c>
      <c r="L364">
        <v>1</v>
      </c>
      <c r="M364">
        <v>30</v>
      </c>
      <c r="N364">
        <v>882.12</v>
      </c>
      <c r="O364">
        <v>0</v>
      </c>
      <c r="P3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64" t="str">
        <f>IF(Table1[[#This Row],[Fraud_Score]]&gt;=6, "High Risk",IF(Table1[[#This Row],[Fraud_Score]]&gt;=3, "Medium Risk", "Low Risk"))</f>
        <v>Medium Risk</v>
      </c>
      <c r="R364">
        <f>IF(Table1[[#This Row],[Seconds of Use]]=0,0,Table1[[#This Row],[Customer Value]]/Table1[[#This Row],[Seconds of Use]]*100)</f>
        <v>5.7579634464751956</v>
      </c>
    </row>
    <row r="365" spans="1:18" x14ac:dyDescent="0.35">
      <c r="A365" s="3" t="s">
        <v>386</v>
      </c>
      <c r="B365">
        <v>6</v>
      </c>
      <c r="C365">
        <v>0</v>
      </c>
      <c r="D365">
        <v>41</v>
      </c>
      <c r="E365">
        <v>1</v>
      </c>
      <c r="F365">
        <v>3275</v>
      </c>
      <c r="G365">
        <v>35</v>
      </c>
      <c r="H365">
        <v>494</v>
      </c>
      <c r="I365">
        <v>13</v>
      </c>
      <c r="J365">
        <v>3</v>
      </c>
      <c r="K365">
        <v>1</v>
      </c>
      <c r="L365">
        <v>1</v>
      </c>
      <c r="M365">
        <v>30</v>
      </c>
      <c r="N365">
        <v>2108.4</v>
      </c>
      <c r="O365">
        <v>0</v>
      </c>
      <c r="P3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65" t="str">
        <f>IF(Table1[[#This Row],[Fraud_Score]]&gt;=6, "High Risk",IF(Table1[[#This Row],[Fraud_Score]]&gt;=3, "Medium Risk", "Low Risk"))</f>
        <v>Low Risk</v>
      </c>
      <c r="R365">
        <f>IF(Table1[[#This Row],[Seconds of Use]]=0,0,Table1[[#This Row],[Customer Value]]/Table1[[#This Row],[Seconds of Use]]*100)</f>
        <v>64.378625954198469</v>
      </c>
    </row>
    <row r="366" spans="1:18" x14ac:dyDescent="0.35">
      <c r="A366" s="3" t="s">
        <v>387</v>
      </c>
      <c r="B366">
        <v>11</v>
      </c>
      <c r="C366">
        <v>0</v>
      </c>
      <c r="D366">
        <v>40</v>
      </c>
      <c r="E366">
        <v>0</v>
      </c>
      <c r="F366">
        <v>15665</v>
      </c>
      <c r="G366">
        <v>190</v>
      </c>
      <c r="H366">
        <v>161</v>
      </c>
      <c r="I366">
        <v>35</v>
      </c>
      <c r="J366">
        <v>2</v>
      </c>
      <c r="K366">
        <v>1</v>
      </c>
      <c r="L366">
        <v>1</v>
      </c>
      <c r="M366">
        <v>25</v>
      </c>
      <c r="N366">
        <v>1437.9749999999999</v>
      </c>
      <c r="O366">
        <v>0</v>
      </c>
      <c r="P3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66" t="str">
        <f>IF(Table1[[#This Row],[Fraud_Score]]&gt;=6, "High Risk",IF(Table1[[#This Row],[Fraud_Score]]&gt;=3, "Medium Risk", "Low Risk"))</f>
        <v>Medium Risk</v>
      </c>
      <c r="R366">
        <f>IF(Table1[[#This Row],[Seconds of Use]]=0,0,Table1[[#This Row],[Customer Value]]/Table1[[#This Row],[Seconds of Use]]*100)</f>
        <v>9.1795403766358117</v>
      </c>
    </row>
    <row r="367" spans="1:18" x14ac:dyDescent="0.35">
      <c r="A367" s="3" t="s">
        <v>388</v>
      </c>
      <c r="B367">
        <v>5</v>
      </c>
      <c r="C367">
        <v>0</v>
      </c>
      <c r="D367">
        <v>40</v>
      </c>
      <c r="E367">
        <v>1</v>
      </c>
      <c r="F367">
        <v>6680</v>
      </c>
      <c r="G367">
        <v>94</v>
      </c>
      <c r="H367">
        <v>197</v>
      </c>
      <c r="I367">
        <v>31</v>
      </c>
      <c r="J367">
        <v>3</v>
      </c>
      <c r="K367">
        <v>1</v>
      </c>
      <c r="L367">
        <v>1</v>
      </c>
      <c r="M367">
        <v>30</v>
      </c>
      <c r="N367">
        <v>1058.96</v>
      </c>
      <c r="O367">
        <v>0</v>
      </c>
      <c r="P3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67" t="str">
        <f>IF(Table1[[#This Row],[Fraud_Score]]&gt;=6, "High Risk",IF(Table1[[#This Row],[Fraud_Score]]&gt;=3, "Medium Risk", "Low Risk"))</f>
        <v>Low Risk</v>
      </c>
      <c r="R367">
        <f>IF(Table1[[#This Row],[Seconds of Use]]=0,0,Table1[[#This Row],[Customer Value]]/Table1[[#This Row],[Seconds of Use]]*100)</f>
        <v>15.852694610778444</v>
      </c>
    </row>
    <row r="368" spans="1:18" x14ac:dyDescent="0.35">
      <c r="A368" s="3" t="s">
        <v>389</v>
      </c>
      <c r="B368">
        <v>2</v>
      </c>
      <c r="C368">
        <v>0</v>
      </c>
      <c r="D368">
        <v>40</v>
      </c>
      <c r="E368">
        <v>0</v>
      </c>
      <c r="F368">
        <v>1055</v>
      </c>
      <c r="G368">
        <v>22</v>
      </c>
      <c r="H368">
        <v>11</v>
      </c>
      <c r="I368">
        <v>16</v>
      </c>
      <c r="J368">
        <v>2</v>
      </c>
      <c r="K368">
        <v>1</v>
      </c>
      <c r="L368">
        <v>2</v>
      </c>
      <c r="M368">
        <v>25</v>
      </c>
      <c r="N368">
        <v>97.965000000000003</v>
      </c>
      <c r="O368">
        <v>0</v>
      </c>
      <c r="P3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68" t="str">
        <f>IF(Table1[[#This Row],[Fraud_Score]]&gt;=6, "High Risk",IF(Table1[[#This Row],[Fraud_Score]]&gt;=3, "Medium Risk", "Low Risk"))</f>
        <v>Low Risk</v>
      </c>
      <c r="R368">
        <f>IF(Table1[[#This Row],[Seconds of Use]]=0,0,Table1[[#This Row],[Customer Value]]/Table1[[#This Row],[Seconds of Use]]*100)</f>
        <v>9.2857819905213272</v>
      </c>
    </row>
    <row r="369" spans="1:18" x14ac:dyDescent="0.35">
      <c r="A369" s="3" t="s">
        <v>390</v>
      </c>
      <c r="B369">
        <v>4</v>
      </c>
      <c r="C369">
        <v>0</v>
      </c>
      <c r="D369">
        <v>41</v>
      </c>
      <c r="E369">
        <v>0</v>
      </c>
      <c r="F369">
        <v>890</v>
      </c>
      <c r="G369">
        <v>22</v>
      </c>
      <c r="H369">
        <v>24</v>
      </c>
      <c r="I369">
        <v>13</v>
      </c>
      <c r="J369">
        <v>3</v>
      </c>
      <c r="K369">
        <v>1</v>
      </c>
      <c r="L369">
        <v>2</v>
      </c>
      <c r="M369">
        <v>30</v>
      </c>
      <c r="N369">
        <v>132.47999999999999</v>
      </c>
      <c r="O369">
        <v>0</v>
      </c>
      <c r="P3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69" t="str">
        <f>IF(Table1[[#This Row],[Fraud_Score]]&gt;=6, "High Risk",IF(Table1[[#This Row],[Fraud_Score]]&gt;=3, "Medium Risk", "Low Risk"))</f>
        <v>Low Risk</v>
      </c>
      <c r="R369">
        <f>IF(Table1[[#This Row],[Seconds of Use]]=0,0,Table1[[#This Row],[Customer Value]]/Table1[[#This Row],[Seconds of Use]]*100)</f>
        <v>14.885393258426966</v>
      </c>
    </row>
    <row r="370" spans="1:18" x14ac:dyDescent="0.35">
      <c r="A370" s="3" t="s">
        <v>391</v>
      </c>
      <c r="B370">
        <v>2</v>
      </c>
      <c r="C370">
        <v>0</v>
      </c>
      <c r="D370">
        <v>40</v>
      </c>
      <c r="E370">
        <v>0</v>
      </c>
      <c r="F370">
        <v>180</v>
      </c>
      <c r="G370">
        <v>8</v>
      </c>
      <c r="H370">
        <v>11</v>
      </c>
      <c r="I370">
        <v>5</v>
      </c>
      <c r="J370">
        <v>2</v>
      </c>
      <c r="K370">
        <v>1</v>
      </c>
      <c r="L370">
        <v>2</v>
      </c>
      <c r="M370">
        <v>25</v>
      </c>
      <c r="N370">
        <v>57.96</v>
      </c>
      <c r="O370">
        <v>1</v>
      </c>
      <c r="P3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70" t="str">
        <f>IF(Table1[[#This Row],[Fraud_Score]]&gt;=6, "High Risk",IF(Table1[[#This Row],[Fraud_Score]]&gt;=3, "Medium Risk", "Low Risk"))</f>
        <v>Low Risk</v>
      </c>
      <c r="R370">
        <f>IF(Table1[[#This Row],[Seconds of Use]]=0,0,Table1[[#This Row],[Customer Value]]/Table1[[#This Row],[Seconds of Use]]*100)</f>
        <v>32.200000000000003</v>
      </c>
    </row>
    <row r="371" spans="1:18" x14ac:dyDescent="0.35">
      <c r="A371" s="3" t="s">
        <v>392</v>
      </c>
      <c r="B371">
        <v>5</v>
      </c>
      <c r="C371">
        <v>0</v>
      </c>
      <c r="D371">
        <v>40</v>
      </c>
      <c r="E371">
        <v>0</v>
      </c>
      <c r="F371">
        <v>7688</v>
      </c>
      <c r="G371">
        <v>135</v>
      </c>
      <c r="H371">
        <v>395</v>
      </c>
      <c r="I371">
        <v>48</v>
      </c>
      <c r="J371">
        <v>2</v>
      </c>
      <c r="K371">
        <v>1</v>
      </c>
      <c r="L371">
        <v>1</v>
      </c>
      <c r="M371">
        <v>25</v>
      </c>
      <c r="N371">
        <v>2129.5349999999999</v>
      </c>
      <c r="O371">
        <v>0</v>
      </c>
      <c r="P3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71" t="str">
        <f>IF(Table1[[#This Row],[Fraud_Score]]&gt;=6, "High Risk",IF(Table1[[#This Row],[Fraud_Score]]&gt;=3, "Medium Risk", "Low Risk"))</f>
        <v>Low Risk</v>
      </c>
      <c r="R371">
        <f>IF(Table1[[#This Row],[Seconds of Use]]=0,0,Table1[[#This Row],[Customer Value]]/Table1[[#This Row],[Seconds of Use]]*100)</f>
        <v>27.699466701352755</v>
      </c>
    </row>
    <row r="372" spans="1:18" x14ac:dyDescent="0.35">
      <c r="A372" s="3" t="s">
        <v>393</v>
      </c>
      <c r="B372">
        <v>9</v>
      </c>
      <c r="C372">
        <v>0</v>
      </c>
      <c r="D372">
        <v>40</v>
      </c>
      <c r="E372">
        <v>1</v>
      </c>
      <c r="F372">
        <v>11645</v>
      </c>
      <c r="G372">
        <v>162</v>
      </c>
      <c r="H372">
        <v>22</v>
      </c>
      <c r="I372">
        <v>52</v>
      </c>
      <c r="J372">
        <v>4</v>
      </c>
      <c r="K372">
        <v>1</v>
      </c>
      <c r="L372">
        <v>1</v>
      </c>
      <c r="M372">
        <v>45</v>
      </c>
      <c r="N372">
        <v>350.17500000000001</v>
      </c>
      <c r="O372">
        <v>0</v>
      </c>
      <c r="P3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72" t="str">
        <f>IF(Table1[[#This Row],[Fraud_Score]]&gt;=6, "High Risk",IF(Table1[[#This Row],[Fraud_Score]]&gt;=3, "Medium Risk", "Low Risk"))</f>
        <v>Medium Risk</v>
      </c>
      <c r="R372">
        <f>IF(Table1[[#This Row],[Seconds of Use]]=0,0,Table1[[#This Row],[Customer Value]]/Table1[[#This Row],[Seconds of Use]]*100)</f>
        <v>3.0070845856590811</v>
      </c>
    </row>
    <row r="373" spans="1:18" x14ac:dyDescent="0.35">
      <c r="A373" s="3" t="s">
        <v>394</v>
      </c>
      <c r="B373">
        <v>10</v>
      </c>
      <c r="C373">
        <v>0</v>
      </c>
      <c r="D373">
        <v>40</v>
      </c>
      <c r="E373">
        <v>1</v>
      </c>
      <c r="F373">
        <v>6898</v>
      </c>
      <c r="G373">
        <v>83</v>
      </c>
      <c r="H373">
        <v>119</v>
      </c>
      <c r="I373">
        <v>42</v>
      </c>
      <c r="J373">
        <v>2</v>
      </c>
      <c r="K373">
        <v>1</v>
      </c>
      <c r="L373">
        <v>1</v>
      </c>
      <c r="M373">
        <v>25</v>
      </c>
      <c r="N373">
        <v>849.64499999999998</v>
      </c>
      <c r="O373">
        <v>0</v>
      </c>
      <c r="P3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73" t="str">
        <f>IF(Table1[[#This Row],[Fraud_Score]]&gt;=6, "High Risk",IF(Table1[[#This Row],[Fraud_Score]]&gt;=3, "Medium Risk", "Low Risk"))</f>
        <v>Low Risk</v>
      </c>
      <c r="R373">
        <f>IF(Table1[[#This Row],[Seconds of Use]]=0,0,Table1[[#This Row],[Customer Value]]/Table1[[#This Row],[Seconds of Use]]*100)</f>
        <v>12.317265874166425</v>
      </c>
    </row>
    <row r="374" spans="1:18" x14ac:dyDescent="0.35">
      <c r="A374" s="3" t="s">
        <v>395</v>
      </c>
      <c r="B374">
        <v>25</v>
      </c>
      <c r="C374">
        <v>1</v>
      </c>
      <c r="D374">
        <v>36</v>
      </c>
      <c r="E374">
        <v>0</v>
      </c>
      <c r="F374">
        <v>1135</v>
      </c>
      <c r="G374">
        <v>55</v>
      </c>
      <c r="H374">
        <v>27</v>
      </c>
      <c r="I374">
        <v>22</v>
      </c>
      <c r="J374">
        <v>2</v>
      </c>
      <c r="K374">
        <v>1</v>
      </c>
      <c r="L374">
        <v>2</v>
      </c>
      <c r="M374">
        <v>25</v>
      </c>
      <c r="N374">
        <v>175.05</v>
      </c>
      <c r="O374">
        <v>1</v>
      </c>
      <c r="P3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74" t="str">
        <f>IF(Table1[[#This Row],[Fraud_Score]]&gt;=6, "High Risk",IF(Table1[[#This Row],[Fraud_Score]]&gt;=3, "Medium Risk", "Low Risk"))</f>
        <v>Medium Risk</v>
      </c>
      <c r="R374">
        <f>IF(Table1[[#This Row],[Seconds of Use]]=0,0,Table1[[#This Row],[Customer Value]]/Table1[[#This Row],[Seconds of Use]]*100)</f>
        <v>15.422907488986784</v>
      </c>
    </row>
    <row r="375" spans="1:18" x14ac:dyDescent="0.35">
      <c r="A375" s="3" t="s">
        <v>396</v>
      </c>
      <c r="B375">
        <v>23</v>
      </c>
      <c r="C375">
        <v>0</v>
      </c>
      <c r="D375">
        <v>39</v>
      </c>
      <c r="E375">
        <v>8</v>
      </c>
      <c r="F375">
        <v>10615</v>
      </c>
      <c r="G375">
        <v>101</v>
      </c>
      <c r="H375">
        <v>12</v>
      </c>
      <c r="I375">
        <v>47</v>
      </c>
      <c r="J375">
        <v>5</v>
      </c>
      <c r="K375">
        <v>1</v>
      </c>
      <c r="L375">
        <v>1</v>
      </c>
      <c r="M375">
        <v>55</v>
      </c>
      <c r="N375">
        <v>178.74</v>
      </c>
      <c r="O375">
        <v>0</v>
      </c>
      <c r="P3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75" t="str">
        <f>IF(Table1[[#This Row],[Fraud_Score]]&gt;=6, "High Risk",IF(Table1[[#This Row],[Fraud_Score]]&gt;=3, "Medium Risk", "Low Risk"))</f>
        <v>Low Risk</v>
      </c>
      <c r="R375">
        <f>IF(Table1[[#This Row],[Seconds of Use]]=0,0,Table1[[#This Row],[Customer Value]]/Table1[[#This Row],[Seconds of Use]]*100)</f>
        <v>1.6838436175223741</v>
      </c>
    </row>
    <row r="376" spans="1:18" x14ac:dyDescent="0.35">
      <c r="A376" s="3" t="s">
        <v>397</v>
      </c>
      <c r="B376">
        <v>15</v>
      </c>
      <c r="C376">
        <v>0</v>
      </c>
      <c r="D376">
        <v>39</v>
      </c>
      <c r="E376">
        <v>1</v>
      </c>
      <c r="F376">
        <v>5998</v>
      </c>
      <c r="G376">
        <v>106</v>
      </c>
      <c r="H376">
        <v>37</v>
      </c>
      <c r="I376">
        <v>29</v>
      </c>
      <c r="J376">
        <v>2</v>
      </c>
      <c r="K376">
        <v>1</v>
      </c>
      <c r="L376">
        <v>1</v>
      </c>
      <c r="M376">
        <v>25</v>
      </c>
      <c r="N376">
        <v>441.18</v>
      </c>
      <c r="O376">
        <v>0</v>
      </c>
      <c r="P3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76" t="str">
        <f>IF(Table1[[#This Row],[Fraud_Score]]&gt;=6, "High Risk",IF(Table1[[#This Row],[Fraud_Score]]&gt;=3, "Medium Risk", "Low Risk"))</f>
        <v>Low Risk</v>
      </c>
      <c r="R376">
        <f>IF(Table1[[#This Row],[Seconds of Use]]=0,0,Table1[[#This Row],[Customer Value]]/Table1[[#This Row],[Seconds of Use]]*100)</f>
        <v>7.3554518172724235</v>
      </c>
    </row>
    <row r="377" spans="1:18" x14ac:dyDescent="0.35">
      <c r="A377" s="3" t="s">
        <v>398</v>
      </c>
      <c r="B377">
        <v>3</v>
      </c>
      <c r="C377">
        <v>0</v>
      </c>
      <c r="D377">
        <v>37</v>
      </c>
      <c r="E377">
        <v>0</v>
      </c>
      <c r="F377">
        <v>3020</v>
      </c>
      <c r="G377">
        <v>30</v>
      </c>
      <c r="H377">
        <v>11</v>
      </c>
      <c r="I377">
        <v>19</v>
      </c>
      <c r="J377">
        <v>3</v>
      </c>
      <c r="K377">
        <v>1</v>
      </c>
      <c r="L377">
        <v>1</v>
      </c>
      <c r="M377">
        <v>30</v>
      </c>
      <c r="N377">
        <v>166</v>
      </c>
      <c r="O377">
        <v>0</v>
      </c>
      <c r="P3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77" t="str">
        <f>IF(Table1[[#This Row],[Fraud_Score]]&gt;=6, "High Risk",IF(Table1[[#This Row],[Fraud_Score]]&gt;=3, "Medium Risk", "Low Risk"))</f>
        <v>Low Risk</v>
      </c>
      <c r="R377">
        <f>IF(Table1[[#This Row],[Seconds of Use]]=0,0,Table1[[#This Row],[Customer Value]]/Table1[[#This Row],[Seconds of Use]]*100)</f>
        <v>5.4966887417218544</v>
      </c>
    </row>
    <row r="378" spans="1:18" x14ac:dyDescent="0.35">
      <c r="A378" s="3" t="s">
        <v>399</v>
      </c>
      <c r="B378">
        <v>11</v>
      </c>
      <c r="C378">
        <v>1</v>
      </c>
      <c r="D378">
        <v>38</v>
      </c>
      <c r="E378">
        <v>0</v>
      </c>
      <c r="F378">
        <v>3170</v>
      </c>
      <c r="G378">
        <v>49</v>
      </c>
      <c r="H378">
        <v>20</v>
      </c>
      <c r="I378">
        <v>21</v>
      </c>
      <c r="J378">
        <v>3</v>
      </c>
      <c r="K378">
        <v>1</v>
      </c>
      <c r="L378">
        <v>2</v>
      </c>
      <c r="M378">
        <v>30</v>
      </c>
      <c r="N378">
        <v>208.76</v>
      </c>
      <c r="O378">
        <v>1</v>
      </c>
      <c r="P3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78" t="str">
        <f>IF(Table1[[#This Row],[Fraud_Score]]&gt;=6, "High Risk",IF(Table1[[#This Row],[Fraud_Score]]&gt;=3, "Medium Risk", "Low Risk"))</f>
        <v>Medium Risk</v>
      </c>
      <c r="R378">
        <f>IF(Table1[[#This Row],[Seconds of Use]]=0,0,Table1[[#This Row],[Customer Value]]/Table1[[#This Row],[Seconds of Use]]*100)</f>
        <v>6.5854889589905357</v>
      </c>
    </row>
    <row r="379" spans="1:18" x14ac:dyDescent="0.35">
      <c r="A379" s="3" t="s">
        <v>400</v>
      </c>
      <c r="B379">
        <v>11</v>
      </c>
      <c r="C379">
        <v>1</v>
      </c>
      <c r="D379">
        <v>39</v>
      </c>
      <c r="E379">
        <v>0</v>
      </c>
      <c r="F379">
        <v>2448</v>
      </c>
      <c r="G379">
        <v>52</v>
      </c>
      <c r="H379">
        <v>45</v>
      </c>
      <c r="I379">
        <v>36</v>
      </c>
      <c r="J379">
        <v>3</v>
      </c>
      <c r="K379">
        <v>1</v>
      </c>
      <c r="L379">
        <v>2</v>
      </c>
      <c r="M379">
        <v>30</v>
      </c>
      <c r="N379">
        <v>280</v>
      </c>
      <c r="O379">
        <v>1</v>
      </c>
      <c r="P3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79" t="str">
        <f>IF(Table1[[#This Row],[Fraud_Score]]&gt;=6, "High Risk",IF(Table1[[#This Row],[Fraud_Score]]&gt;=3, "Medium Risk", "Low Risk"))</f>
        <v>Medium Risk</v>
      </c>
      <c r="R379">
        <f>IF(Table1[[#This Row],[Seconds of Use]]=0,0,Table1[[#This Row],[Customer Value]]/Table1[[#This Row],[Seconds of Use]]*100)</f>
        <v>11.437908496732026</v>
      </c>
    </row>
    <row r="380" spans="1:18" x14ac:dyDescent="0.35">
      <c r="A380" s="3" t="s">
        <v>401</v>
      </c>
      <c r="B380">
        <v>2</v>
      </c>
      <c r="C380">
        <v>1</v>
      </c>
      <c r="D380">
        <v>39</v>
      </c>
      <c r="E380">
        <v>0</v>
      </c>
      <c r="F380">
        <v>313</v>
      </c>
      <c r="G380">
        <v>10</v>
      </c>
      <c r="H380">
        <v>11</v>
      </c>
      <c r="I380">
        <v>7</v>
      </c>
      <c r="J380">
        <v>3</v>
      </c>
      <c r="K380">
        <v>1</v>
      </c>
      <c r="L380">
        <v>2</v>
      </c>
      <c r="M380">
        <v>30</v>
      </c>
      <c r="N380">
        <v>56.92</v>
      </c>
      <c r="O380">
        <v>1</v>
      </c>
      <c r="P3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80" t="str">
        <f>IF(Table1[[#This Row],[Fraud_Score]]&gt;=6, "High Risk",IF(Table1[[#This Row],[Fraud_Score]]&gt;=3, "Medium Risk", "Low Risk"))</f>
        <v>Medium Risk</v>
      </c>
      <c r="R380">
        <f>IF(Table1[[#This Row],[Seconds of Use]]=0,0,Table1[[#This Row],[Customer Value]]/Table1[[#This Row],[Seconds of Use]]*100)</f>
        <v>18.185303514376997</v>
      </c>
    </row>
    <row r="381" spans="1:18" x14ac:dyDescent="0.35">
      <c r="A381" s="3" t="s">
        <v>402</v>
      </c>
      <c r="B381">
        <v>3</v>
      </c>
      <c r="C381">
        <v>0</v>
      </c>
      <c r="D381">
        <v>39</v>
      </c>
      <c r="E381">
        <v>0</v>
      </c>
      <c r="F381">
        <v>1848</v>
      </c>
      <c r="G381">
        <v>33</v>
      </c>
      <c r="H381">
        <v>11</v>
      </c>
      <c r="I381">
        <v>11</v>
      </c>
      <c r="J381">
        <v>3</v>
      </c>
      <c r="K381">
        <v>1</v>
      </c>
      <c r="L381">
        <v>1</v>
      </c>
      <c r="M381">
        <v>30</v>
      </c>
      <c r="N381">
        <v>119.24</v>
      </c>
      <c r="O381">
        <v>0</v>
      </c>
      <c r="P3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81" t="str">
        <f>IF(Table1[[#This Row],[Fraud_Score]]&gt;=6, "High Risk",IF(Table1[[#This Row],[Fraud_Score]]&gt;=3, "Medium Risk", "Low Risk"))</f>
        <v>Low Risk</v>
      </c>
      <c r="R381">
        <f>IF(Table1[[#This Row],[Seconds of Use]]=0,0,Table1[[#This Row],[Customer Value]]/Table1[[#This Row],[Seconds of Use]]*100)</f>
        <v>6.4523809523809526</v>
      </c>
    </row>
    <row r="382" spans="1:18" x14ac:dyDescent="0.35">
      <c r="A382" s="3" t="s">
        <v>403</v>
      </c>
      <c r="B382">
        <v>5</v>
      </c>
      <c r="C382">
        <v>0</v>
      </c>
      <c r="D382">
        <v>36</v>
      </c>
      <c r="E382">
        <v>1</v>
      </c>
      <c r="F382">
        <v>6965</v>
      </c>
      <c r="G382">
        <v>105</v>
      </c>
      <c r="H382">
        <v>25</v>
      </c>
      <c r="I382">
        <v>27</v>
      </c>
      <c r="J382">
        <v>5</v>
      </c>
      <c r="K382">
        <v>1</v>
      </c>
      <c r="L382">
        <v>1</v>
      </c>
      <c r="M382">
        <v>55</v>
      </c>
      <c r="N382">
        <v>143.55000000000001</v>
      </c>
      <c r="O382">
        <v>0</v>
      </c>
      <c r="P3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82" t="str">
        <f>IF(Table1[[#This Row],[Fraud_Score]]&gt;=6, "High Risk",IF(Table1[[#This Row],[Fraud_Score]]&gt;=3, "Medium Risk", "Low Risk"))</f>
        <v>Low Risk</v>
      </c>
      <c r="R382">
        <f>IF(Table1[[#This Row],[Seconds of Use]]=0,0,Table1[[#This Row],[Customer Value]]/Table1[[#This Row],[Seconds of Use]]*100)</f>
        <v>2.061019382627423</v>
      </c>
    </row>
    <row r="383" spans="1:18" x14ac:dyDescent="0.35">
      <c r="A383" s="3" t="s">
        <v>404</v>
      </c>
      <c r="B383">
        <v>2</v>
      </c>
      <c r="C383">
        <v>0</v>
      </c>
      <c r="D383">
        <v>39</v>
      </c>
      <c r="E383">
        <v>0</v>
      </c>
      <c r="F383">
        <v>808</v>
      </c>
      <c r="G383">
        <v>15</v>
      </c>
      <c r="H383">
        <v>20</v>
      </c>
      <c r="I383">
        <v>9</v>
      </c>
      <c r="J383">
        <v>4</v>
      </c>
      <c r="K383">
        <v>1</v>
      </c>
      <c r="L383">
        <v>2</v>
      </c>
      <c r="M383">
        <v>45</v>
      </c>
      <c r="N383">
        <v>70.575000000000003</v>
      </c>
      <c r="O383">
        <v>1</v>
      </c>
      <c r="P3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83" t="str">
        <f>IF(Table1[[#This Row],[Fraud_Score]]&gt;=6, "High Risk",IF(Table1[[#This Row],[Fraud_Score]]&gt;=3, "Medium Risk", "Low Risk"))</f>
        <v>Low Risk</v>
      </c>
      <c r="R383">
        <f>IF(Table1[[#This Row],[Seconds of Use]]=0,0,Table1[[#This Row],[Customer Value]]/Table1[[#This Row],[Seconds of Use]]*100)</f>
        <v>8.7345297029702973</v>
      </c>
    </row>
    <row r="384" spans="1:18" x14ac:dyDescent="0.35">
      <c r="A384" s="3" t="s">
        <v>405</v>
      </c>
      <c r="B384">
        <v>2</v>
      </c>
      <c r="C384">
        <v>0</v>
      </c>
      <c r="D384">
        <v>39</v>
      </c>
      <c r="E384">
        <v>1</v>
      </c>
      <c r="F384">
        <v>518</v>
      </c>
      <c r="G384">
        <v>12</v>
      </c>
      <c r="H384">
        <v>15</v>
      </c>
      <c r="I384">
        <v>7</v>
      </c>
      <c r="J384">
        <v>5</v>
      </c>
      <c r="K384">
        <v>1</v>
      </c>
      <c r="L384">
        <v>1</v>
      </c>
      <c r="M384">
        <v>55</v>
      </c>
      <c r="N384">
        <v>30.45</v>
      </c>
      <c r="O384">
        <v>0</v>
      </c>
      <c r="P3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84" t="str">
        <f>IF(Table1[[#This Row],[Fraud_Score]]&gt;=6, "High Risk",IF(Table1[[#This Row],[Fraud_Score]]&gt;=3, "Medium Risk", "Low Risk"))</f>
        <v>Low Risk</v>
      </c>
      <c r="R384">
        <f>IF(Table1[[#This Row],[Seconds of Use]]=0,0,Table1[[#This Row],[Customer Value]]/Table1[[#This Row],[Seconds of Use]]*100)</f>
        <v>5.8783783783783781</v>
      </c>
    </row>
    <row r="385" spans="1:18" x14ac:dyDescent="0.35">
      <c r="A385" s="3" t="s">
        <v>406</v>
      </c>
      <c r="B385">
        <v>27</v>
      </c>
      <c r="C385">
        <v>1</v>
      </c>
      <c r="D385">
        <v>34</v>
      </c>
      <c r="E385">
        <v>3</v>
      </c>
      <c r="F385">
        <v>16255</v>
      </c>
      <c r="G385">
        <v>246</v>
      </c>
      <c r="H385">
        <v>11</v>
      </c>
      <c r="I385">
        <v>85</v>
      </c>
      <c r="J385">
        <v>2</v>
      </c>
      <c r="K385">
        <v>1</v>
      </c>
      <c r="L385">
        <v>1</v>
      </c>
      <c r="M385">
        <v>25</v>
      </c>
      <c r="N385">
        <v>792.04499999999996</v>
      </c>
      <c r="O385">
        <v>0</v>
      </c>
      <c r="P3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7</v>
      </c>
      <c r="Q385" t="str">
        <f>IF(Table1[[#This Row],[Fraud_Score]]&gt;=6, "High Risk",IF(Table1[[#This Row],[Fraud_Score]]&gt;=3, "Medium Risk", "Low Risk"))</f>
        <v>High Risk</v>
      </c>
      <c r="R385">
        <f>IF(Table1[[#This Row],[Seconds of Use]]=0,0,Table1[[#This Row],[Customer Value]]/Table1[[#This Row],[Seconds of Use]]*100)</f>
        <v>4.8726238080590587</v>
      </c>
    </row>
    <row r="386" spans="1:18" x14ac:dyDescent="0.35">
      <c r="A386" s="3" t="s">
        <v>407</v>
      </c>
      <c r="B386">
        <v>8</v>
      </c>
      <c r="C386">
        <v>0</v>
      </c>
      <c r="D386">
        <v>37</v>
      </c>
      <c r="E386">
        <v>3</v>
      </c>
      <c r="F386">
        <v>7145</v>
      </c>
      <c r="G386">
        <v>124</v>
      </c>
      <c r="H386">
        <v>282</v>
      </c>
      <c r="I386">
        <v>38</v>
      </c>
      <c r="J386">
        <v>2</v>
      </c>
      <c r="K386">
        <v>2</v>
      </c>
      <c r="L386">
        <v>1</v>
      </c>
      <c r="M386">
        <v>25</v>
      </c>
      <c r="N386">
        <v>1596.105</v>
      </c>
      <c r="O386">
        <v>0</v>
      </c>
      <c r="P3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86" t="str">
        <f>IF(Table1[[#This Row],[Fraud_Score]]&gt;=6, "High Risk",IF(Table1[[#This Row],[Fraud_Score]]&gt;=3, "Medium Risk", "Low Risk"))</f>
        <v>Low Risk</v>
      </c>
      <c r="R386">
        <f>IF(Table1[[#This Row],[Seconds of Use]]=0,0,Table1[[#This Row],[Customer Value]]/Table1[[#This Row],[Seconds of Use]]*100)</f>
        <v>22.338768369489152</v>
      </c>
    </row>
    <row r="387" spans="1:18" x14ac:dyDescent="0.35">
      <c r="A387" s="3" t="s">
        <v>408</v>
      </c>
      <c r="B387">
        <v>4</v>
      </c>
      <c r="C387">
        <v>0</v>
      </c>
      <c r="D387">
        <v>39</v>
      </c>
      <c r="E387">
        <v>0</v>
      </c>
      <c r="F387">
        <v>3898</v>
      </c>
      <c r="G387">
        <v>90</v>
      </c>
      <c r="H387">
        <v>13</v>
      </c>
      <c r="I387">
        <v>33</v>
      </c>
      <c r="J387">
        <v>2</v>
      </c>
      <c r="K387">
        <v>1</v>
      </c>
      <c r="L387">
        <v>1</v>
      </c>
      <c r="M387">
        <v>25</v>
      </c>
      <c r="N387">
        <v>237.96</v>
      </c>
      <c r="O387">
        <v>0</v>
      </c>
      <c r="P3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87" t="str">
        <f>IF(Table1[[#This Row],[Fraud_Score]]&gt;=6, "High Risk",IF(Table1[[#This Row],[Fraud_Score]]&gt;=3, "Medium Risk", "Low Risk"))</f>
        <v>Low Risk</v>
      </c>
      <c r="R387">
        <f>IF(Table1[[#This Row],[Seconds of Use]]=0,0,Table1[[#This Row],[Customer Value]]/Table1[[#This Row],[Seconds of Use]]*100)</f>
        <v>6.1046690610569527</v>
      </c>
    </row>
    <row r="388" spans="1:18" x14ac:dyDescent="0.35">
      <c r="A388" s="3" t="s">
        <v>409</v>
      </c>
      <c r="B388">
        <v>5</v>
      </c>
      <c r="C388">
        <v>0</v>
      </c>
      <c r="D388">
        <v>38</v>
      </c>
      <c r="E388">
        <v>0</v>
      </c>
      <c r="F388">
        <v>1845</v>
      </c>
      <c r="G388">
        <v>52</v>
      </c>
      <c r="H388">
        <v>49</v>
      </c>
      <c r="I388">
        <v>25</v>
      </c>
      <c r="J388">
        <v>3</v>
      </c>
      <c r="K388">
        <v>1</v>
      </c>
      <c r="L388">
        <v>2</v>
      </c>
      <c r="M388">
        <v>30</v>
      </c>
      <c r="N388">
        <v>271.88</v>
      </c>
      <c r="O388">
        <v>0</v>
      </c>
      <c r="P3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88" t="str">
        <f>IF(Table1[[#This Row],[Fraud_Score]]&gt;=6, "High Risk",IF(Table1[[#This Row],[Fraud_Score]]&gt;=3, "Medium Risk", "Low Risk"))</f>
        <v>Low Risk</v>
      </c>
      <c r="R388">
        <f>IF(Table1[[#This Row],[Seconds of Use]]=0,0,Table1[[#This Row],[Customer Value]]/Table1[[#This Row],[Seconds of Use]]*100)</f>
        <v>14.736043360433603</v>
      </c>
    </row>
    <row r="389" spans="1:18" x14ac:dyDescent="0.35">
      <c r="A389" s="3" t="s">
        <v>410</v>
      </c>
      <c r="B389">
        <v>8</v>
      </c>
      <c r="C389">
        <v>0</v>
      </c>
      <c r="D389">
        <v>39</v>
      </c>
      <c r="E389">
        <v>0</v>
      </c>
      <c r="F389">
        <v>2960</v>
      </c>
      <c r="G389">
        <v>61</v>
      </c>
      <c r="H389">
        <v>186</v>
      </c>
      <c r="I389">
        <v>28</v>
      </c>
      <c r="J389">
        <v>2</v>
      </c>
      <c r="K389">
        <v>1</v>
      </c>
      <c r="L389">
        <v>1</v>
      </c>
      <c r="M389">
        <v>25</v>
      </c>
      <c r="N389">
        <v>972.94500000000005</v>
      </c>
      <c r="O389">
        <v>0</v>
      </c>
      <c r="P3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89" t="str">
        <f>IF(Table1[[#This Row],[Fraud_Score]]&gt;=6, "High Risk",IF(Table1[[#This Row],[Fraud_Score]]&gt;=3, "Medium Risk", "Low Risk"))</f>
        <v>Low Risk</v>
      </c>
      <c r="R389">
        <f>IF(Table1[[#This Row],[Seconds of Use]]=0,0,Table1[[#This Row],[Customer Value]]/Table1[[#This Row],[Seconds of Use]]*100)</f>
        <v>32.869763513513519</v>
      </c>
    </row>
    <row r="390" spans="1:18" x14ac:dyDescent="0.35">
      <c r="A390" s="3" t="s">
        <v>411</v>
      </c>
      <c r="B390">
        <v>6</v>
      </c>
      <c r="C390">
        <v>1</v>
      </c>
      <c r="D390">
        <v>30</v>
      </c>
      <c r="E390">
        <v>1</v>
      </c>
      <c r="F390">
        <v>1495</v>
      </c>
      <c r="G390">
        <v>44</v>
      </c>
      <c r="H390">
        <v>204</v>
      </c>
      <c r="I390">
        <v>16</v>
      </c>
      <c r="J390">
        <v>2</v>
      </c>
      <c r="K390">
        <v>2</v>
      </c>
      <c r="L390">
        <v>1</v>
      </c>
      <c r="M390">
        <v>25</v>
      </c>
      <c r="N390">
        <v>987.255</v>
      </c>
      <c r="O390">
        <v>1</v>
      </c>
      <c r="P3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90" t="str">
        <f>IF(Table1[[#This Row],[Fraud_Score]]&gt;=6, "High Risk",IF(Table1[[#This Row],[Fraud_Score]]&gt;=3, "Medium Risk", "Low Risk"))</f>
        <v>Low Risk</v>
      </c>
      <c r="R390">
        <f>IF(Table1[[#This Row],[Seconds of Use]]=0,0,Table1[[#This Row],[Customer Value]]/Table1[[#This Row],[Seconds of Use]]*100)</f>
        <v>66.037123745819386</v>
      </c>
    </row>
    <row r="391" spans="1:18" x14ac:dyDescent="0.35">
      <c r="A391" s="3" t="s">
        <v>412</v>
      </c>
      <c r="B391">
        <v>6</v>
      </c>
      <c r="C391">
        <v>0</v>
      </c>
      <c r="D391">
        <v>29</v>
      </c>
      <c r="E391">
        <v>0</v>
      </c>
      <c r="F391">
        <v>1748</v>
      </c>
      <c r="G391">
        <v>47</v>
      </c>
      <c r="H391">
        <v>41</v>
      </c>
      <c r="I391">
        <v>73</v>
      </c>
      <c r="J391">
        <v>4</v>
      </c>
      <c r="K391">
        <v>1</v>
      </c>
      <c r="L391">
        <v>1</v>
      </c>
      <c r="M391">
        <v>45</v>
      </c>
      <c r="N391">
        <v>147.375</v>
      </c>
      <c r="O391">
        <v>0</v>
      </c>
      <c r="P3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91" t="str">
        <f>IF(Table1[[#This Row],[Fraud_Score]]&gt;=6, "High Risk",IF(Table1[[#This Row],[Fraud_Score]]&gt;=3, "Medium Risk", "Low Risk"))</f>
        <v>Low Risk</v>
      </c>
      <c r="R391">
        <f>IF(Table1[[#This Row],[Seconds of Use]]=0,0,Table1[[#This Row],[Customer Value]]/Table1[[#This Row],[Seconds of Use]]*100)</f>
        <v>8.4310640732265441</v>
      </c>
    </row>
    <row r="392" spans="1:18" x14ac:dyDescent="0.35">
      <c r="A392" s="3" t="s">
        <v>413</v>
      </c>
      <c r="B392">
        <v>13</v>
      </c>
      <c r="C392">
        <v>0</v>
      </c>
      <c r="D392">
        <v>30</v>
      </c>
      <c r="E392">
        <v>0</v>
      </c>
      <c r="F392">
        <v>880</v>
      </c>
      <c r="G392">
        <v>33</v>
      </c>
      <c r="H392">
        <v>21</v>
      </c>
      <c r="I392">
        <v>12</v>
      </c>
      <c r="J392">
        <v>2</v>
      </c>
      <c r="K392">
        <v>1</v>
      </c>
      <c r="L392">
        <v>2</v>
      </c>
      <c r="M392">
        <v>25</v>
      </c>
      <c r="N392">
        <v>135.58500000000001</v>
      </c>
      <c r="O392">
        <v>0</v>
      </c>
      <c r="P3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92" t="str">
        <f>IF(Table1[[#This Row],[Fraud_Score]]&gt;=6, "High Risk",IF(Table1[[#This Row],[Fraud_Score]]&gt;=3, "Medium Risk", "Low Risk"))</f>
        <v>Medium Risk</v>
      </c>
      <c r="R392">
        <f>IF(Table1[[#This Row],[Seconds of Use]]=0,0,Table1[[#This Row],[Customer Value]]/Table1[[#This Row],[Seconds of Use]]*100)</f>
        <v>15.407386363636363</v>
      </c>
    </row>
    <row r="393" spans="1:18" x14ac:dyDescent="0.35">
      <c r="A393" s="3" t="s">
        <v>414</v>
      </c>
      <c r="B393">
        <v>2</v>
      </c>
      <c r="C393">
        <v>0</v>
      </c>
      <c r="D393">
        <v>29</v>
      </c>
      <c r="E393">
        <v>0</v>
      </c>
      <c r="F393">
        <v>1005</v>
      </c>
      <c r="G393">
        <v>18</v>
      </c>
      <c r="H393">
        <v>32</v>
      </c>
      <c r="I393">
        <v>8</v>
      </c>
      <c r="J393">
        <v>4</v>
      </c>
      <c r="K393">
        <v>1</v>
      </c>
      <c r="L393">
        <v>2</v>
      </c>
      <c r="M393">
        <v>45</v>
      </c>
      <c r="N393">
        <v>105.575</v>
      </c>
      <c r="O393">
        <v>0</v>
      </c>
      <c r="P3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93" t="str">
        <f>IF(Table1[[#This Row],[Fraud_Score]]&gt;=6, "High Risk",IF(Table1[[#This Row],[Fraud_Score]]&gt;=3, "Medium Risk", "Low Risk"))</f>
        <v>Low Risk</v>
      </c>
      <c r="R393">
        <f>IF(Table1[[#This Row],[Seconds of Use]]=0,0,Table1[[#This Row],[Customer Value]]/Table1[[#This Row],[Seconds of Use]]*100)</f>
        <v>10.50497512437811</v>
      </c>
    </row>
    <row r="394" spans="1:18" x14ac:dyDescent="0.35">
      <c r="A394" s="3" t="s">
        <v>415</v>
      </c>
      <c r="B394">
        <v>12</v>
      </c>
      <c r="C394">
        <v>0</v>
      </c>
      <c r="D394">
        <v>28</v>
      </c>
      <c r="E394">
        <v>0</v>
      </c>
      <c r="F394">
        <v>1405</v>
      </c>
      <c r="G394">
        <v>40</v>
      </c>
      <c r="H394">
        <v>30</v>
      </c>
      <c r="I394">
        <v>18</v>
      </c>
      <c r="J394">
        <v>2</v>
      </c>
      <c r="K394">
        <v>1</v>
      </c>
      <c r="L394">
        <v>1</v>
      </c>
      <c r="M394">
        <v>25</v>
      </c>
      <c r="N394">
        <v>200.02500000000001</v>
      </c>
      <c r="O394">
        <v>0</v>
      </c>
      <c r="P3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94" t="str">
        <f>IF(Table1[[#This Row],[Fraud_Score]]&gt;=6, "High Risk",IF(Table1[[#This Row],[Fraud_Score]]&gt;=3, "Medium Risk", "Low Risk"))</f>
        <v>Medium Risk</v>
      </c>
      <c r="R394">
        <f>IF(Table1[[#This Row],[Seconds of Use]]=0,0,Table1[[#This Row],[Customer Value]]/Table1[[#This Row],[Seconds of Use]]*100)</f>
        <v>14.236654804270463</v>
      </c>
    </row>
    <row r="395" spans="1:18" x14ac:dyDescent="0.35">
      <c r="A395" s="3" t="s">
        <v>416</v>
      </c>
      <c r="B395">
        <v>4</v>
      </c>
      <c r="C395">
        <v>0</v>
      </c>
      <c r="D395">
        <v>28</v>
      </c>
      <c r="E395">
        <v>0</v>
      </c>
      <c r="F395">
        <v>3405</v>
      </c>
      <c r="G395">
        <v>69</v>
      </c>
      <c r="H395">
        <v>19</v>
      </c>
      <c r="I395">
        <v>28</v>
      </c>
      <c r="J395">
        <v>3</v>
      </c>
      <c r="K395">
        <v>1</v>
      </c>
      <c r="L395">
        <v>1</v>
      </c>
      <c r="M395">
        <v>30</v>
      </c>
      <c r="N395">
        <v>214.96</v>
      </c>
      <c r="O395">
        <v>0</v>
      </c>
      <c r="P3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95" t="str">
        <f>IF(Table1[[#This Row],[Fraud_Score]]&gt;=6, "High Risk",IF(Table1[[#This Row],[Fraud_Score]]&gt;=3, "Medium Risk", "Low Risk"))</f>
        <v>Low Risk</v>
      </c>
      <c r="R395">
        <f>IF(Table1[[#This Row],[Seconds of Use]]=0,0,Table1[[#This Row],[Customer Value]]/Table1[[#This Row],[Seconds of Use]]*100)</f>
        <v>6.313069016152717</v>
      </c>
    </row>
    <row r="396" spans="1:18" x14ac:dyDescent="0.35">
      <c r="A396" s="3" t="s">
        <v>417</v>
      </c>
      <c r="B396">
        <v>4</v>
      </c>
      <c r="C396">
        <v>0</v>
      </c>
      <c r="D396">
        <v>21</v>
      </c>
      <c r="E396">
        <v>0</v>
      </c>
      <c r="F396">
        <v>1875</v>
      </c>
      <c r="G396">
        <v>34</v>
      </c>
      <c r="H396">
        <v>39</v>
      </c>
      <c r="I396">
        <v>19</v>
      </c>
      <c r="J396">
        <v>2</v>
      </c>
      <c r="K396">
        <v>1</v>
      </c>
      <c r="L396">
        <v>1</v>
      </c>
      <c r="M396">
        <v>25</v>
      </c>
      <c r="N396">
        <v>261.40499999999997</v>
      </c>
      <c r="O396">
        <v>0</v>
      </c>
      <c r="P3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96" t="str">
        <f>IF(Table1[[#This Row],[Fraud_Score]]&gt;=6, "High Risk",IF(Table1[[#This Row],[Fraud_Score]]&gt;=3, "Medium Risk", "Low Risk"))</f>
        <v>Low Risk</v>
      </c>
      <c r="R396">
        <f>IF(Table1[[#This Row],[Seconds of Use]]=0,0,Table1[[#This Row],[Customer Value]]/Table1[[#This Row],[Seconds of Use]]*100)</f>
        <v>13.941599999999998</v>
      </c>
    </row>
    <row r="397" spans="1:18" x14ac:dyDescent="0.35">
      <c r="A397" s="3" t="s">
        <v>418</v>
      </c>
      <c r="B397">
        <v>18</v>
      </c>
      <c r="C397">
        <v>0</v>
      </c>
      <c r="D397">
        <v>20</v>
      </c>
      <c r="E397">
        <v>1</v>
      </c>
      <c r="F397">
        <v>6573</v>
      </c>
      <c r="G397">
        <v>149</v>
      </c>
      <c r="H397">
        <v>96</v>
      </c>
      <c r="I397">
        <v>47</v>
      </c>
      <c r="J397">
        <v>2</v>
      </c>
      <c r="K397">
        <v>2</v>
      </c>
      <c r="L397">
        <v>1</v>
      </c>
      <c r="M397">
        <v>25</v>
      </c>
      <c r="N397">
        <v>734.49</v>
      </c>
      <c r="O397">
        <v>0</v>
      </c>
      <c r="P3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97" t="str">
        <f>IF(Table1[[#This Row],[Fraud_Score]]&gt;=6, "High Risk",IF(Table1[[#This Row],[Fraud_Score]]&gt;=3, "Medium Risk", "Low Risk"))</f>
        <v>Medium Risk</v>
      </c>
      <c r="R397">
        <f>IF(Table1[[#This Row],[Seconds of Use]]=0,0,Table1[[#This Row],[Customer Value]]/Table1[[#This Row],[Seconds of Use]]*100)</f>
        <v>11.174349612049292</v>
      </c>
    </row>
    <row r="398" spans="1:18" x14ac:dyDescent="0.35">
      <c r="A398" s="3" t="s">
        <v>419</v>
      </c>
      <c r="B398">
        <v>14</v>
      </c>
      <c r="C398">
        <v>0</v>
      </c>
      <c r="D398">
        <v>18</v>
      </c>
      <c r="E398">
        <v>0</v>
      </c>
      <c r="F398">
        <v>9113</v>
      </c>
      <c r="G398">
        <v>179</v>
      </c>
      <c r="H398">
        <v>84</v>
      </c>
      <c r="I398">
        <v>45</v>
      </c>
      <c r="J398">
        <v>4</v>
      </c>
      <c r="K398">
        <v>1</v>
      </c>
      <c r="L398">
        <v>1</v>
      </c>
      <c r="M398">
        <v>45</v>
      </c>
      <c r="N398">
        <v>442.3</v>
      </c>
      <c r="O398">
        <v>0</v>
      </c>
      <c r="P3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98" t="str">
        <f>IF(Table1[[#This Row],[Fraud_Score]]&gt;=6, "High Risk",IF(Table1[[#This Row],[Fraud_Score]]&gt;=3, "Medium Risk", "Low Risk"))</f>
        <v>Medium Risk</v>
      </c>
      <c r="R398">
        <f>IF(Table1[[#This Row],[Seconds of Use]]=0,0,Table1[[#This Row],[Customer Value]]/Table1[[#This Row],[Seconds of Use]]*100)</f>
        <v>4.8535059804674647</v>
      </c>
    </row>
    <row r="399" spans="1:18" x14ac:dyDescent="0.35">
      <c r="A399" s="3" t="s">
        <v>420</v>
      </c>
      <c r="B399">
        <v>10</v>
      </c>
      <c r="C399">
        <v>0</v>
      </c>
      <c r="D399">
        <v>19</v>
      </c>
      <c r="E399">
        <v>3</v>
      </c>
      <c r="F399">
        <v>3033</v>
      </c>
      <c r="G399">
        <v>53</v>
      </c>
      <c r="H399">
        <v>42</v>
      </c>
      <c r="I399">
        <v>24</v>
      </c>
      <c r="J399">
        <v>3</v>
      </c>
      <c r="K399">
        <v>1</v>
      </c>
      <c r="L399">
        <v>1</v>
      </c>
      <c r="M399">
        <v>30</v>
      </c>
      <c r="N399">
        <v>291.44</v>
      </c>
      <c r="O399">
        <v>0</v>
      </c>
      <c r="P3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99" t="str">
        <f>IF(Table1[[#This Row],[Fraud_Score]]&gt;=6, "High Risk",IF(Table1[[#This Row],[Fraud_Score]]&gt;=3, "Medium Risk", "Low Risk"))</f>
        <v>Low Risk</v>
      </c>
      <c r="R399">
        <f>IF(Table1[[#This Row],[Seconds of Use]]=0,0,Table1[[#This Row],[Customer Value]]/Table1[[#This Row],[Seconds of Use]]*100)</f>
        <v>9.6089680184635675</v>
      </c>
    </row>
    <row r="400" spans="1:18" x14ac:dyDescent="0.35">
      <c r="A400" s="3" t="s">
        <v>421</v>
      </c>
      <c r="B400">
        <v>4</v>
      </c>
      <c r="C400">
        <v>0</v>
      </c>
      <c r="D400">
        <v>12</v>
      </c>
      <c r="E400">
        <v>1</v>
      </c>
      <c r="F400">
        <v>4570</v>
      </c>
      <c r="G400">
        <v>48</v>
      </c>
      <c r="H400">
        <v>226</v>
      </c>
      <c r="I400">
        <v>15</v>
      </c>
      <c r="J400">
        <v>3</v>
      </c>
      <c r="K400">
        <v>1</v>
      </c>
      <c r="L400">
        <v>1</v>
      </c>
      <c r="M400">
        <v>30</v>
      </c>
      <c r="N400">
        <v>1088.72</v>
      </c>
      <c r="O400">
        <v>0</v>
      </c>
      <c r="P4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00" t="str">
        <f>IF(Table1[[#This Row],[Fraud_Score]]&gt;=6, "High Risk",IF(Table1[[#This Row],[Fraud_Score]]&gt;=3, "Medium Risk", "Low Risk"))</f>
        <v>Low Risk</v>
      </c>
      <c r="R400">
        <f>IF(Table1[[#This Row],[Seconds of Use]]=0,0,Table1[[#This Row],[Customer Value]]/Table1[[#This Row],[Seconds of Use]]*100)</f>
        <v>23.823194748358866</v>
      </c>
    </row>
    <row r="401" spans="1:18" x14ac:dyDescent="0.35">
      <c r="A401" s="3" t="s">
        <v>422</v>
      </c>
      <c r="B401">
        <v>5</v>
      </c>
      <c r="C401">
        <v>0</v>
      </c>
      <c r="D401">
        <v>12</v>
      </c>
      <c r="E401">
        <v>1</v>
      </c>
      <c r="F401">
        <v>1668</v>
      </c>
      <c r="G401">
        <v>27</v>
      </c>
      <c r="H401">
        <v>11</v>
      </c>
      <c r="I401">
        <v>12</v>
      </c>
      <c r="J401">
        <v>3</v>
      </c>
      <c r="K401">
        <v>1</v>
      </c>
      <c r="L401">
        <v>1</v>
      </c>
      <c r="M401">
        <v>30</v>
      </c>
      <c r="N401">
        <v>111.8</v>
      </c>
      <c r="O401">
        <v>1</v>
      </c>
      <c r="P4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01" t="str">
        <f>IF(Table1[[#This Row],[Fraud_Score]]&gt;=6, "High Risk",IF(Table1[[#This Row],[Fraud_Score]]&gt;=3, "Medium Risk", "Low Risk"))</f>
        <v>Low Risk</v>
      </c>
      <c r="R401">
        <f>IF(Table1[[#This Row],[Seconds of Use]]=0,0,Table1[[#This Row],[Customer Value]]/Table1[[#This Row],[Seconds of Use]]*100)</f>
        <v>6.7026378896882495</v>
      </c>
    </row>
    <row r="402" spans="1:18" x14ac:dyDescent="0.35">
      <c r="A402" s="3" t="s">
        <v>423</v>
      </c>
      <c r="B402">
        <v>6</v>
      </c>
      <c r="C402">
        <v>0</v>
      </c>
      <c r="D402">
        <v>35</v>
      </c>
      <c r="E402">
        <v>0</v>
      </c>
      <c r="F402">
        <v>4190</v>
      </c>
      <c r="G402">
        <v>63</v>
      </c>
      <c r="H402">
        <v>0</v>
      </c>
      <c r="I402">
        <v>12</v>
      </c>
      <c r="J402">
        <v>3</v>
      </c>
      <c r="K402">
        <v>1</v>
      </c>
      <c r="L402">
        <v>1</v>
      </c>
      <c r="M402">
        <v>30</v>
      </c>
      <c r="N402">
        <v>170.12</v>
      </c>
      <c r="O402">
        <v>0</v>
      </c>
      <c r="P4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02" t="str">
        <f>IF(Table1[[#This Row],[Fraud_Score]]&gt;=6, "High Risk",IF(Table1[[#This Row],[Fraud_Score]]&gt;=3, "Medium Risk", "Low Risk"))</f>
        <v>Low Risk</v>
      </c>
      <c r="R402">
        <f>IF(Table1[[#This Row],[Seconds of Use]]=0,0,Table1[[#This Row],[Customer Value]]/Table1[[#This Row],[Seconds of Use]]*100)</f>
        <v>4.0601431980906924</v>
      </c>
    </row>
    <row r="403" spans="1:18" x14ac:dyDescent="0.35">
      <c r="A403" s="3" t="s">
        <v>424</v>
      </c>
      <c r="B403">
        <v>0</v>
      </c>
      <c r="C403">
        <v>0</v>
      </c>
      <c r="D403">
        <v>36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2</v>
      </c>
      <c r="K403">
        <v>1</v>
      </c>
      <c r="L403">
        <v>2</v>
      </c>
      <c r="M403">
        <v>25</v>
      </c>
      <c r="N403">
        <v>0</v>
      </c>
      <c r="O403">
        <v>0</v>
      </c>
      <c r="P4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03" t="str">
        <f>IF(Table1[[#This Row],[Fraud_Score]]&gt;=6, "High Risk",IF(Table1[[#This Row],[Fraud_Score]]&gt;=3, "Medium Risk", "Low Risk"))</f>
        <v>Low Risk</v>
      </c>
      <c r="R403">
        <f>IF(Table1[[#This Row],[Seconds of Use]]=0,0,Table1[[#This Row],[Customer Value]]/Table1[[#This Row],[Seconds of Use]]*100)</f>
        <v>0</v>
      </c>
    </row>
    <row r="404" spans="1:18" x14ac:dyDescent="0.35">
      <c r="A404" s="3" t="s">
        <v>425</v>
      </c>
      <c r="B404">
        <v>8</v>
      </c>
      <c r="C404">
        <v>0</v>
      </c>
      <c r="D404">
        <v>34</v>
      </c>
      <c r="E404">
        <v>0</v>
      </c>
      <c r="F404">
        <v>2273</v>
      </c>
      <c r="G404">
        <v>52</v>
      </c>
      <c r="H404">
        <v>348</v>
      </c>
      <c r="I404">
        <v>19</v>
      </c>
      <c r="J404">
        <v>3</v>
      </c>
      <c r="K404">
        <v>1</v>
      </c>
      <c r="L404">
        <v>1</v>
      </c>
      <c r="M404">
        <v>30</v>
      </c>
      <c r="N404">
        <v>1485</v>
      </c>
      <c r="O404">
        <v>0</v>
      </c>
      <c r="P4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04" t="str">
        <f>IF(Table1[[#This Row],[Fraud_Score]]&gt;=6, "High Risk",IF(Table1[[#This Row],[Fraud_Score]]&gt;=3, "Medium Risk", "Low Risk"))</f>
        <v>Low Risk</v>
      </c>
      <c r="R404">
        <f>IF(Table1[[#This Row],[Seconds of Use]]=0,0,Table1[[#This Row],[Customer Value]]/Table1[[#This Row],[Seconds of Use]]*100)</f>
        <v>65.332160140783103</v>
      </c>
    </row>
    <row r="405" spans="1:18" x14ac:dyDescent="0.35">
      <c r="A405" s="3" t="s">
        <v>426</v>
      </c>
      <c r="B405">
        <v>8</v>
      </c>
      <c r="C405">
        <v>0</v>
      </c>
      <c r="D405">
        <v>35</v>
      </c>
      <c r="E405">
        <v>0</v>
      </c>
      <c r="F405">
        <v>4018</v>
      </c>
      <c r="G405">
        <v>58</v>
      </c>
      <c r="H405">
        <v>0</v>
      </c>
      <c r="I405">
        <v>30</v>
      </c>
      <c r="J405">
        <v>1</v>
      </c>
      <c r="K405">
        <v>1</v>
      </c>
      <c r="L405">
        <v>1</v>
      </c>
      <c r="M405">
        <v>15</v>
      </c>
      <c r="N405">
        <v>224.18</v>
      </c>
      <c r="O405">
        <v>0</v>
      </c>
      <c r="P4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05" t="str">
        <f>IF(Table1[[#This Row],[Fraud_Score]]&gt;=6, "High Risk",IF(Table1[[#This Row],[Fraud_Score]]&gt;=3, "Medium Risk", "Low Risk"))</f>
        <v>Low Risk</v>
      </c>
      <c r="R405">
        <f>IF(Table1[[#This Row],[Seconds of Use]]=0,0,Table1[[#This Row],[Customer Value]]/Table1[[#This Row],[Seconds of Use]]*100)</f>
        <v>5.5793927327028374</v>
      </c>
    </row>
    <row r="406" spans="1:18" x14ac:dyDescent="0.35">
      <c r="A406" s="3" t="s">
        <v>427</v>
      </c>
      <c r="B406">
        <v>1</v>
      </c>
      <c r="C406">
        <v>0</v>
      </c>
      <c r="D406">
        <v>35</v>
      </c>
      <c r="E406">
        <v>0</v>
      </c>
      <c r="F406">
        <v>2213</v>
      </c>
      <c r="G406">
        <v>50</v>
      </c>
      <c r="H406">
        <v>0</v>
      </c>
      <c r="I406">
        <v>28</v>
      </c>
      <c r="J406">
        <v>1</v>
      </c>
      <c r="K406">
        <v>1</v>
      </c>
      <c r="L406">
        <v>1</v>
      </c>
      <c r="M406">
        <v>15</v>
      </c>
      <c r="N406">
        <v>124.465</v>
      </c>
      <c r="O406">
        <v>0</v>
      </c>
      <c r="P4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06" t="str">
        <f>IF(Table1[[#This Row],[Fraud_Score]]&gt;=6, "High Risk",IF(Table1[[#This Row],[Fraud_Score]]&gt;=3, "Medium Risk", "Low Risk"))</f>
        <v>Low Risk</v>
      </c>
      <c r="R406">
        <f>IF(Table1[[#This Row],[Seconds of Use]]=0,0,Table1[[#This Row],[Customer Value]]/Table1[[#This Row],[Seconds of Use]]*100)</f>
        <v>5.6242657026660643</v>
      </c>
    </row>
    <row r="407" spans="1:18" x14ac:dyDescent="0.35">
      <c r="A407" s="3" t="s">
        <v>428</v>
      </c>
      <c r="B407">
        <v>9</v>
      </c>
      <c r="C407">
        <v>0</v>
      </c>
      <c r="D407">
        <v>35</v>
      </c>
      <c r="E407">
        <v>1</v>
      </c>
      <c r="F407">
        <v>3595</v>
      </c>
      <c r="G407">
        <v>74</v>
      </c>
      <c r="H407">
        <v>21</v>
      </c>
      <c r="I407">
        <v>23</v>
      </c>
      <c r="J407">
        <v>3</v>
      </c>
      <c r="K407">
        <v>1</v>
      </c>
      <c r="L407">
        <v>1</v>
      </c>
      <c r="M407">
        <v>30</v>
      </c>
      <c r="N407">
        <v>230.76</v>
      </c>
      <c r="O407">
        <v>0</v>
      </c>
      <c r="P4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07" t="str">
        <f>IF(Table1[[#This Row],[Fraud_Score]]&gt;=6, "High Risk",IF(Table1[[#This Row],[Fraud_Score]]&gt;=3, "Medium Risk", "Low Risk"))</f>
        <v>Low Risk</v>
      </c>
      <c r="R407">
        <f>IF(Table1[[#This Row],[Seconds of Use]]=0,0,Table1[[#This Row],[Customer Value]]/Table1[[#This Row],[Seconds of Use]]*100)</f>
        <v>6.4189151599443672</v>
      </c>
    </row>
    <row r="408" spans="1:18" x14ac:dyDescent="0.35">
      <c r="A408" s="3" t="s">
        <v>429</v>
      </c>
      <c r="B408">
        <v>2</v>
      </c>
      <c r="C408">
        <v>0</v>
      </c>
      <c r="D408">
        <v>35</v>
      </c>
      <c r="E408">
        <v>0</v>
      </c>
      <c r="F408">
        <v>2180</v>
      </c>
      <c r="G408">
        <v>31</v>
      </c>
      <c r="H408">
        <v>274</v>
      </c>
      <c r="I408">
        <v>13</v>
      </c>
      <c r="J408">
        <v>3</v>
      </c>
      <c r="K408">
        <v>1</v>
      </c>
      <c r="L408">
        <v>1</v>
      </c>
      <c r="M408">
        <v>30</v>
      </c>
      <c r="N408">
        <v>1184.44</v>
      </c>
      <c r="O408">
        <v>0</v>
      </c>
      <c r="P4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08" t="str">
        <f>IF(Table1[[#This Row],[Fraud_Score]]&gt;=6, "High Risk",IF(Table1[[#This Row],[Fraud_Score]]&gt;=3, "Medium Risk", "Low Risk"))</f>
        <v>Low Risk</v>
      </c>
      <c r="R408">
        <f>IF(Table1[[#This Row],[Seconds of Use]]=0,0,Table1[[#This Row],[Customer Value]]/Table1[[#This Row],[Seconds of Use]]*100)</f>
        <v>54.332110091743125</v>
      </c>
    </row>
    <row r="409" spans="1:18" x14ac:dyDescent="0.35">
      <c r="A409" s="3" t="s">
        <v>430</v>
      </c>
      <c r="B409">
        <v>11</v>
      </c>
      <c r="C409">
        <v>0</v>
      </c>
      <c r="D409">
        <v>34</v>
      </c>
      <c r="E409">
        <v>2</v>
      </c>
      <c r="F409">
        <v>8935</v>
      </c>
      <c r="G409">
        <v>113</v>
      </c>
      <c r="H409">
        <v>133</v>
      </c>
      <c r="I409">
        <v>38</v>
      </c>
      <c r="J409">
        <v>3</v>
      </c>
      <c r="K409">
        <v>1</v>
      </c>
      <c r="L409">
        <v>1</v>
      </c>
      <c r="M409">
        <v>30</v>
      </c>
      <c r="N409">
        <v>893.92</v>
      </c>
      <c r="O409">
        <v>0</v>
      </c>
      <c r="P4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09" t="str">
        <f>IF(Table1[[#This Row],[Fraud_Score]]&gt;=6, "High Risk",IF(Table1[[#This Row],[Fraud_Score]]&gt;=3, "Medium Risk", "Low Risk"))</f>
        <v>Low Risk</v>
      </c>
      <c r="R409">
        <f>IF(Table1[[#This Row],[Seconds of Use]]=0,0,Table1[[#This Row],[Customer Value]]/Table1[[#This Row],[Seconds of Use]]*100)</f>
        <v>10.004700615556798</v>
      </c>
    </row>
    <row r="410" spans="1:18" x14ac:dyDescent="0.35">
      <c r="A410" s="3" t="s">
        <v>431</v>
      </c>
      <c r="B410">
        <v>5</v>
      </c>
      <c r="C410">
        <v>0</v>
      </c>
      <c r="D410">
        <v>35</v>
      </c>
      <c r="E410">
        <v>0</v>
      </c>
      <c r="F410">
        <v>13593</v>
      </c>
      <c r="G410">
        <v>161</v>
      </c>
      <c r="H410">
        <v>0</v>
      </c>
      <c r="I410">
        <v>39</v>
      </c>
      <c r="J410">
        <v>3</v>
      </c>
      <c r="K410">
        <v>1</v>
      </c>
      <c r="L410">
        <v>1</v>
      </c>
      <c r="M410">
        <v>30</v>
      </c>
      <c r="N410">
        <v>550.16</v>
      </c>
      <c r="O410">
        <v>0</v>
      </c>
      <c r="P4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10" t="str">
        <f>IF(Table1[[#This Row],[Fraud_Score]]&gt;=6, "High Risk",IF(Table1[[#This Row],[Fraud_Score]]&gt;=3, "Medium Risk", "Low Risk"))</f>
        <v>Medium Risk</v>
      </c>
      <c r="R410">
        <f>IF(Table1[[#This Row],[Seconds of Use]]=0,0,Table1[[#This Row],[Customer Value]]/Table1[[#This Row],[Seconds of Use]]*100)</f>
        <v>4.0473773265651438</v>
      </c>
    </row>
    <row r="411" spans="1:18" x14ac:dyDescent="0.35">
      <c r="A411" s="3" t="s">
        <v>432</v>
      </c>
      <c r="B411">
        <v>5</v>
      </c>
      <c r="C411">
        <v>0</v>
      </c>
      <c r="D411">
        <v>35</v>
      </c>
      <c r="E411">
        <v>1</v>
      </c>
      <c r="F411">
        <v>4335</v>
      </c>
      <c r="G411">
        <v>75</v>
      </c>
      <c r="H411">
        <v>0</v>
      </c>
      <c r="I411">
        <v>20</v>
      </c>
      <c r="J411">
        <v>3</v>
      </c>
      <c r="K411">
        <v>1</v>
      </c>
      <c r="L411">
        <v>1</v>
      </c>
      <c r="M411">
        <v>30</v>
      </c>
      <c r="N411">
        <v>176.4</v>
      </c>
      <c r="O411">
        <v>0</v>
      </c>
      <c r="P4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11" t="str">
        <f>IF(Table1[[#This Row],[Fraud_Score]]&gt;=6, "High Risk",IF(Table1[[#This Row],[Fraud_Score]]&gt;=3, "Medium Risk", "Low Risk"))</f>
        <v>Low Risk</v>
      </c>
      <c r="R411">
        <f>IF(Table1[[#This Row],[Seconds of Use]]=0,0,Table1[[#This Row],[Customer Value]]/Table1[[#This Row],[Seconds of Use]]*100)</f>
        <v>4.0692041522491351</v>
      </c>
    </row>
    <row r="412" spans="1:18" x14ac:dyDescent="0.35">
      <c r="A412" s="3" t="s">
        <v>433</v>
      </c>
      <c r="B412">
        <v>4</v>
      </c>
      <c r="C412">
        <v>0</v>
      </c>
      <c r="D412">
        <v>35</v>
      </c>
      <c r="E412">
        <v>0</v>
      </c>
      <c r="F412">
        <v>5738</v>
      </c>
      <c r="G412">
        <v>87</v>
      </c>
      <c r="H412">
        <v>0</v>
      </c>
      <c r="I412">
        <v>7</v>
      </c>
      <c r="J412">
        <v>3</v>
      </c>
      <c r="K412">
        <v>1</v>
      </c>
      <c r="L412">
        <v>1</v>
      </c>
      <c r="M412">
        <v>30</v>
      </c>
      <c r="N412">
        <v>233</v>
      </c>
      <c r="O412">
        <v>0</v>
      </c>
      <c r="P4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12" t="str">
        <f>IF(Table1[[#This Row],[Fraud_Score]]&gt;=6, "High Risk",IF(Table1[[#This Row],[Fraud_Score]]&gt;=3, "Medium Risk", "Low Risk"))</f>
        <v>Low Risk</v>
      </c>
      <c r="R412">
        <f>IF(Table1[[#This Row],[Seconds of Use]]=0,0,Table1[[#This Row],[Customer Value]]/Table1[[#This Row],[Seconds of Use]]*100)</f>
        <v>4.0606483095155106</v>
      </c>
    </row>
    <row r="413" spans="1:18" x14ac:dyDescent="0.35">
      <c r="A413" s="3" t="s">
        <v>434</v>
      </c>
      <c r="B413">
        <v>7</v>
      </c>
      <c r="C413">
        <v>0</v>
      </c>
      <c r="D413">
        <v>35</v>
      </c>
      <c r="E413">
        <v>0</v>
      </c>
      <c r="F413">
        <v>2058</v>
      </c>
      <c r="G413">
        <v>46</v>
      </c>
      <c r="H413">
        <v>0</v>
      </c>
      <c r="I413">
        <v>12</v>
      </c>
      <c r="J413">
        <v>3</v>
      </c>
      <c r="K413">
        <v>1</v>
      </c>
      <c r="L413">
        <v>2</v>
      </c>
      <c r="M413">
        <v>30</v>
      </c>
      <c r="N413">
        <v>84.16</v>
      </c>
      <c r="O413">
        <v>0</v>
      </c>
      <c r="P4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13" t="str">
        <f>IF(Table1[[#This Row],[Fraud_Score]]&gt;=6, "High Risk",IF(Table1[[#This Row],[Fraud_Score]]&gt;=3, "Medium Risk", "Low Risk"))</f>
        <v>Low Risk</v>
      </c>
      <c r="R413">
        <f>IF(Table1[[#This Row],[Seconds of Use]]=0,0,Table1[[#This Row],[Customer Value]]/Table1[[#This Row],[Seconds of Use]]*100)</f>
        <v>4.0894071914480081</v>
      </c>
    </row>
    <row r="414" spans="1:18" x14ac:dyDescent="0.35">
      <c r="A414" s="3" t="s">
        <v>435</v>
      </c>
      <c r="B414">
        <v>23</v>
      </c>
      <c r="C414">
        <v>0</v>
      </c>
      <c r="D414">
        <v>35</v>
      </c>
      <c r="E414">
        <v>3</v>
      </c>
      <c r="F414">
        <v>14960</v>
      </c>
      <c r="G414">
        <v>217</v>
      </c>
      <c r="H414">
        <v>43</v>
      </c>
      <c r="I414">
        <v>27</v>
      </c>
      <c r="J414">
        <v>3</v>
      </c>
      <c r="K414">
        <v>1</v>
      </c>
      <c r="L414">
        <v>1</v>
      </c>
      <c r="M414">
        <v>30</v>
      </c>
      <c r="N414">
        <v>779.08</v>
      </c>
      <c r="O414">
        <v>0</v>
      </c>
      <c r="P4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414" t="str">
        <f>IF(Table1[[#This Row],[Fraud_Score]]&gt;=6, "High Risk",IF(Table1[[#This Row],[Fraud_Score]]&gt;=3, "Medium Risk", "Low Risk"))</f>
        <v>Medium Risk</v>
      </c>
      <c r="R414">
        <f>IF(Table1[[#This Row],[Seconds of Use]]=0,0,Table1[[#This Row],[Customer Value]]/Table1[[#This Row],[Seconds of Use]]*100)</f>
        <v>5.2077540106951874</v>
      </c>
    </row>
    <row r="415" spans="1:18" x14ac:dyDescent="0.35">
      <c r="A415" s="3" t="s">
        <v>436</v>
      </c>
      <c r="B415">
        <v>2</v>
      </c>
      <c r="C415">
        <v>0</v>
      </c>
      <c r="D415">
        <v>35</v>
      </c>
      <c r="E415">
        <v>1</v>
      </c>
      <c r="F415">
        <v>2915</v>
      </c>
      <c r="G415">
        <v>19</v>
      </c>
      <c r="H415">
        <v>472</v>
      </c>
      <c r="I415">
        <v>3</v>
      </c>
      <c r="J415">
        <v>3</v>
      </c>
      <c r="K415">
        <v>1</v>
      </c>
      <c r="L415">
        <v>1</v>
      </c>
      <c r="M415">
        <v>30</v>
      </c>
      <c r="N415">
        <v>2005.36</v>
      </c>
      <c r="O415">
        <v>0</v>
      </c>
      <c r="P4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15" t="str">
        <f>IF(Table1[[#This Row],[Fraud_Score]]&gt;=6, "High Risk",IF(Table1[[#This Row],[Fraud_Score]]&gt;=3, "Medium Risk", "Low Risk"))</f>
        <v>Low Risk</v>
      </c>
      <c r="R415">
        <f>IF(Table1[[#This Row],[Seconds of Use]]=0,0,Table1[[#This Row],[Customer Value]]/Table1[[#This Row],[Seconds of Use]]*100)</f>
        <v>68.794511149228128</v>
      </c>
    </row>
    <row r="416" spans="1:18" x14ac:dyDescent="0.35">
      <c r="A416" s="3" t="s">
        <v>437</v>
      </c>
      <c r="B416">
        <v>7</v>
      </c>
      <c r="C416">
        <v>0</v>
      </c>
      <c r="D416">
        <v>34</v>
      </c>
      <c r="E416">
        <v>0</v>
      </c>
      <c r="F416">
        <v>15305</v>
      </c>
      <c r="G416">
        <v>174</v>
      </c>
      <c r="H416">
        <v>139</v>
      </c>
      <c r="I416">
        <v>25</v>
      </c>
      <c r="J416">
        <v>2</v>
      </c>
      <c r="K416">
        <v>1</v>
      </c>
      <c r="L416">
        <v>1</v>
      </c>
      <c r="M416">
        <v>25</v>
      </c>
      <c r="N416">
        <v>1322.0550000000001</v>
      </c>
      <c r="O416">
        <v>0</v>
      </c>
      <c r="P4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16" t="str">
        <f>IF(Table1[[#This Row],[Fraud_Score]]&gt;=6, "High Risk",IF(Table1[[#This Row],[Fraud_Score]]&gt;=3, "Medium Risk", "Low Risk"))</f>
        <v>Medium Risk</v>
      </c>
      <c r="R416">
        <f>IF(Table1[[#This Row],[Seconds of Use]]=0,0,Table1[[#This Row],[Customer Value]]/Table1[[#This Row],[Seconds of Use]]*100)</f>
        <v>8.638059457693565</v>
      </c>
    </row>
    <row r="417" spans="1:18" x14ac:dyDescent="0.35">
      <c r="A417" s="3" t="s">
        <v>438</v>
      </c>
      <c r="B417">
        <v>1</v>
      </c>
      <c r="C417">
        <v>0</v>
      </c>
      <c r="D417">
        <v>34</v>
      </c>
      <c r="E417">
        <v>1</v>
      </c>
      <c r="F417">
        <v>6320</v>
      </c>
      <c r="G417">
        <v>78</v>
      </c>
      <c r="H417">
        <v>175</v>
      </c>
      <c r="I417">
        <v>21</v>
      </c>
      <c r="J417">
        <v>3</v>
      </c>
      <c r="K417">
        <v>1</v>
      </c>
      <c r="L417">
        <v>1</v>
      </c>
      <c r="M417">
        <v>30</v>
      </c>
      <c r="N417">
        <v>955.92</v>
      </c>
      <c r="O417">
        <v>0</v>
      </c>
      <c r="P4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17" t="str">
        <f>IF(Table1[[#This Row],[Fraud_Score]]&gt;=6, "High Risk",IF(Table1[[#This Row],[Fraud_Score]]&gt;=3, "Medium Risk", "Low Risk"))</f>
        <v>Low Risk</v>
      </c>
      <c r="R417">
        <f>IF(Table1[[#This Row],[Seconds of Use]]=0,0,Table1[[#This Row],[Customer Value]]/Table1[[#This Row],[Seconds of Use]]*100)</f>
        <v>15.125316455696202</v>
      </c>
    </row>
    <row r="418" spans="1:18" x14ac:dyDescent="0.35">
      <c r="A418" s="3" t="s">
        <v>439</v>
      </c>
      <c r="B418">
        <v>0</v>
      </c>
      <c r="C418">
        <v>0</v>
      </c>
      <c r="D418">
        <v>34</v>
      </c>
      <c r="E418">
        <v>0</v>
      </c>
      <c r="F418">
        <v>695</v>
      </c>
      <c r="G418">
        <v>6</v>
      </c>
      <c r="H418">
        <v>0</v>
      </c>
      <c r="I418">
        <v>6</v>
      </c>
      <c r="J418">
        <v>2</v>
      </c>
      <c r="K418">
        <v>1</v>
      </c>
      <c r="L418">
        <v>2</v>
      </c>
      <c r="M418">
        <v>25</v>
      </c>
      <c r="N418">
        <v>31.545000000000002</v>
      </c>
      <c r="O418">
        <v>0</v>
      </c>
      <c r="P4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18" t="str">
        <f>IF(Table1[[#This Row],[Fraud_Score]]&gt;=6, "High Risk",IF(Table1[[#This Row],[Fraud_Score]]&gt;=3, "Medium Risk", "Low Risk"))</f>
        <v>Low Risk</v>
      </c>
      <c r="R418">
        <f>IF(Table1[[#This Row],[Seconds of Use]]=0,0,Table1[[#This Row],[Customer Value]]/Table1[[#This Row],[Seconds of Use]]*100)</f>
        <v>4.5388489208633098</v>
      </c>
    </row>
    <row r="419" spans="1:18" x14ac:dyDescent="0.35">
      <c r="A419" s="3" t="s">
        <v>440</v>
      </c>
      <c r="B419">
        <v>0</v>
      </c>
      <c r="C419">
        <v>0</v>
      </c>
      <c r="D419">
        <v>35</v>
      </c>
      <c r="E419">
        <v>0</v>
      </c>
      <c r="F419">
        <v>530</v>
      </c>
      <c r="G419">
        <v>6</v>
      </c>
      <c r="H419">
        <v>2</v>
      </c>
      <c r="I419">
        <v>3</v>
      </c>
      <c r="J419">
        <v>3</v>
      </c>
      <c r="K419">
        <v>1</v>
      </c>
      <c r="L419">
        <v>2</v>
      </c>
      <c r="M419">
        <v>30</v>
      </c>
      <c r="N419">
        <v>29.44</v>
      </c>
      <c r="O419">
        <v>0</v>
      </c>
      <c r="P4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19" t="str">
        <f>IF(Table1[[#This Row],[Fraud_Score]]&gt;=6, "High Risk",IF(Table1[[#This Row],[Fraud_Score]]&gt;=3, "Medium Risk", "Low Risk"))</f>
        <v>Low Risk</v>
      </c>
      <c r="R419">
        <f>IF(Table1[[#This Row],[Seconds of Use]]=0,0,Table1[[#This Row],[Customer Value]]/Table1[[#This Row],[Seconds of Use]]*100)</f>
        <v>5.5547169811320751</v>
      </c>
    </row>
    <row r="420" spans="1:18" x14ac:dyDescent="0.35">
      <c r="A420" s="3" t="s">
        <v>441</v>
      </c>
      <c r="B420">
        <v>0</v>
      </c>
      <c r="C420">
        <v>1</v>
      </c>
      <c r="D420">
        <v>34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2</v>
      </c>
      <c r="K420">
        <v>1</v>
      </c>
      <c r="L420">
        <v>2</v>
      </c>
      <c r="M420">
        <v>25</v>
      </c>
      <c r="N420">
        <v>0</v>
      </c>
      <c r="O420">
        <v>1</v>
      </c>
      <c r="P4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20" t="str">
        <f>IF(Table1[[#This Row],[Fraud_Score]]&gt;=6, "High Risk",IF(Table1[[#This Row],[Fraud_Score]]&gt;=3, "Medium Risk", "Low Risk"))</f>
        <v>Medium Risk</v>
      </c>
      <c r="R420">
        <f>IF(Table1[[#This Row],[Seconds of Use]]=0,0,Table1[[#This Row],[Customer Value]]/Table1[[#This Row],[Seconds of Use]]*100)</f>
        <v>0</v>
      </c>
    </row>
    <row r="421" spans="1:18" x14ac:dyDescent="0.35">
      <c r="A421" s="3" t="s">
        <v>442</v>
      </c>
      <c r="B421">
        <v>1</v>
      </c>
      <c r="C421">
        <v>0</v>
      </c>
      <c r="D421">
        <v>34</v>
      </c>
      <c r="E421">
        <v>0</v>
      </c>
      <c r="F421">
        <v>7328</v>
      </c>
      <c r="G421">
        <v>119</v>
      </c>
      <c r="H421">
        <v>373</v>
      </c>
      <c r="I421">
        <v>38</v>
      </c>
      <c r="J421">
        <v>2</v>
      </c>
      <c r="K421">
        <v>1</v>
      </c>
      <c r="L421">
        <v>1</v>
      </c>
      <c r="M421">
        <v>25</v>
      </c>
      <c r="N421">
        <v>2013.615</v>
      </c>
      <c r="O421">
        <v>0</v>
      </c>
      <c r="P4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21" t="str">
        <f>IF(Table1[[#This Row],[Fraud_Score]]&gt;=6, "High Risk",IF(Table1[[#This Row],[Fraud_Score]]&gt;=3, "Medium Risk", "Low Risk"))</f>
        <v>Low Risk</v>
      </c>
      <c r="R421">
        <f>IF(Table1[[#This Row],[Seconds of Use]]=0,0,Table1[[#This Row],[Customer Value]]/Table1[[#This Row],[Seconds of Use]]*100)</f>
        <v>27.478370633187772</v>
      </c>
    </row>
    <row r="422" spans="1:18" x14ac:dyDescent="0.35">
      <c r="A422" s="3" t="s">
        <v>443</v>
      </c>
      <c r="B422">
        <v>5</v>
      </c>
      <c r="C422">
        <v>0</v>
      </c>
      <c r="D422">
        <v>34</v>
      </c>
      <c r="E422">
        <v>1</v>
      </c>
      <c r="F422">
        <v>11285</v>
      </c>
      <c r="G422">
        <v>146</v>
      </c>
      <c r="H422">
        <v>0</v>
      </c>
      <c r="I422">
        <v>42</v>
      </c>
      <c r="J422">
        <v>4</v>
      </c>
      <c r="K422">
        <v>1</v>
      </c>
      <c r="L422">
        <v>1</v>
      </c>
      <c r="M422">
        <v>45</v>
      </c>
      <c r="N422">
        <v>285.77499999999998</v>
      </c>
      <c r="O422">
        <v>0</v>
      </c>
      <c r="P4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22" t="str">
        <f>IF(Table1[[#This Row],[Fraud_Score]]&gt;=6, "High Risk",IF(Table1[[#This Row],[Fraud_Score]]&gt;=3, "Medium Risk", "Low Risk"))</f>
        <v>Low Risk</v>
      </c>
      <c r="R422">
        <f>IF(Table1[[#This Row],[Seconds of Use]]=0,0,Table1[[#This Row],[Customer Value]]/Table1[[#This Row],[Seconds of Use]]*100)</f>
        <v>2.532343819229065</v>
      </c>
    </row>
    <row r="423" spans="1:18" x14ac:dyDescent="0.35">
      <c r="A423" s="3" t="s">
        <v>444</v>
      </c>
      <c r="B423">
        <v>6</v>
      </c>
      <c r="C423">
        <v>0</v>
      </c>
      <c r="D423">
        <v>34</v>
      </c>
      <c r="E423">
        <v>1</v>
      </c>
      <c r="F423">
        <v>6538</v>
      </c>
      <c r="G423">
        <v>67</v>
      </c>
      <c r="H423">
        <v>97</v>
      </c>
      <c r="I423">
        <v>32</v>
      </c>
      <c r="J423">
        <v>2</v>
      </c>
      <c r="K423">
        <v>1</v>
      </c>
      <c r="L423">
        <v>1</v>
      </c>
      <c r="M423">
        <v>25</v>
      </c>
      <c r="N423">
        <v>733.72500000000002</v>
      </c>
      <c r="O423">
        <v>0</v>
      </c>
      <c r="P4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23" t="str">
        <f>IF(Table1[[#This Row],[Fraud_Score]]&gt;=6, "High Risk",IF(Table1[[#This Row],[Fraud_Score]]&gt;=3, "Medium Risk", "Low Risk"))</f>
        <v>Low Risk</v>
      </c>
      <c r="R423">
        <f>IF(Table1[[#This Row],[Seconds of Use]]=0,0,Table1[[#This Row],[Customer Value]]/Table1[[#This Row],[Seconds of Use]]*100)</f>
        <v>11.22246864484552</v>
      </c>
    </row>
    <row r="424" spans="1:18" x14ac:dyDescent="0.35">
      <c r="A424" s="3" t="s">
        <v>445</v>
      </c>
      <c r="B424">
        <v>21</v>
      </c>
      <c r="C424">
        <v>1</v>
      </c>
      <c r="D424">
        <v>30</v>
      </c>
      <c r="E424">
        <v>0</v>
      </c>
      <c r="F424">
        <v>775</v>
      </c>
      <c r="G424">
        <v>39</v>
      </c>
      <c r="H424">
        <v>5</v>
      </c>
      <c r="I424">
        <v>12</v>
      </c>
      <c r="J424">
        <v>2</v>
      </c>
      <c r="K424">
        <v>1</v>
      </c>
      <c r="L424">
        <v>2</v>
      </c>
      <c r="M424">
        <v>25</v>
      </c>
      <c r="N424">
        <v>59.13</v>
      </c>
      <c r="O424">
        <v>1</v>
      </c>
      <c r="P4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24" t="str">
        <f>IF(Table1[[#This Row],[Fraud_Score]]&gt;=6, "High Risk",IF(Table1[[#This Row],[Fraud_Score]]&gt;=3, "Medium Risk", "Low Risk"))</f>
        <v>Medium Risk</v>
      </c>
      <c r="R424">
        <f>IF(Table1[[#This Row],[Seconds of Use]]=0,0,Table1[[#This Row],[Customer Value]]/Table1[[#This Row],[Seconds of Use]]*100)</f>
        <v>7.6296774193548398</v>
      </c>
    </row>
    <row r="425" spans="1:18" x14ac:dyDescent="0.35">
      <c r="A425" s="3" t="s">
        <v>446</v>
      </c>
      <c r="B425">
        <v>19</v>
      </c>
      <c r="C425">
        <v>0</v>
      </c>
      <c r="D425">
        <v>33</v>
      </c>
      <c r="E425">
        <v>8</v>
      </c>
      <c r="F425">
        <v>10255</v>
      </c>
      <c r="G425">
        <v>85</v>
      </c>
      <c r="H425">
        <v>0</v>
      </c>
      <c r="I425">
        <v>37</v>
      </c>
      <c r="J425">
        <v>5</v>
      </c>
      <c r="K425">
        <v>1</v>
      </c>
      <c r="L425">
        <v>1</v>
      </c>
      <c r="M425">
        <v>55</v>
      </c>
      <c r="N425">
        <v>155.1</v>
      </c>
      <c r="O425">
        <v>0</v>
      </c>
      <c r="P4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25" t="str">
        <f>IF(Table1[[#This Row],[Fraud_Score]]&gt;=6, "High Risk",IF(Table1[[#This Row],[Fraud_Score]]&gt;=3, "Medium Risk", "Low Risk"))</f>
        <v>Low Risk</v>
      </c>
      <c r="R425">
        <f>IF(Table1[[#This Row],[Seconds of Use]]=0,0,Table1[[#This Row],[Customer Value]]/Table1[[#This Row],[Seconds of Use]]*100)</f>
        <v>1.5124329595319355</v>
      </c>
    </row>
    <row r="426" spans="1:18" x14ac:dyDescent="0.35">
      <c r="A426" s="3" t="s">
        <v>447</v>
      </c>
      <c r="B426">
        <v>11</v>
      </c>
      <c r="C426">
        <v>1</v>
      </c>
      <c r="D426">
        <v>33</v>
      </c>
      <c r="E426">
        <v>1</v>
      </c>
      <c r="F426">
        <v>5638</v>
      </c>
      <c r="G426">
        <v>90</v>
      </c>
      <c r="H426">
        <v>15</v>
      </c>
      <c r="I426">
        <v>19</v>
      </c>
      <c r="J426">
        <v>2</v>
      </c>
      <c r="K426">
        <v>1</v>
      </c>
      <c r="L426">
        <v>1</v>
      </c>
      <c r="M426">
        <v>25</v>
      </c>
      <c r="N426">
        <v>325.26</v>
      </c>
      <c r="O426">
        <v>1</v>
      </c>
      <c r="P4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426" t="str">
        <f>IF(Table1[[#This Row],[Fraud_Score]]&gt;=6, "High Risk",IF(Table1[[#This Row],[Fraud_Score]]&gt;=3, "Medium Risk", "Low Risk"))</f>
        <v>Medium Risk</v>
      </c>
      <c r="R426">
        <f>IF(Table1[[#This Row],[Seconds of Use]]=0,0,Table1[[#This Row],[Customer Value]]/Table1[[#This Row],[Seconds of Use]]*100)</f>
        <v>5.769067045051437</v>
      </c>
    </row>
    <row r="427" spans="1:18" x14ac:dyDescent="0.35">
      <c r="A427" s="3" t="s">
        <v>448</v>
      </c>
      <c r="B427">
        <v>0</v>
      </c>
      <c r="C427">
        <v>0</v>
      </c>
      <c r="D427">
        <v>31</v>
      </c>
      <c r="E427">
        <v>0</v>
      </c>
      <c r="F427">
        <v>2660</v>
      </c>
      <c r="G427">
        <v>14</v>
      </c>
      <c r="H427">
        <v>0</v>
      </c>
      <c r="I427">
        <v>9</v>
      </c>
      <c r="J427">
        <v>3</v>
      </c>
      <c r="K427">
        <v>1</v>
      </c>
      <c r="L427">
        <v>1</v>
      </c>
      <c r="M427">
        <v>30</v>
      </c>
      <c r="N427">
        <v>106.96</v>
      </c>
      <c r="O427">
        <v>0</v>
      </c>
      <c r="P4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27" t="str">
        <f>IF(Table1[[#This Row],[Fraud_Score]]&gt;=6, "High Risk",IF(Table1[[#This Row],[Fraud_Score]]&gt;=3, "Medium Risk", "Low Risk"))</f>
        <v>Low Risk</v>
      </c>
      <c r="R427">
        <f>IF(Table1[[#This Row],[Seconds of Use]]=0,0,Table1[[#This Row],[Customer Value]]/Table1[[#This Row],[Seconds of Use]]*100)</f>
        <v>4.0210526315789474</v>
      </c>
    </row>
    <row r="428" spans="1:18" x14ac:dyDescent="0.35">
      <c r="A428" s="3" t="s">
        <v>449</v>
      </c>
      <c r="B428">
        <v>7</v>
      </c>
      <c r="C428">
        <v>0</v>
      </c>
      <c r="D428">
        <v>32</v>
      </c>
      <c r="E428">
        <v>0</v>
      </c>
      <c r="F428">
        <v>2810</v>
      </c>
      <c r="G428">
        <v>33</v>
      </c>
      <c r="H428">
        <v>0</v>
      </c>
      <c r="I428">
        <v>11</v>
      </c>
      <c r="J428">
        <v>3</v>
      </c>
      <c r="K428">
        <v>1</v>
      </c>
      <c r="L428">
        <v>2</v>
      </c>
      <c r="M428">
        <v>30</v>
      </c>
      <c r="N428">
        <v>113.72</v>
      </c>
      <c r="O428">
        <v>1</v>
      </c>
      <c r="P4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28" t="str">
        <f>IF(Table1[[#This Row],[Fraud_Score]]&gt;=6, "High Risk",IF(Table1[[#This Row],[Fraud_Score]]&gt;=3, "Medium Risk", "Low Risk"))</f>
        <v>Low Risk</v>
      </c>
      <c r="R428">
        <f>IF(Table1[[#This Row],[Seconds of Use]]=0,0,Table1[[#This Row],[Customer Value]]/Table1[[#This Row],[Seconds of Use]]*100)</f>
        <v>4.0469750889679714</v>
      </c>
    </row>
    <row r="429" spans="1:18" x14ac:dyDescent="0.35">
      <c r="A429" s="3" t="s">
        <v>450</v>
      </c>
      <c r="B429">
        <v>7</v>
      </c>
      <c r="C429">
        <v>1</v>
      </c>
      <c r="D429">
        <v>33</v>
      </c>
      <c r="E429">
        <v>0</v>
      </c>
      <c r="F429">
        <v>2088</v>
      </c>
      <c r="G429">
        <v>36</v>
      </c>
      <c r="H429">
        <v>23</v>
      </c>
      <c r="I429">
        <v>26</v>
      </c>
      <c r="J429">
        <v>3</v>
      </c>
      <c r="K429">
        <v>1</v>
      </c>
      <c r="L429">
        <v>2</v>
      </c>
      <c r="M429">
        <v>30</v>
      </c>
      <c r="N429">
        <v>176.96</v>
      </c>
      <c r="O429">
        <v>1</v>
      </c>
      <c r="P4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29" t="str">
        <f>IF(Table1[[#This Row],[Fraud_Score]]&gt;=6, "High Risk",IF(Table1[[#This Row],[Fraud_Score]]&gt;=3, "Medium Risk", "Low Risk"))</f>
        <v>Medium Risk</v>
      </c>
      <c r="R429">
        <f>IF(Table1[[#This Row],[Seconds of Use]]=0,0,Table1[[#This Row],[Customer Value]]/Table1[[#This Row],[Seconds of Use]]*100)</f>
        <v>8.4750957854406135</v>
      </c>
    </row>
    <row r="430" spans="1:18" x14ac:dyDescent="0.35">
      <c r="A430" s="3" t="s">
        <v>451</v>
      </c>
      <c r="B430">
        <v>0</v>
      </c>
      <c r="C430">
        <v>0</v>
      </c>
      <c r="D430">
        <v>33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3</v>
      </c>
      <c r="K430">
        <v>1</v>
      </c>
      <c r="L430">
        <v>2</v>
      </c>
      <c r="M430">
        <v>30</v>
      </c>
      <c r="N430">
        <v>0</v>
      </c>
      <c r="O430">
        <v>1</v>
      </c>
      <c r="P4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0" t="str">
        <f>IF(Table1[[#This Row],[Fraud_Score]]&gt;=6, "High Risk",IF(Table1[[#This Row],[Fraud_Score]]&gt;=3, "Medium Risk", "Low Risk"))</f>
        <v>Low Risk</v>
      </c>
      <c r="R430">
        <f>IF(Table1[[#This Row],[Seconds of Use]]=0,0,Table1[[#This Row],[Customer Value]]/Table1[[#This Row],[Seconds of Use]]*100)</f>
        <v>0</v>
      </c>
    </row>
    <row r="431" spans="1:18" x14ac:dyDescent="0.35">
      <c r="A431" s="3" t="s">
        <v>452</v>
      </c>
      <c r="B431">
        <v>0</v>
      </c>
      <c r="C431">
        <v>0</v>
      </c>
      <c r="D431">
        <v>33</v>
      </c>
      <c r="E431">
        <v>0</v>
      </c>
      <c r="F431">
        <v>1488</v>
      </c>
      <c r="G431">
        <v>17</v>
      </c>
      <c r="H431">
        <v>0</v>
      </c>
      <c r="I431">
        <v>1</v>
      </c>
      <c r="J431">
        <v>3</v>
      </c>
      <c r="K431">
        <v>1</v>
      </c>
      <c r="L431">
        <v>1</v>
      </c>
      <c r="M431">
        <v>30</v>
      </c>
      <c r="N431">
        <v>60.2</v>
      </c>
      <c r="O431">
        <v>0</v>
      </c>
      <c r="P4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1" t="str">
        <f>IF(Table1[[#This Row],[Fraud_Score]]&gt;=6, "High Risk",IF(Table1[[#This Row],[Fraud_Score]]&gt;=3, "Medium Risk", "Low Risk"))</f>
        <v>Low Risk</v>
      </c>
      <c r="R431">
        <f>IF(Table1[[#This Row],[Seconds of Use]]=0,0,Table1[[#This Row],[Customer Value]]/Table1[[#This Row],[Seconds of Use]]*100)</f>
        <v>4.045698924731183</v>
      </c>
    </row>
    <row r="432" spans="1:18" x14ac:dyDescent="0.35">
      <c r="A432" s="3" t="s">
        <v>453</v>
      </c>
      <c r="B432">
        <v>1</v>
      </c>
      <c r="C432">
        <v>0</v>
      </c>
      <c r="D432">
        <v>30</v>
      </c>
      <c r="E432">
        <v>1</v>
      </c>
      <c r="F432">
        <v>6605</v>
      </c>
      <c r="G432">
        <v>89</v>
      </c>
      <c r="H432">
        <v>3</v>
      </c>
      <c r="I432">
        <v>17</v>
      </c>
      <c r="J432">
        <v>5</v>
      </c>
      <c r="K432">
        <v>1</v>
      </c>
      <c r="L432">
        <v>1</v>
      </c>
      <c r="M432">
        <v>55</v>
      </c>
      <c r="N432">
        <v>104.91</v>
      </c>
      <c r="O432">
        <v>0</v>
      </c>
      <c r="P4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32" t="str">
        <f>IF(Table1[[#This Row],[Fraud_Score]]&gt;=6, "High Risk",IF(Table1[[#This Row],[Fraud_Score]]&gt;=3, "Medium Risk", "Low Risk"))</f>
        <v>Low Risk</v>
      </c>
      <c r="R432">
        <f>IF(Table1[[#This Row],[Seconds of Use]]=0,0,Table1[[#This Row],[Customer Value]]/Table1[[#This Row],[Seconds of Use]]*100)</f>
        <v>1.5883421650264951</v>
      </c>
    </row>
    <row r="433" spans="1:18" x14ac:dyDescent="0.35">
      <c r="A433" s="3" t="s">
        <v>454</v>
      </c>
      <c r="B433">
        <v>0</v>
      </c>
      <c r="C433">
        <v>0</v>
      </c>
      <c r="D433">
        <v>33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</v>
      </c>
      <c r="K433">
        <v>1</v>
      </c>
      <c r="L433">
        <v>2</v>
      </c>
      <c r="M433">
        <v>45</v>
      </c>
      <c r="N433">
        <v>0</v>
      </c>
      <c r="O433">
        <v>1</v>
      </c>
      <c r="P4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3" t="str">
        <f>IF(Table1[[#This Row],[Fraud_Score]]&gt;=6, "High Risk",IF(Table1[[#This Row],[Fraud_Score]]&gt;=3, "Medium Risk", "Low Risk"))</f>
        <v>Low Risk</v>
      </c>
      <c r="R433">
        <f>IF(Table1[[#This Row],[Seconds of Use]]=0,0,Table1[[#This Row],[Customer Value]]/Table1[[#This Row],[Seconds of Use]]*100)</f>
        <v>0</v>
      </c>
    </row>
    <row r="434" spans="1:18" x14ac:dyDescent="0.35">
      <c r="A434" s="3" t="s">
        <v>455</v>
      </c>
      <c r="B434">
        <v>0</v>
      </c>
      <c r="C434">
        <v>0</v>
      </c>
      <c r="D434">
        <v>33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5</v>
      </c>
      <c r="K434">
        <v>1</v>
      </c>
      <c r="L434">
        <v>1</v>
      </c>
      <c r="M434">
        <v>55</v>
      </c>
      <c r="N434">
        <v>0</v>
      </c>
      <c r="O434">
        <v>0</v>
      </c>
      <c r="P4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4" t="str">
        <f>IF(Table1[[#This Row],[Fraud_Score]]&gt;=6, "High Risk",IF(Table1[[#This Row],[Fraud_Score]]&gt;=3, "Medium Risk", "Low Risk"))</f>
        <v>Low Risk</v>
      </c>
      <c r="R434">
        <f>IF(Table1[[#This Row],[Seconds of Use]]=0,0,Table1[[#This Row],[Customer Value]]/Table1[[#This Row],[Seconds of Use]]*100)</f>
        <v>0</v>
      </c>
    </row>
    <row r="435" spans="1:18" x14ac:dyDescent="0.35">
      <c r="A435" s="3" t="s">
        <v>456</v>
      </c>
      <c r="B435">
        <v>23</v>
      </c>
      <c r="C435">
        <v>0</v>
      </c>
      <c r="D435">
        <v>28</v>
      </c>
      <c r="E435">
        <v>3</v>
      </c>
      <c r="F435">
        <v>15895</v>
      </c>
      <c r="G435">
        <v>230</v>
      </c>
      <c r="H435">
        <v>0</v>
      </c>
      <c r="I435">
        <v>75</v>
      </c>
      <c r="J435">
        <v>2</v>
      </c>
      <c r="K435">
        <v>1</v>
      </c>
      <c r="L435">
        <v>1</v>
      </c>
      <c r="M435">
        <v>25</v>
      </c>
      <c r="N435">
        <v>725.625</v>
      </c>
      <c r="O435">
        <v>0</v>
      </c>
      <c r="P4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35" t="str">
        <f>IF(Table1[[#This Row],[Fraud_Score]]&gt;=6, "High Risk",IF(Table1[[#This Row],[Fraud_Score]]&gt;=3, "Medium Risk", "Low Risk"))</f>
        <v>Medium Risk</v>
      </c>
      <c r="R435">
        <f>IF(Table1[[#This Row],[Seconds of Use]]=0,0,Table1[[#This Row],[Customer Value]]/Table1[[#This Row],[Seconds of Use]]*100)</f>
        <v>4.565114815979868</v>
      </c>
    </row>
    <row r="436" spans="1:18" x14ac:dyDescent="0.35">
      <c r="A436" s="3" t="s">
        <v>457</v>
      </c>
      <c r="B436">
        <v>4</v>
      </c>
      <c r="C436">
        <v>0</v>
      </c>
      <c r="D436">
        <v>31</v>
      </c>
      <c r="E436">
        <v>3</v>
      </c>
      <c r="F436">
        <v>6785</v>
      </c>
      <c r="G436">
        <v>108</v>
      </c>
      <c r="H436">
        <v>260</v>
      </c>
      <c r="I436">
        <v>28</v>
      </c>
      <c r="J436">
        <v>2</v>
      </c>
      <c r="K436">
        <v>2</v>
      </c>
      <c r="L436">
        <v>1</v>
      </c>
      <c r="M436">
        <v>25</v>
      </c>
      <c r="N436">
        <v>1480.1849999999999</v>
      </c>
      <c r="O436">
        <v>0</v>
      </c>
      <c r="P4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36" t="str">
        <f>IF(Table1[[#This Row],[Fraud_Score]]&gt;=6, "High Risk",IF(Table1[[#This Row],[Fraud_Score]]&gt;=3, "Medium Risk", "Low Risk"))</f>
        <v>Low Risk</v>
      </c>
      <c r="R436">
        <f>IF(Table1[[#This Row],[Seconds of Use]]=0,0,Table1[[#This Row],[Customer Value]]/Table1[[#This Row],[Seconds of Use]]*100)</f>
        <v>21.815549005158438</v>
      </c>
    </row>
    <row r="437" spans="1:18" x14ac:dyDescent="0.35">
      <c r="A437" s="3" t="s">
        <v>458</v>
      </c>
      <c r="B437">
        <v>0</v>
      </c>
      <c r="C437">
        <v>0</v>
      </c>
      <c r="D437">
        <v>33</v>
      </c>
      <c r="E437">
        <v>0</v>
      </c>
      <c r="F437">
        <v>3538</v>
      </c>
      <c r="G437">
        <v>74</v>
      </c>
      <c r="H437">
        <v>0</v>
      </c>
      <c r="I437">
        <v>23</v>
      </c>
      <c r="J437">
        <v>2</v>
      </c>
      <c r="K437">
        <v>1</v>
      </c>
      <c r="L437">
        <v>1</v>
      </c>
      <c r="M437">
        <v>25</v>
      </c>
      <c r="N437">
        <v>162.54</v>
      </c>
      <c r="O437">
        <v>0</v>
      </c>
      <c r="P4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7" t="str">
        <f>IF(Table1[[#This Row],[Fraud_Score]]&gt;=6, "High Risk",IF(Table1[[#This Row],[Fraud_Score]]&gt;=3, "Medium Risk", "Low Risk"))</f>
        <v>Low Risk</v>
      </c>
      <c r="R437">
        <f>IF(Table1[[#This Row],[Seconds of Use]]=0,0,Table1[[#This Row],[Customer Value]]/Table1[[#This Row],[Seconds of Use]]*100)</f>
        <v>4.5941209723007344</v>
      </c>
    </row>
    <row r="438" spans="1:18" x14ac:dyDescent="0.35">
      <c r="A438" s="3" t="s">
        <v>459</v>
      </c>
      <c r="B438">
        <v>1</v>
      </c>
      <c r="C438">
        <v>0</v>
      </c>
      <c r="D438">
        <v>32</v>
      </c>
      <c r="E438">
        <v>0</v>
      </c>
      <c r="F438">
        <v>1485</v>
      </c>
      <c r="G438">
        <v>36</v>
      </c>
      <c r="H438">
        <v>27</v>
      </c>
      <c r="I438">
        <v>15</v>
      </c>
      <c r="J438">
        <v>3</v>
      </c>
      <c r="K438">
        <v>1</v>
      </c>
      <c r="L438">
        <v>2</v>
      </c>
      <c r="M438">
        <v>30</v>
      </c>
      <c r="N438">
        <v>168.84</v>
      </c>
      <c r="O438">
        <v>0</v>
      </c>
      <c r="P4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8" t="str">
        <f>IF(Table1[[#This Row],[Fraud_Score]]&gt;=6, "High Risk",IF(Table1[[#This Row],[Fraud_Score]]&gt;=3, "Medium Risk", "Low Risk"))</f>
        <v>Low Risk</v>
      </c>
      <c r="R438">
        <f>IF(Table1[[#This Row],[Seconds of Use]]=0,0,Table1[[#This Row],[Customer Value]]/Table1[[#This Row],[Seconds of Use]]*100)</f>
        <v>11.369696969696969</v>
      </c>
    </row>
    <row r="439" spans="1:18" x14ac:dyDescent="0.35">
      <c r="A439" s="3" t="s">
        <v>460</v>
      </c>
      <c r="B439">
        <v>4</v>
      </c>
      <c r="C439">
        <v>0</v>
      </c>
      <c r="D439">
        <v>33</v>
      </c>
      <c r="E439">
        <v>0</v>
      </c>
      <c r="F439">
        <v>2600</v>
      </c>
      <c r="G439">
        <v>45</v>
      </c>
      <c r="H439">
        <v>164</v>
      </c>
      <c r="I439">
        <v>18</v>
      </c>
      <c r="J439">
        <v>2</v>
      </c>
      <c r="K439">
        <v>1</v>
      </c>
      <c r="L439">
        <v>1</v>
      </c>
      <c r="M439">
        <v>25</v>
      </c>
      <c r="N439">
        <v>857.02499999999998</v>
      </c>
      <c r="O439">
        <v>0</v>
      </c>
      <c r="P4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39" t="str">
        <f>IF(Table1[[#This Row],[Fraud_Score]]&gt;=6, "High Risk",IF(Table1[[#This Row],[Fraud_Score]]&gt;=3, "Medium Risk", "Low Risk"))</f>
        <v>Low Risk</v>
      </c>
      <c r="R439">
        <f>IF(Table1[[#This Row],[Seconds of Use]]=0,0,Table1[[#This Row],[Customer Value]]/Table1[[#This Row],[Seconds of Use]]*100)</f>
        <v>32.962499999999999</v>
      </c>
    </row>
    <row r="440" spans="1:18" x14ac:dyDescent="0.35">
      <c r="A440" s="3" t="s">
        <v>461</v>
      </c>
      <c r="B440">
        <v>2</v>
      </c>
      <c r="C440">
        <v>0</v>
      </c>
      <c r="D440">
        <v>24</v>
      </c>
      <c r="E440">
        <v>1</v>
      </c>
      <c r="F440">
        <v>1135</v>
      </c>
      <c r="G440">
        <v>28</v>
      </c>
      <c r="H440">
        <v>182</v>
      </c>
      <c r="I440">
        <v>6</v>
      </c>
      <c r="J440">
        <v>2</v>
      </c>
      <c r="K440">
        <v>2</v>
      </c>
      <c r="L440">
        <v>1</v>
      </c>
      <c r="M440">
        <v>25</v>
      </c>
      <c r="N440">
        <v>871.33500000000004</v>
      </c>
      <c r="O440">
        <v>0</v>
      </c>
      <c r="P4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40" t="str">
        <f>IF(Table1[[#This Row],[Fraud_Score]]&gt;=6, "High Risk",IF(Table1[[#This Row],[Fraud_Score]]&gt;=3, "Medium Risk", "Low Risk"))</f>
        <v>Low Risk</v>
      </c>
      <c r="R440">
        <f>IF(Table1[[#This Row],[Seconds of Use]]=0,0,Table1[[#This Row],[Customer Value]]/Table1[[#This Row],[Seconds of Use]]*100)</f>
        <v>76.769603524229083</v>
      </c>
    </row>
    <row r="441" spans="1:18" x14ac:dyDescent="0.35">
      <c r="A441" s="3" t="s">
        <v>462</v>
      </c>
      <c r="B441">
        <v>2</v>
      </c>
      <c r="C441">
        <v>0</v>
      </c>
      <c r="D441">
        <v>23</v>
      </c>
      <c r="E441">
        <v>0</v>
      </c>
      <c r="F441">
        <v>1388</v>
      </c>
      <c r="G441">
        <v>31</v>
      </c>
      <c r="H441">
        <v>19</v>
      </c>
      <c r="I441">
        <v>63</v>
      </c>
      <c r="J441">
        <v>4</v>
      </c>
      <c r="K441">
        <v>1</v>
      </c>
      <c r="L441">
        <v>1</v>
      </c>
      <c r="M441">
        <v>45</v>
      </c>
      <c r="N441">
        <v>82.974999999999994</v>
      </c>
      <c r="O441">
        <v>0</v>
      </c>
      <c r="P4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41" t="str">
        <f>IF(Table1[[#This Row],[Fraud_Score]]&gt;=6, "High Risk",IF(Table1[[#This Row],[Fraud_Score]]&gt;=3, "Medium Risk", "Low Risk"))</f>
        <v>Low Risk</v>
      </c>
      <c r="R441">
        <f>IF(Table1[[#This Row],[Seconds of Use]]=0,0,Table1[[#This Row],[Customer Value]]/Table1[[#This Row],[Seconds of Use]]*100)</f>
        <v>5.9780259365994226</v>
      </c>
    </row>
    <row r="442" spans="1:18" x14ac:dyDescent="0.35">
      <c r="A442" s="3" t="s">
        <v>463</v>
      </c>
      <c r="B442">
        <v>9</v>
      </c>
      <c r="C442">
        <v>0</v>
      </c>
      <c r="D442">
        <v>24</v>
      </c>
      <c r="E442">
        <v>0</v>
      </c>
      <c r="F442">
        <v>520</v>
      </c>
      <c r="G442">
        <v>17</v>
      </c>
      <c r="H442">
        <v>0</v>
      </c>
      <c r="I442">
        <v>2</v>
      </c>
      <c r="J442">
        <v>2</v>
      </c>
      <c r="K442">
        <v>1</v>
      </c>
      <c r="L442">
        <v>2</v>
      </c>
      <c r="M442">
        <v>25</v>
      </c>
      <c r="N442">
        <v>24.164999999999999</v>
      </c>
      <c r="O442">
        <v>0</v>
      </c>
      <c r="P4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42" t="str">
        <f>IF(Table1[[#This Row],[Fraud_Score]]&gt;=6, "High Risk",IF(Table1[[#This Row],[Fraud_Score]]&gt;=3, "Medium Risk", "Low Risk"))</f>
        <v>Low Risk</v>
      </c>
      <c r="R442">
        <f>IF(Table1[[#This Row],[Seconds of Use]]=0,0,Table1[[#This Row],[Customer Value]]/Table1[[#This Row],[Seconds of Use]]*100)</f>
        <v>4.6471153846153843</v>
      </c>
    </row>
    <row r="443" spans="1:18" x14ac:dyDescent="0.35">
      <c r="A443" s="3" t="s">
        <v>464</v>
      </c>
      <c r="B443">
        <v>0</v>
      </c>
      <c r="C443">
        <v>0</v>
      </c>
      <c r="D443">
        <v>23</v>
      </c>
      <c r="E443">
        <v>0</v>
      </c>
      <c r="F443">
        <v>0</v>
      </c>
      <c r="G443">
        <v>0</v>
      </c>
      <c r="H443">
        <v>10</v>
      </c>
      <c r="I443">
        <v>0</v>
      </c>
      <c r="J443">
        <v>4</v>
      </c>
      <c r="K443">
        <v>1</v>
      </c>
      <c r="L443">
        <v>2</v>
      </c>
      <c r="M443">
        <v>45</v>
      </c>
      <c r="N443">
        <v>25</v>
      </c>
      <c r="O443">
        <v>0</v>
      </c>
      <c r="P4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43" t="str">
        <f>IF(Table1[[#This Row],[Fraud_Score]]&gt;=6, "High Risk",IF(Table1[[#This Row],[Fraud_Score]]&gt;=3, "Medium Risk", "Low Risk"))</f>
        <v>Low Risk</v>
      </c>
      <c r="R443">
        <f>IF(Table1[[#This Row],[Seconds of Use]]=0,0,Table1[[#This Row],[Customer Value]]/Table1[[#This Row],[Seconds of Use]]*100)</f>
        <v>0</v>
      </c>
    </row>
    <row r="444" spans="1:18" x14ac:dyDescent="0.35">
      <c r="A444" s="3" t="s">
        <v>465</v>
      </c>
      <c r="B444">
        <v>8</v>
      </c>
      <c r="C444">
        <v>0</v>
      </c>
      <c r="D444">
        <v>22</v>
      </c>
      <c r="E444">
        <v>0</v>
      </c>
      <c r="F444">
        <v>1045</v>
      </c>
      <c r="G444">
        <v>24</v>
      </c>
      <c r="H444">
        <v>8</v>
      </c>
      <c r="I444">
        <v>8</v>
      </c>
      <c r="J444">
        <v>2</v>
      </c>
      <c r="K444">
        <v>1</v>
      </c>
      <c r="L444">
        <v>1</v>
      </c>
      <c r="M444">
        <v>25</v>
      </c>
      <c r="N444">
        <v>84.105000000000004</v>
      </c>
      <c r="O444">
        <v>0</v>
      </c>
      <c r="P4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44" t="str">
        <f>IF(Table1[[#This Row],[Fraud_Score]]&gt;=6, "High Risk",IF(Table1[[#This Row],[Fraud_Score]]&gt;=3, "Medium Risk", "Low Risk"))</f>
        <v>Low Risk</v>
      </c>
      <c r="R444">
        <f>IF(Table1[[#This Row],[Seconds of Use]]=0,0,Table1[[#This Row],[Customer Value]]/Table1[[#This Row],[Seconds of Use]]*100)</f>
        <v>8.0483253588516757</v>
      </c>
    </row>
    <row r="445" spans="1:18" x14ac:dyDescent="0.35">
      <c r="A445" s="3" t="s">
        <v>466</v>
      </c>
      <c r="B445">
        <v>0</v>
      </c>
      <c r="C445">
        <v>0</v>
      </c>
      <c r="D445">
        <v>22</v>
      </c>
      <c r="E445">
        <v>0</v>
      </c>
      <c r="F445">
        <v>3045</v>
      </c>
      <c r="G445">
        <v>53</v>
      </c>
      <c r="H445">
        <v>0</v>
      </c>
      <c r="I445">
        <v>18</v>
      </c>
      <c r="J445">
        <v>3</v>
      </c>
      <c r="K445">
        <v>1</v>
      </c>
      <c r="L445">
        <v>1</v>
      </c>
      <c r="M445">
        <v>30</v>
      </c>
      <c r="N445">
        <v>123.92</v>
      </c>
      <c r="O445">
        <v>0</v>
      </c>
      <c r="P4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45" t="str">
        <f>IF(Table1[[#This Row],[Fraud_Score]]&gt;=6, "High Risk",IF(Table1[[#This Row],[Fraud_Score]]&gt;=3, "Medium Risk", "Low Risk"))</f>
        <v>Low Risk</v>
      </c>
      <c r="R445">
        <f>IF(Table1[[#This Row],[Seconds of Use]]=0,0,Table1[[#This Row],[Customer Value]]/Table1[[#This Row],[Seconds of Use]]*100)</f>
        <v>4.0696223316912974</v>
      </c>
    </row>
    <row r="446" spans="1:18" x14ac:dyDescent="0.35">
      <c r="A446" s="3" t="s">
        <v>467</v>
      </c>
      <c r="B446">
        <v>0</v>
      </c>
      <c r="C446">
        <v>0</v>
      </c>
      <c r="D446">
        <v>15</v>
      </c>
      <c r="E446">
        <v>0</v>
      </c>
      <c r="F446">
        <v>1515</v>
      </c>
      <c r="G446">
        <v>18</v>
      </c>
      <c r="H446">
        <v>17</v>
      </c>
      <c r="I446">
        <v>9</v>
      </c>
      <c r="J446">
        <v>2</v>
      </c>
      <c r="K446">
        <v>1</v>
      </c>
      <c r="L446">
        <v>1</v>
      </c>
      <c r="M446">
        <v>25</v>
      </c>
      <c r="N446">
        <v>145.48500000000001</v>
      </c>
      <c r="O446">
        <v>0</v>
      </c>
      <c r="P4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46" t="str">
        <f>IF(Table1[[#This Row],[Fraud_Score]]&gt;=6, "High Risk",IF(Table1[[#This Row],[Fraud_Score]]&gt;=3, "Medium Risk", "Low Risk"))</f>
        <v>Low Risk</v>
      </c>
      <c r="R446">
        <f>IF(Table1[[#This Row],[Seconds of Use]]=0,0,Table1[[#This Row],[Customer Value]]/Table1[[#This Row],[Seconds of Use]]*100)</f>
        <v>9.6029702970297048</v>
      </c>
    </row>
    <row r="447" spans="1:18" x14ac:dyDescent="0.35">
      <c r="A447" s="3" t="s">
        <v>468</v>
      </c>
      <c r="B447">
        <v>14</v>
      </c>
      <c r="C447">
        <v>0</v>
      </c>
      <c r="D447">
        <v>14</v>
      </c>
      <c r="E447">
        <v>1</v>
      </c>
      <c r="F447">
        <v>6213</v>
      </c>
      <c r="G447">
        <v>133</v>
      </c>
      <c r="H447">
        <v>74</v>
      </c>
      <c r="I447">
        <v>37</v>
      </c>
      <c r="J447">
        <v>2</v>
      </c>
      <c r="K447">
        <v>2</v>
      </c>
      <c r="L447">
        <v>1</v>
      </c>
      <c r="M447">
        <v>25</v>
      </c>
      <c r="N447">
        <v>618.57000000000005</v>
      </c>
      <c r="O447">
        <v>0</v>
      </c>
      <c r="P4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47" t="str">
        <f>IF(Table1[[#This Row],[Fraud_Score]]&gt;=6, "High Risk",IF(Table1[[#This Row],[Fraud_Score]]&gt;=3, "Medium Risk", "Low Risk"))</f>
        <v>Low Risk</v>
      </c>
      <c r="R447">
        <f>IF(Table1[[#This Row],[Seconds of Use]]=0,0,Table1[[#This Row],[Customer Value]]/Table1[[#This Row],[Seconds of Use]]*100)</f>
        <v>9.9560598744567859</v>
      </c>
    </row>
    <row r="448" spans="1:18" x14ac:dyDescent="0.35">
      <c r="A448" s="3" t="s">
        <v>469</v>
      </c>
      <c r="B448">
        <v>10</v>
      </c>
      <c r="C448">
        <v>0</v>
      </c>
      <c r="D448">
        <v>12</v>
      </c>
      <c r="E448">
        <v>0</v>
      </c>
      <c r="F448">
        <v>8753</v>
      </c>
      <c r="G448">
        <v>163</v>
      </c>
      <c r="H448">
        <v>62</v>
      </c>
      <c r="I448">
        <v>35</v>
      </c>
      <c r="J448">
        <v>4</v>
      </c>
      <c r="K448">
        <v>1</v>
      </c>
      <c r="L448">
        <v>1</v>
      </c>
      <c r="M448">
        <v>45</v>
      </c>
      <c r="N448">
        <v>377.9</v>
      </c>
      <c r="O448">
        <v>0</v>
      </c>
      <c r="P4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48" t="str">
        <f>IF(Table1[[#This Row],[Fraud_Score]]&gt;=6, "High Risk",IF(Table1[[#This Row],[Fraud_Score]]&gt;=3, "Medium Risk", "Low Risk"))</f>
        <v>Medium Risk</v>
      </c>
      <c r="R448">
        <f>IF(Table1[[#This Row],[Seconds of Use]]=0,0,Table1[[#This Row],[Customer Value]]/Table1[[#This Row],[Seconds of Use]]*100)</f>
        <v>4.3173768993487949</v>
      </c>
    </row>
    <row r="449" spans="1:18" x14ac:dyDescent="0.35">
      <c r="A449" s="3" t="s">
        <v>470</v>
      </c>
      <c r="B449">
        <v>6</v>
      </c>
      <c r="C449">
        <v>0</v>
      </c>
      <c r="D449">
        <v>13</v>
      </c>
      <c r="E449">
        <v>3</v>
      </c>
      <c r="F449">
        <v>2673</v>
      </c>
      <c r="G449">
        <v>37</v>
      </c>
      <c r="H449">
        <v>20</v>
      </c>
      <c r="I449">
        <v>14</v>
      </c>
      <c r="J449">
        <v>3</v>
      </c>
      <c r="K449">
        <v>1</v>
      </c>
      <c r="L449">
        <v>1</v>
      </c>
      <c r="M449">
        <v>30</v>
      </c>
      <c r="N449">
        <v>188.4</v>
      </c>
      <c r="O449">
        <v>0</v>
      </c>
      <c r="P4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49" t="str">
        <f>IF(Table1[[#This Row],[Fraud_Score]]&gt;=6, "High Risk",IF(Table1[[#This Row],[Fraud_Score]]&gt;=3, "Medium Risk", "Low Risk"))</f>
        <v>Low Risk</v>
      </c>
      <c r="R449">
        <f>IF(Table1[[#This Row],[Seconds of Use]]=0,0,Table1[[#This Row],[Customer Value]]/Table1[[#This Row],[Seconds of Use]]*100)</f>
        <v>7.0482603815937157</v>
      </c>
    </row>
    <row r="450" spans="1:18" x14ac:dyDescent="0.35">
      <c r="A450" s="3" t="s">
        <v>471</v>
      </c>
      <c r="B450">
        <v>0</v>
      </c>
      <c r="C450">
        <v>0</v>
      </c>
      <c r="D450">
        <v>6</v>
      </c>
      <c r="E450">
        <v>1</v>
      </c>
      <c r="F450">
        <v>4210</v>
      </c>
      <c r="G450">
        <v>32</v>
      </c>
      <c r="H450">
        <v>204</v>
      </c>
      <c r="I450">
        <v>5</v>
      </c>
      <c r="J450">
        <v>3</v>
      </c>
      <c r="K450">
        <v>1</v>
      </c>
      <c r="L450">
        <v>1</v>
      </c>
      <c r="M450">
        <v>30</v>
      </c>
      <c r="N450">
        <v>985.68</v>
      </c>
      <c r="O450">
        <v>0</v>
      </c>
      <c r="P4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50" t="str">
        <f>IF(Table1[[#This Row],[Fraud_Score]]&gt;=6, "High Risk",IF(Table1[[#This Row],[Fraud_Score]]&gt;=3, "Medium Risk", "Low Risk"))</f>
        <v>Low Risk</v>
      </c>
      <c r="R450">
        <f>IF(Table1[[#This Row],[Seconds of Use]]=0,0,Table1[[#This Row],[Customer Value]]/Table1[[#This Row],[Seconds of Use]]*100)</f>
        <v>23.412826603325414</v>
      </c>
    </row>
    <row r="451" spans="1:18" x14ac:dyDescent="0.35">
      <c r="A451" s="3" t="s">
        <v>472</v>
      </c>
      <c r="B451">
        <v>1</v>
      </c>
      <c r="C451">
        <v>0</v>
      </c>
      <c r="D451">
        <v>6</v>
      </c>
      <c r="E451">
        <v>1</v>
      </c>
      <c r="F451">
        <v>1308</v>
      </c>
      <c r="G451">
        <v>11</v>
      </c>
      <c r="H451">
        <v>0</v>
      </c>
      <c r="I451">
        <v>2</v>
      </c>
      <c r="J451">
        <v>3</v>
      </c>
      <c r="K451">
        <v>1</v>
      </c>
      <c r="L451">
        <v>1</v>
      </c>
      <c r="M451">
        <v>30</v>
      </c>
      <c r="N451">
        <v>52.76</v>
      </c>
      <c r="O451">
        <v>1</v>
      </c>
      <c r="P4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51" t="str">
        <f>IF(Table1[[#This Row],[Fraud_Score]]&gt;=6, "High Risk",IF(Table1[[#This Row],[Fraud_Score]]&gt;=3, "Medium Risk", "Low Risk"))</f>
        <v>Low Risk</v>
      </c>
      <c r="R451">
        <f>IF(Table1[[#This Row],[Seconds of Use]]=0,0,Table1[[#This Row],[Customer Value]]/Table1[[#This Row],[Seconds of Use]]*100)</f>
        <v>4.0336391437308867</v>
      </c>
    </row>
    <row r="452" spans="1:18" x14ac:dyDescent="0.35">
      <c r="A452" s="3" t="s">
        <v>473</v>
      </c>
      <c r="B452">
        <v>12</v>
      </c>
      <c r="C452">
        <v>0</v>
      </c>
      <c r="D452">
        <v>38</v>
      </c>
      <c r="E452">
        <v>2</v>
      </c>
      <c r="F452">
        <v>4970</v>
      </c>
      <c r="G452">
        <v>81</v>
      </c>
      <c r="H452">
        <v>26</v>
      </c>
      <c r="I452">
        <v>32</v>
      </c>
      <c r="J452">
        <v>3</v>
      </c>
      <c r="K452">
        <v>1</v>
      </c>
      <c r="L452">
        <v>1</v>
      </c>
      <c r="M452">
        <v>30</v>
      </c>
      <c r="N452">
        <v>306.04000000000002</v>
      </c>
      <c r="O452">
        <v>0</v>
      </c>
      <c r="P4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52" t="str">
        <f>IF(Table1[[#This Row],[Fraud_Score]]&gt;=6, "High Risk",IF(Table1[[#This Row],[Fraud_Score]]&gt;=3, "Medium Risk", "Low Risk"))</f>
        <v>Low Risk</v>
      </c>
      <c r="R452">
        <f>IF(Table1[[#This Row],[Seconds of Use]]=0,0,Table1[[#This Row],[Customer Value]]/Table1[[#This Row],[Seconds of Use]]*100)</f>
        <v>6.1577464788732401</v>
      </c>
    </row>
    <row r="453" spans="1:18" x14ac:dyDescent="0.35">
      <c r="A453" s="3" t="s">
        <v>474</v>
      </c>
      <c r="B453">
        <v>4</v>
      </c>
      <c r="C453">
        <v>0</v>
      </c>
      <c r="D453">
        <v>39</v>
      </c>
      <c r="E453">
        <v>0</v>
      </c>
      <c r="F453">
        <v>918</v>
      </c>
      <c r="G453">
        <v>15</v>
      </c>
      <c r="H453">
        <v>28</v>
      </c>
      <c r="I453">
        <v>19</v>
      </c>
      <c r="J453">
        <v>3</v>
      </c>
      <c r="K453">
        <v>1</v>
      </c>
      <c r="L453">
        <v>2</v>
      </c>
      <c r="M453">
        <v>30</v>
      </c>
      <c r="N453">
        <v>149.32</v>
      </c>
      <c r="O453">
        <v>0</v>
      </c>
      <c r="P4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53" t="str">
        <f>IF(Table1[[#This Row],[Fraud_Score]]&gt;=6, "High Risk",IF(Table1[[#This Row],[Fraud_Score]]&gt;=3, "Medium Risk", "Low Risk"))</f>
        <v>Low Risk</v>
      </c>
      <c r="R453">
        <f>IF(Table1[[#This Row],[Seconds of Use]]=0,0,Table1[[#This Row],[Customer Value]]/Table1[[#This Row],[Seconds of Use]]*100)</f>
        <v>16.265795206971674</v>
      </c>
    </row>
    <row r="454" spans="1:18" x14ac:dyDescent="0.35">
      <c r="A454" s="3" t="s">
        <v>475</v>
      </c>
      <c r="B454">
        <v>14</v>
      </c>
      <c r="C454">
        <v>0</v>
      </c>
      <c r="D454">
        <v>37</v>
      </c>
      <c r="E454">
        <v>2</v>
      </c>
      <c r="F454">
        <v>3053</v>
      </c>
      <c r="G454">
        <v>70</v>
      </c>
      <c r="H454">
        <v>380</v>
      </c>
      <c r="I454">
        <v>39</v>
      </c>
      <c r="J454">
        <v>3</v>
      </c>
      <c r="K454">
        <v>1</v>
      </c>
      <c r="L454">
        <v>1</v>
      </c>
      <c r="M454">
        <v>30</v>
      </c>
      <c r="N454">
        <v>1644.92</v>
      </c>
      <c r="O454">
        <v>0</v>
      </c>
      <c r="P4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54" t="str">
        <f>IF(Table1[[#This Row],[Fraud_Score]]&gt;=6, "High Risk",IF(Table1[[#This Row],[Fraud_Score]]&gt;=3, "Medium Risk", "Low Risk"))</f>
        <v>Low Risk</v>
      </c>
      <c r="R454">
        <f>IF(Table1[[#This Row],[Seconds of Use]]=0,0,Table1[[#This Row],[Customer Value]]/Table1[[#This Row],[Seconds of Use]]*100)</f>
        <v>53.878807730101542</v>
      </c>
    </row>
    <row r="455" spans="1:18" x14ac:dyDescent="0.35">
      <c r="A455" s="3" t="s">
        <v>476</v>
      </c>
      <c r="B455">
        <v>14</v>
      </c>
      <c r="C455">
        <v>0</v>
      </c>
      <c r="D455">
        <v>38</v>
      </c>
      <c r="E455">
        <v>2</v>
      </c>
      <c r="F455">
        <v>4798</v>
      </c>
      <c r="G455">
        <v>76</v>
      </c>
      <c r="H455">
        <v>22</v>
      </c>
      <c r="I455">
        <v>50</v>
      </c>
      <c r="J455">
        <v>1</v>
      </c>
      <c r="K455">
        <v>1</v>
      </c>
      <c r="L455">
        <v>1</v>
      </c>
      <c r="M455">
        <v>15</v>
      </c>
      <c r="N455">
        <v>389.07</v>
      </c>
      <c r="O455">
        <v>0</v>
      </c>
      <c r="P4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55" t="str">
        <f>IF(Table1[[#This Row],[Fraud_Score]]&gt;=6, "High Risk",IF(Table1[[#This Row],[Fraud_Score]]&gt;=3, "Medium Risk", "Low Risk"))</f>
        <v>Medium Risk</v>
      </c>
      <c r="R455">
        <f>IF(Table1[[#This Row],[Seconds of Use]]=0,0,Table1[[#This Row],[Customer Value]]/Table1[[#This Row],[Seconds of Use]]*100)</f>
        <v>8.1090037515631508</v>
      </c>
    </row>
    <row r="456" spans="1:18" x14ac:dyDescent="0.35">
      <c r="A456" s="3" t="s">
        <v>477</v>
      </c>
      <c r="B456">
        <v>7</v>
      </c>
      <c r="C456">
        <v>0</v>
      </c>
      <c r="D456">
        <v>38</v>
      </c>
      <c r="E456">
        <v>2</v>
      </c>
      <c r="F456">
        <v>2993</v>
      </c>
      <c r="G456">
        <v>68</v>
      </c>
      <c r="H456">
        <v>23</v>
      </c>
      <c r="I456">
        <v>48</v>
      </c>
      <c r="J456">
        <v>2</v>
      </c>
      <c r="K456">
        <v>1</v>
      </c>
      <c r="L456">
        <v>1</v>
      </c>
      <c r="M456">
        <v>25</v>
      </c>
      <c r="N456">
        <v>241.245</v>
      </c>
      <c r="O456">
        <v>0</v>
      </c>
      <c r="P4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56" t="str">
        <f>IF(Table1[[#This Row],[Fraud_Score]]&gt;=6, "High Risk",IF(Table1[[#This Row],[Fraud_Score]]&gt;=3, "Medium Risk", "Low Risk"))</f>
        <v>Low Risk</v>
      </c>
      <c r="R456">
        <f>IF(Table1[[#This Row],[Seconds of Use]]=0,0,Table1[[#This Row],[Customer Value]]/Table1[[#This Row],[Seconds of Use]]*100)</f>
        <v>8.060307383895756</v>
      </c>
    </row>
    <row r="457" spans="1:18" x14ac:dyDescent="0.35">
      <c r="A457" s="3" t="s">
        <v>478</v>
      </c>
      <c r="B457">
        <v>15</v>
      </c>
      <c r="C457">
        <v>0</v>
      </c>
      <c r="D457">
        <v>38</v>
      </c>
      <c r="E457">
        <v>3</v>
      </c>
      <c r="F457">
        <v>4375</v>
      </c>
      <c r="G457">
        <v>92</v>
      </c>
      <c r="H457">
        <v>53</v>
      </c>
      <c r="I457">
        <v>43</v>
      </c>
      <c r="J457">
        <v>3</v>
      </c>
      <c r="K457">
        <v>1</v>
      </c>
      <c r="L457">
        <v>1</v>
      </c>
      <c r="M457">
        <v>30</v>
      </c>
      <c r="N457">
        <v>390.68</v>
      </c>
      <c r="O457">
        <v>0</v>
      </c>
      <c r="P4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57" t="str">
        <f>IF(Table1[[#This Row],[Fraud_Score]]&gt;=6, "High Risk",IF(Table1[[#This Row],[Fraud_Score]]&gt;=3, "Medium Risk", "Low Risk"))</f>
        <v>Low Risk</v>
      </c>
      <c r="R457">
        <f>IF(Table1[[#This Row],[Seconds of Use]]=0,0,Table1[[#This Row],[Customer Value]]/Table1[[#This Row],[Seconds of Use]]*100)</f>
        <v>8.9298285714285726</v>
      </c>
    </row>
    <row r="458" spans="1:18" x14ac:dyDescent="0.35">
      <c r="A458" s="3" t="s">
        <v>479</v>
      </c>
      <c r="B458">
        <v>8</v>
      </c>
      <c r="C458">
        <v>0</v>
      </c>
      <c r="D458">
        <v>38</v>
      </c>
      <c r="E458">
        <v>2</v>
      </c>
      <c r="F458">
        <v>2960</v>
      </c>
      <c r="G458">
        <v>49</v>
      </c>
      <c r="H458">
        <v>306</v>
      </c>
      <c r="I458">
        <v>33</v>
      </c>
      <c r="J458">
        <v>3</v>
      </c>
      <c r="K458">
        <v>1</v>
      </c>
      <c r="L458">
        <v>1</v>
      </c>
      <c r="M458">
        <v>30</v>
      </c>
      <c r="N458">
        <v>1344.36</v>
      </c>
      <c r="O458">
        <v>0</v>
      </c>
      <c r="P4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58" t="str">
        <f>IF(Table1[[#This Row],[Fraud_Score]]&gt;=6, "High Risk",IF(Table1[[#This Row],[Fraud_Score]]&gt;=3, "Medium Risk", "Low Risk"))</f>
        <v>Low Risk</v>
      </c>
      <c r="R458">
        <f>IF(Table1[[#This Row],[Seconds of Use]]=0,0,Table1[[#This Row],[Customer Value]]/Table1[[#This Row],[Seconds of Use]]*100)</f>
        <v>45.417567567567559</v>
      </c>
    </row>
    <row r="459" spans="1:18" x14ac:dyDescent="0.35">
      <c r="A459" s="3" t="s">
        <v>480</v>
      </c>
      <c r="B459">
        <v>17</v>
      </c>
      <c r="C459">
        <v>0</v>
      </c>
      <c r="D459">
        <v>37</v>
      </c>
      <c r="E459">
        <v>4</v>
      </c>
      <c r="F459">
        <v>9715</v>
      </c>
      <c r="G459">
        <v>131</v>
      </c>
      <c r="H459">
        <v>165</v>
      </c>
      <c r="I459">
        <v>58</v>
      </c>
      <c r="J459">
        <v>3</v>
      </c>
      <c r="K459">
        <v>2</v>
      </c>
      <c r="L459">
        <v>1</v>
      </c>
      <c r="M459">
        <v>30</v>
      </c>
      <c r="N459">
        <v>1053.8399999999999</v>
      </c>
      <c r="O459">
        <v>0</v>
      </c>
      <c r="P4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59" t="str">
        <f>IF(Table1[[#This Row],[Fraud_Score]]&gt;=6, "High Risk",IF(Table1[[#This Row],[Fraud_Score]]&gt;=3, "Medium Risk", "Low Risk"))</f>
        <v>Medium Risk</v>
      </c>
      <c r="R459">
        <f>IF(Table1[[#This Row],[Seconds of Use]]=0,0,Table1[[#This Row],[Customer Value]]/Table1[[#This Row],[Seconds of Use]]*100)</f>
        <v>10.847555326814204</v>
      </c>
    </row>
    <row r="460" spans="1:18" x14ac:dyDescent="0.35">
      <c r="A460" s="3" t="s">
        <v>481</v>
      </c>
      <c r="B460">
        <v>11</v>
      </c>
      <c r="C460">
        <v>0</v>
      </c>
      <c r="D460">
        <v>38</v>
      </c>
      <c r="E460">
        <v>2</v>
      </c>
      <c r="F460">
        <v>14373</v>
      </c>
      <c r="G460">
        <v>179</v>
      </c>
      <c r="H460">
        <v>21</v>
      </c>
      <c r="I460">
        <v>59</v>
      </c>
      <c r="J460">
        <v>3</v>
      </c>
      <c r="K460">
        <v>1</v>
      </c>
      <c r="L460">
        <v>1</v>
      </c>
      <c r="M460">
        <v>30</v>
      </c>
      <c r="N460">
        <v>666.08</v>
      </c>
      <c r="O460">
        <v>0</v>
      </c>
      <c r="P4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60" t="str">
        <f>IF(Table1[[#This Row],[Fraud_Score]]&gt;=6, "High Risk",IF(Table1[[#This Row],[Fraud_Score]]&gt;=3, "Medium Risk", "Low Risk"))</f>
        <v>Medium Risk</v>
      </c>
      <c r="R460">
        <f>IF(Table1[[#This Row],[Seconds of Use]]=0,0,Table1[[#This Row],[Customer Value]]/Table1[[#This Row],[Seconds of Use]]*100)</f>
        <v>4.6342447644889724</v>
      </c>
    </row>
    <row r="461" spans="1:18" x14ac:dyDescent="0.35">
      <c r="A461" s="3" t="s">
        <v>482</v>
      </c>
      <c r="B461">
        <v>11</v>
      </c>
      <c r="C461">
        <v>0</v>
      </c>
      <c r="D461">
        <v>38</v>
      </c>
      <c r="E461">
        <v>3</v>
      </c>
      <c r="F461">
        <v>5115</v>
      </c>
      <c r="G461">
        <v>93</v>
      </c>
      <c r="H461">
        <v>23</v>
      </c>
      <c r="I461">
        <v>40</v>
      </c>
      <c r="J461">
        <v>3</v>
      </c>
      <c r="K461">
        <v>1</v>
      </c>
      <c r="L461">
        <v>1</v>
      </c>
      <c r="M461">
        <v>30</v>
      </c>
      <c r="N461">
        <v>300.32</v>
      </c>
      <c r="O461">
        <v>0</v>
      </c>
      <c r="P4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61" t="str">
        <f>IF(Table1[[#This Row],[Fraud_Score]]&gt;=6, "High Risk",IF(Table1[[#This Row],[Fraud_Score]]&gt;=3, "Medium Risk", "Low Risk"))</f>
        <v>Low Risk</v>
      </c>
      <c r="R461">
        <f>IF(Table1[[#This Row],[Seconds of Use]]=0,0,Table1[[#This Row],[Customer Value]]/Table1[[#This Row],[Seconds of Use]]*100)</f>
        <v>5.8713587487781034</v>
      </c>
    </row>
    <row r="462" spans="1:18" x14ac:dyDescent="0.35">
      <c r="A462" s="3" t="s">
        <v>483</v>
      </c>
      <c r="B462">
        <v>10</v>
      </c>
      <c r="C462">
        <v>0</v>
      </c>
      <c r="D462">
        <v>38</v>
      </c>
      <c r="E462">
        <v>2</v>
      </c>
      <c r="F462">
        <v>6518</v>
      </c>
      <c r="G462">
        <v>105</v>
      </c>
      <c r="H462">
        <v>28</v>
      </c>
      <c r="I462">
        <v>27</v>
      </c>
      <c r="J462">
        <v>3</v>
      </c>
      <c r="K462">
        <v>1</v>
      </c>
      <c r="L462">
        <v>1</v>
      </c>
      <c r="M462">
        <v>30</v>
      </c>
      <c r="N462">
        <v>376.92</v>
      </c>
      <c r="O462">
        <v>0</v>
      </c>
      <c r="P4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62" t="str">
        <f>IF(Table1[[#This Row],[Fraud_Score]]&gt;=6, "High Risk",IF(Table1[[#This Row],[Fraud_Score]]&gt;=3, "Medium Risk", "Low Risk"))</f>
        <v>Low Risk</v>
      </c>
      <c r="R462">
        <f>IF(Table1[[#This Row],[Seconds of Use]]=0,0,Table1[[#This Row],[Customer Value]]/Table1[[#This Row],[Seconds of Use]]*100)</f>
        <v>5.782755446455969</v>
      </c>
    </row>
    <row r="463" spans="1:18" x14ac:dyDescent="0.35">
      <c r="A463" s="3" t="s">
        <v>484</v>
      </c>
      <c r="B463">
        <v>13</v>
      </c>
      <c r="C463">
        <v>0</v>
      </c>
      <c r="D463">
        <v>38</v>
      </c>
      <c r="E463">
        <v>0</v>
      </c>
      <c r="F463">
        <v>2838</v>
      </c>
      <c r="G463">
        <v>64</v>
      </c>
      <c r="H463">
        <v>29</v>
      </c>
      <c r="I463">
        <v>32</v>
      </c>
      <c r="J463">
        <v>3</v>
      </c>
      <c r="K463">
        <v>1</v>
      </c>
      <c r="L463">
        <v>2</v>
      </c>
      <c r="M463">
        <v>30</v>
      </c>
      <c r="N463">
        <v>232.08</v>
      </c>
      <c r="O463">
        <v>0</v>
      </c>
      <c r="P4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63" t="str">
        <f>IF(Table1[[#This Row],[Fraud_Score]]&gt;=6, "High Risk",IF(Table1[[#This Row],[Fraud_Score]]&gt;=3, "Medium Risk", "Low Risk"))</f>
        <v>Medium Risk</v>
      </c>
      <c r="R463">
        <f>IF(Table1[[#This Row],[Seconds of Use]]=0,0,Table1[[#This Row],[Customer Value]]/Table1[[#This Row],[Seconds of Use]]*100)</f>
        <v>8.1775898520084578</v>
      </c>
    </row>
    <row r="464" spans="1:18" x14ac:dyDescent="0.35">
      <c r="A464" s="3" t="s">
        <v>485</v>
      </c>
      <c r="B464">
        <v>29</v>
      </c>
      <c r="C464">
        <v>0</v>
      </c>
      <c r="D464">
        <v>38</v>
      </c>
      <c r="E464">
        <v>5</v>
      </c>
      <c r="F464">
        <v>15740</v>
      </c>
      <c r="G464">
        <v>235</v>
      </c>
      <c r="H464">
        <v>75</v>
      </c>
      <c r="I464">
        <v>47</v>
      </c>
      <c r="J464">
        <v>3</v>
      </c>
      <c r="K464">
        <v>1</v>
      </c>
      <c r="L464">
        <v>1</v>
      </c>
      <c r="M464">
        <v>30</v>
      </c>
      <c r="N464">
        <v>939</v>
      </c>
      <c r="O464">
        <v>0</v>
      </c>
      <c r="P4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464" t="str">
        <f>IF(Table1[[#This Row],[Fraud_Score]]&gt;=6, "High Risk",IF(Table1[[#This Row],[Fraud_Score]]&gt;=3, "Medium Risk", "Low Risk"))</f>
        <v>Medium Risk</v>
      </c>
      <c r="R464">
        <f>IF(Table1[[#This Row],[Seconds of Use]]=0,0,Table1[[#This Row],[Customer Value]]/Table1[[#This Row],[Seconds of Use]]*100)</f>
        <v>5.9656925031766201</v>
      </c>
    </row>
    <row r="465" spans="1:18" x14ac:dyDescent="0.35">
      <c r="A465" s="3" t="s">
        <v>486</v>
      </c>
      <c r="B465">
        <v>8</v>
      </c>
      <c r="C465">
        <v>0</v>
      </c>
      <c r="D465">
        <v>38</v>
      </c>
      <c r="E465">
        <v>3</v>
      </c>
      <c r="F465">
        <v>3695</v>
      </c>
      <c r="G465">
        <v>37</v>
      </c>
      <c r="H465">
        <v>504</v>
      </c>
      <c r="I465">
        <v>23</v>
      </c>
      <c r="J465">
        <v>3</v>
      </c>
      <c r="K465">
        <v>1</v>
      </c>
      <c r="L465">
        <v>1</v>
      </c>
      <c r="M465">
        <v>30</v>
      </c>
      <c r="N465">
        <v>2165.2800000000002</v>
      </c>
      <c r="O465">
        <v>0</v>
      </c>
      <c r="P4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65" t="str">
        <f>IF(Table1[[#This Row],[Fraud_Score]]&gt;=6, "High Risk",IF(Table1[[#This Row],[Fraud_Score]]&gt;=3, "Medium Risk", "Low Risk"))</f>
        <v>Low Risk</v>
      </c>
      <c r="R465">
        <f>IF(Table1[[#This Row],[Seconds of Use]]=0,0,Table1[[#This Row],[Customer Value]]/Table1[[#This Row],[Seconds of Use]]*100)</f>
        <v>58.60027063599459</v>
      </c>
    </row>
    <row r="466" spans="1:18" x14ac:dyDescent="0.35">
      <c r="A466" s="3" t="s">
        <v>487</v>
      </c>
      <c r="B466">
        <v>13</v>
      </c>
      <c r="C466">
        <v>0</v>
      </c>
      <c r="D466">
        <v>37</v>
      </c>
      <c r="E466">
        <v>2</v>
      </c>
      <c r="F466">
        <v>16085</v>
      </c>
      <c r="G466">
        <v>192</v>
      </c>
      <c r="H466">
        <v>171</v>
      </c>
      <c r="I466">
        <v>45</v>
      </c>
      <c r="J466">
        <v>2</v>
      </c>
      <c r="K466">
        <v>1</v>
      </c>
      <c r="L466">
        <v>1</v>
      </c>
      <c r="M466">
        <v>25</v>
      </c>
      <c r="N466">
        <v>1501.9649999999999</v>
      </c>
      <c r="O466">
        <v>0</v>
      </c>
      <c r="P4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466" t="str">
        <f>IF(Table1[[#This Row],[Fraud_Score]]&gt;=6, "High Risk",IF(Table1[[#This Row],[Fraud_Score]]&gt;=3, "Medium Risk", "Low Risk"))</f>
        <v>Medium Risk</v>
      </c>
      <c r="R466">
        <f>IF(Table1[[#This Row],[Seconds of Use]]=0,0,Table1[[#This Row],[Customer Value]]/Table1[[#This Row],[Seconds of Use]]*100)</f>
        <v>9.3376748523469075</v>
      </c>
    </row>
    <row r="467" spans="1:18" x14ac:dyDescent="0.35">
      <c r="A467" s="3" t="s">
        <v>488</v>
      </c>
      <c r="B467">
        <v>7</v>
      </c>
      <c r="C467">
        <v>0</v>
      </c>
      <c r="D467">
        <v>37</v>
      </c>
      <c r="E467">
        <v>3</v>
      </c>
      <c r="F467">
        <v>7100</v>
      </c>
      <c r="G467">
        <v>96</v>
      </c>
      <c r="H467">
        <v>207</v>
      </c>
      <c r="I467">
        <v>41</v>
      </c>
      <c r="J467">
        <v>3</v>
      </c>
      <c r="K467">
        <v>1</v>
      </c>
      <c r="L467">
        <v>1</v>
      </c>
      <c r="M467">
        <v>30</v>
      </c>
      <c r="N467">
        <v>1115.8399999999999</v>
      </c>
      <c r="O467">
        <v>0</v>
      </c>
      <c r="P4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67" t="str">
        <f>IF(Table1[[#This Row],[Fraud_Score]]&gt;=6, "High Risk",IF(Table1[[#This Row],[Fraud_Score]]&gt;=3, "Medium Risk", "Low Risk"))</f>
        <v>Low Risk</v>
      </c>
      <c r="R467">
        <f>IF(Table1[[#This Row],[Seconds of Use]]=0,0,Table1[[#This Row],[Customer Value]]/Table1[[#This Row],[Seconds of Use]]*100)</f>
        <v>15.716056338028167</v>
      </c>
    </row>
    <row r="468" spans="1:18" x14ac:dyDescent="0.35">
      <c r="A468" s="3" t="s">
        <v>489</v>
      </c>
      <c r="B468">
        <v>4</v>
      </c>
      <c r="C468">
        <v>0</v>
      </c>
      <c r="D468">
        <v>37</v>
      </c>
      <c r="E468">
        <v>0</v>
      </c>
      <c r="F468">
        <v>1475</v>
      </c>
      <c r="G468">
        <v>24</v>
      </c>
      <c r="H468">
        <v>21</v>
      </c>
      <c r="I468">
        <v>26</v>
      </c>
      <c r="J468">
        <v>2</v>
      </c>
      <c r="K468">
        <v>1</v>
      </c>
      <c r="L468">
        <v>2</v>
      </c>
      <c r="M468">
        <v>25</v>
      </c>
      <c r="N468">
        <v>161.95500000000001</v>
      </c>
      <c r="O468">
        <v>0</v>
      </c>
      <c r="P4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68" t="str">
        <f>IF(Table1[[#This Row],[Fraud_Score]]&gt;=6, "High Risk",IF(Table1[[#This Row],[Fraud_Score]]&gt;=3, "Medium Risk", "Low Risk"))</f>
        <v>Low Risk</v>
      </c>
      <c r="R468">
        <f>IF(Table1[[#This Row],[Seconds of Use]]=0,0,Table1[[#This Row],[Customer Value]]/Table1[[#This Row],[Seconds of Use]]*100)</f>
        <v>10.98</v>
      </c>
    </row>
    <row r="469" spans="1:18" x14ac:dyDescent="0.35">
      <c r="A469" s="3" t="s">
        <v>490</v>
      </c>
      <c r="B469">
        <v>6</v>
      </c>
      <c r="C469">
        <v>0</v>
      </c>
      <c r="D469">
        <v>38</v>
      </c>
      <c r="E469">
        <v>0</v>
      </c>
      <c r="F469">
        <v>1310</v>
      </c>
      <c r="G469">
        <v>24</v>
      </c>
      <c r="H469">
        <v>34</v>
      </c>
      <c r="I469">
        <v>23</v>
      </c>
      <c r="J469">
        <v>3</v>
      </c>
      <c r="K469">
        <v>1</v>
      </c>
      <c r="L469">
        <v>2</v>
      </c>
      <c r="M469">
        <v>30</v>
      </c>
      <c r="N469">
        <v>189.36</v>
      </c>
      <c r="O469">
        <v>0</v>
      </c>
      <c r="P4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69" t="str">
        <f>IF(Table1[[#This Row],[Fraud_Score]]&gt;=6, "High Risk",IF(Table1[[#This Row],[Fraud_Score]]&gt;=3, "Medium Risk", "Low Risk"))</f>
        <v>Low Risk</v>
      </c>
      <c r="R469">
        <f>IF(Table1[[#This Row],[Seconds of Use]]=0,0,Table1[[#This Row],[Customer Value]]/Table1[[#This Row],[Seconds of Use]]*100)</f>
        <v>14.45496183206107</v>
      </c>
    </row>
    <row r="470" spans="1:18" x14ac:dyDescent="0.35">
      <c r="A470" s="3" t="s">
        <v>491</v>
      </c>
      <c r="B470">
        <v>4</v>
      </c>
      <c r="C470">
        <v>0</v>
      </c>
      <c r="D470">
        <v>37</v>
      </c>
      <c r="E470">
        <v>0</v>
      </c>
      <c r="F470">
        <v>600</v>
      </c>
      <c r="G470">
        <v>10</v>
      </c>
      <c r="H470">
        <v>21</v>
      </c>
      <c r="I470">
        <v>15</v>
      </c>
      <c r="J470">
        <v>2</v>
      </c>
      <c r="K470">
        <v>1</v>
      </c>
      <c r="L470">
        <v>2</v>
      </c>
      <c r="M470">
        <v>25</v>
      </c>
      <c r="N470">
        <v>121.95</v>
      </c>
      <c r="O470">
        <v>1</v>
      </c>
      <c r="P4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70" t="str">
        <f>IF(Table1[[#This Row],[Fraud_Score]]&gt;=6, "High Risk",IF(Table1[[#This Row],[Fraud_Score]]&gt;=3, "Medium Risk", "Low Risk"))</f>
        <v>Low Risk</v>
      </c>
      <c r="R470">
        <f>IF(Table1[[#This Row],[Seconds of Use]]=0,0,Table1[[#This Row],[Customer Value]]/Table1[[#This Row],[Seconds of Use]]*100)</f>
        <v>20.325000000000003</v>
      </c>
    </row>
    <row r="471" spans="1:18" x14ac:dyDescent="0.35">
      <c r="A471" s="3" t="s">
        <v>492</v>
      </c>
      <c r="B471">
        <v>7</v>
      </c>
      <c r="C471">
        <v>0</v>
      </c>
      <c r="D471">
        <v>37</v>
      </c>
      <c r="E471">
        <v>2</v>
      </c>
      <c r="F471">
        <v>8108</v>
      </c>
      <c r="G471">
        <v>137</v>
      </c>
      <c r="H471">
        <v>405</v>
      </c>
      <c r="I471">
        <v>58</v>
      </c>
      <c r="J471">
        <v>3</v>
      </c>
      <c r="K471">
        <v>1</v>
      </c>
      <c r="L471">
        <v>1</v>
      </c>
      <c r="M471">
        <v>30</v>
      </c>
      <c r="N471">
        <v>1949.8</v>
      </c>
      <c r="O471">
        <v>0</v>
      </c>
      <c r="P4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71" t="str">
        <f>IF(Table1[[#This Row],[Fraud_Score]]&gt;=6, "High Risk",IF(Table1[[#This Row],[Fraud_Score]]&gt;=3, "Medium Risk", "Low Risk"))</f>
        <v>Low Risk</v>
      </c>
      <c r="R471">
        <f>IF(Table1[[#This Row],[Seconds of Use]]=0,0,Table1[[#This Row],[Customer Value]]/Table1[[#This Row],[Seconds of Use]]*100)</f>
        <v>24.047853971386285</v>
      </c>
    </row>
    <row r="472" spans="1:18" x14ac:dyDescent="0.35">
      <c r="A472" s="3" t="s">
        <v>493</v>
      </c>
      <c r="B472">
        <v>11</v>
      </c>
      <c r="C472">
        <v>0</v>
      </c>
      <c r="D472">
        <v>37</v>
      </c>
      <c r="E472">
        <v>3</v>
      </c>
      <c r="F472">
        <v>12065</v>
      </c>
      <c r="G472">
        <v>164</v>
      </c>
      <c r="H472">
        <v>32</v>
      </c>
      <c r="I472">
        <v>62</v>
      </c>
      <c r="J472">
        <v>4</v>
      </c>
      <c r="K472">
        <v>1</v>
      </c>
      <c r="L472">
        <v>1</v>
      </c>
      <c r="M472">
        <v>45</v>
      </c>
      <c r="N472">
        <v>385.72500000000002</v>
      </c>
      <c r="O472">
        <v>0</v>
      </c>
      <c r="P4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72" t="str">
        <f>IF(Table1[[#This Row],[Fraud_Score]]&gt;=6, "High Risk",IF(Table1[[#This Row],[Fraud_Score]]&gt;=3, "Medium Risk", "Low Risk"))</f>
        <v>Medium Risk</v>
      </c>
      <c r="R472">
        <f>IF(Table1[[#This Row],[Seconds of Use]]=0,0,Table1[[#This Row],[Customer Value]]/Table1[[#This Row],[Seconds of Use]]*100)</f>
        <v>3.1970576046415253</v>
      </c>
    </row>
    <row r="473" spans="1:18" x14ac:dyDescent="0.35">
      <c r="A473" s="3" t="s">
        <v>494</v>
      </c>
      <c r="B473">
        <v>12</v>
      </c>
      <c r="C473">
        <v>0</v>
      </c>
      <c r="D473">
        <v>37</v>
      </c>
      <c r="E473">
        <v>3</v>
      </c>
      <c r="F473">
        <v>7318</v>
      </c>
      <c r="G473">
        <v>85</v>
      </c>
      <c r="H473">
        <v>129</v>
      </c>
      <c r="I473">
        <v>52</v>
      </c>
      <c r="J473">
        <v>2</v>
      </c>
      <c r="K473">
        <v>1</v>
      </c>
      <c r="L473">
        <v>1</v>
      </c>
      <c r="M473">
        <v>25</v>
      </c>
      <c r="N473">
        <v>913.63499999999999</v>
      </c>
      <c r="O473">
        <v>0</v>
      </c>
      <c r="P4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73" t="str">
        <f>IF(Table1[[#This Row],[Fraud_Score]]&gt;=6, "High Risk",IF(Table1[[#This Row],[Fraud_Score]]&gt;=3, "Medium Risk", "Low Risk"))</f>
        <v>Medium Risk</v>
      </c>
      <c r="R473">
        <f>IF(Table1[[#This Row],[Seconds of Use]]=0,0,Table1[[#This Row],[Customer Value]]/Table1[[#This Row],[Seconds of Use]]*100)</f>
        <v>12.484763596611096</v>
      </c>
    </row>
    <row r="474" spans="1:18" x14ac:dyDescent="0.35">
      <c r="A474" s="3" t="s">
        <v>495</v>
      </c>
      <c r="B474">
        <v>27</v>
      </c>
      <c r="C474">
        <v>1</v>
      </c>
      <c r="D474">
        <v>33</v>
      </c>
      <c r="E474">
        <v>0</v>
      </c>
      <c r="F474">
        <v>1555</v>
      </c>
      <c r="G474">
        <v>57</v>
      </c>
      <c r="H474">
        <v>37</v>
      </c>
      <c r="I474">
        <v>32</v>
      </c>
      <c r="J474">
        <v>3</v>
      </c>
      <c r="K474">
        <v>1</v>
      </c>
      <c r="L474">
        <v>2</v>
      </c>
      <c r="M474">
        <v>30</v>
      </c>
      <c r="N474">
        <v>212.48</v>
      </c>
      <c r="O474">
        <v>1</v>
      </c>
      <c r="P4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74" t="str">
        <f>IF(Table1[[#This Row],[Fraud_Score]]&gt;=6, "High Risk",IF(Table1[[#This Row],[Fraud_Score]]&gt;=3, "Medium Risk", "Low Risk"))</f>
        <v>Medium Risk</v>
      </c>
      <c r="R474">
        <f>IF(Table1[[#This Row],[Seconds of Use]]=0,0,Table1[[#This Row],[Customer Value]]/Table1[[#This Row],[Seconds of Use]]*100)</f>
        <v>13.664308681672024</v>
      </c>
    </row>
    <row r="475" spans="1:18" x14ac:dyDescent="0.35">
      <c r="A475" s="3" t="s">
        <v>496</v>
      </c>
      <c r="B475">
        <v>25</v>
      </c>
      <c r="C475">
        <v>0</v>
      </c>
      <c r="D475">
        <v>36</v>
      </c>
      <c r="E475">
        <v>10</v>
      </c>
      <c r="F475">
        <v>11035</v>
      </c>
      <c r="G475">
        <v>103</v>
      </c>
      <c r="H475">
        <v>22</v>
      </c>
      <c r="I475">
        <v>57</v>
      </c>
      <c r="J475">
        <v>5</v>
      </c>
      <c r="K475">
        <v>2</v>
      </c>
      <c r="L475">
        <v>1</v>
      </c>
      <c r="M475">
        <v>55</v>
      </c>
      <c r="N475">
        <v>200.07</v>
      </c>
      <c r="O475">
        <v>0</v>
      </c>
      <c r="P4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75" t="str">
        <f>IF(Table1[[#This Row],[Fraud_Score]]&gt;=6, "High Risk",IF(Table1[[#This Row],[Fraud_Score]]&gt;=3, "Medium Risk", "Low Risk"))</f>
        <v>Medium Risk</v>
      </c>
      <c r="R475">
        <f>IF(Table1[[#This Row],[Seconds of Use]]=0,0,Table1[[#This Row],[Customer Value]]/Table1[[#This Row],[Seconds of Use]]*100)</f>
        <v>1.813049388309923</v>
      </c>
    </row>
    <row r="476" spans="1:18" x14ac:dyDescent="0.35">
      <c r="A476" s="3" t="s">
        <v>497</v>
      </c>
      <c r="B476">
        <v>17</v>
      </c>
      <c r="C476">
        <v>0</v>
      </c>
      <c r="D476">
        <v>36</v>
      </c>
      <c r="E476">
        <v>3</v>
      </c>
      <c r="F476">
        <v>6418</v>
      </c>
      <c r="G476">
        <v>108</v>
      </c>
      <c r="H476">
        <v>47</v>
      </c>
      <c r="I476">
        <v>39</v>
      </c>
      <c r="J476">
        <v>2</v>
      </c>
      <c r="K476">
        <v>1</v>
      </c>
      <c r="L476">
        <v>1</v>
      </c>
      <c r="M476">
        <v>25</v>
      </c>
      <c r="N476">
        <v>505.17</v>
      </c>
      <c r="O476">
        <v>0</v>
      </c>
      <c r="P4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76" t="str">
        <f>IF(Table1[[#This Row],[Fraud_Score]]&gt;=6, "High Risk",IF(Table1[[#This Row],[Fraud_Score]]&gt;=3, "Medium Risk", "Low Risk"))</f>
        <v>Low Risk</v>
      </c>
      <c r="R476">
        <f>IF(Table1[[#This Row],[Seconds of Use]]=0,0,Table1[[#This Row],[Customer Value]]/Table1[[#This Row],[Seconds of Use]]*100)</f>
        <v>7.8711436584605803</v>
      </c>
    </row>
    <row r="477" spans="1:18" x14ac:dyDescent="0.35">
      <c r="A477" s="3" t="s">
        <v>498</v>
      </c>
      <c r="B477">
        <v>5</v>
      </c>
      <c r="C477">
        <v>0</v>
      </c>
      <c r="D477">
        <v>34</v>
      </c>
      <c r="E477">
        <v>2</v>
      </c>
      <c r="F477">
        <v>3440</v>
      </c>
      <c r="G477">
        <v>32</v>
      </c>
      <c r="H477">
        <v>21</v>
      </c>
      <c r="I477">
        <v>29</v>
      </c>
      <c r="J477">
        <v>3</v>
      </c>
      <c r="K477">
        <v>1</v>
      </c>
      <c r="L477">
        <v>1</v>
      </c>
      <c r="M477">
        <v>30</v>
      </c>
      <c r="N477">
        <v>222.88</v>
      </c>
      <c r="O477">
        <v>0</v>
      </c>
      <c r="P4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77" t="str">
        <f>IF(Table1[[#This Row],[Fraud_Score]]&gt;=6, "High Risk",IF(Table1[[#This Row],[Fraud_Score]]&gt;=3, "Medium Risk", "Low Risk"))</f>
        <v>Low Risk</v>
      </c>
      <c r="R477">
        <f>IF(Table1[[#This Row],[Seconds of Use]]=0,0,Table1[[#This Row],[Customer Value]]/Table1[[#This Row],[Seconds of Use]]*100)</f>
        <v>6.4790697674418603</v>
      </c>
    </row>
    <row r="478" spans="1:18" x14ac:dyDescent="0.35">
      <c r="A478" s="3" t="s">
        <v>499</v>
      </c>
      <c r="B478">
        <v>13</v>
      </c>
      <c r="C478">
        <v>1</v>
      </c>
      <c r="D478">
        <v>35</v>
      </c>
      <c r="E478">
        <v>0</v>
      </c>
      <c r="F478">
        <v>3590</v>
      </c>
      <c r="G478">
        <v>51</v>
      </c>
      <c r="H478">
        <v>30</v>
      </c>
      <c r="I478">
        <v>31</v>
      </c>
      <c r="J478">
        <v>3</v>
      </c>
      <c r="K478">
        <v>1</v>
      </c>
      <c r="L478">
        <v>2</v>
      </c>
      <c r="M478">
        <v>30</v>
      </c>
      <c r="N478">
        <v>265.64</v>
      </c>
      <c r="O478">
        <v>1</v>
      </c>
      <c r="P4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78" t="str">
        <f>IF(Table1[[#This Row],[Fraud_Score]]&gt;=6, "High Risk",IF(Table1[[#This Row],[Fraud_Score]]&gt;=3, "Medium Risk", "Low Risk"))</f>
        <v>Medium Risk</v>
      </c>
      <c r="R478">
        <f>IF(Table1[[#This Row],[Seconds of Use]]=0,0,Table1[[#This Row],[Customer Value]]/Table1[[#This Row],[Seconds of Use]]*100)</f>
        <v>7.3994428969359332</v>
      </c>
    </row>
    <row r="479" spans="1:18" x14ac:dyDescent="0.35">
      <c r="A479" s="3" t="s">
        <v>500</v>
      </c>
      <c r="B479">
        <v>13</v>
      </c>
      <c r="C479">
        <v>1</v>
      </c>
      <c r="D479">
        <v>36</v>
      </c>
      <c r="E479">
        <v>0</v>
      </c>
      <c r="F479">
        <v>2868</v>
      </c>
      <c r="G479">
        <v>54</v>
      </c>
      <c r="H479">
        <v>55</v>
      </c>
      <c r="I479">
        <v>46</v>
      </c>
      <c r="J479">
        <v>3</v>
      </c>
      <c r="K479">
        <v>1</v>
      </c>
      <c r="L479">
        <v>2</v>
      </c>
      <c r="M479">
        <v>30</v>
      </c>
      <c r="N479">
        <v>336.88</v>
      </c>
      <c r="O479">
        <v>1</v>
      </c>
      <c r="P4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79" t="str">
        <f>IF(Table1[[#This Row],[Fraud_Score]]&gt;=6, "High Risk",IF(Table1[[#This Row],[Fraud_Score]]&gt;=3, "Medium Risk", "Low Risk"))</f>
        <v>Medium Risk</v>
      </c>
      <c r="R479">
        <f>IF(Table1[[#This Row],[Seconds of Use]]=0,0,Table1[[#This Row],[Customer Value]]/Table1[[#This Row],[Seconds of Use]]*100)</f>
        <v>11.746164574616458</v>
      </c>
    </row>
    <row r="480" spans="1:18" x14ac:dyDescent="0.35">
      <c r="A480" s="3" t="s">
        <v>501</v>
      </c>
      <c r="B480">
        <v>4</v>
      </c>
      <c r="C480">
        <v>0</v>
      </c>
      <c r="D480">
        <v>36</v>
      </c>
      <c r="E480">
        <v>0</v>
      </c>
      <c r="F480">
        <v>733</v>
      </c>
      <c r="G480">
        <v>12</v>
      </c>
      <c r="H480">
        <v>21</v>
      </c>
      <c r="I480">
        <v>17</v>
      </c>
      <c r="J480">
        <v>3</v>
      </c>
      <c r="K480">
        <v>1</v>
      </c>
      <c r="L480">
        <v>2</v>
      </c>
      <c r="M480">
        <v>30</v>
      </c>
      <c r="N480">
        <v>113.8</v>
      </c>
      <c r="O480">
        <v>1</v>
      </c>
      <c r="P4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80" t="str">
        <f>IF(Table1[[#This Row],[Fraud_Score]]&gt;=6, "High Risk",IF(Table1[[#This Row],[Fraud_Score]]&gt;=3, "Medium Risk", "Low Risk"))</f>
        <v>Low Risk</v>
      </c>
      <c r="R480">
        <f>IF(Table1[[#This Row],[Seconds of Use]]=0,0,Table1[[#This Row],[Customer Value]]/Table1[[#This Row],[Seconds of Use]]*100)</f>
        <v>15.525238744884037</v>
      </c>
    </row>
    <row r="481" spans="1:18" x14ac:dyDescent="0.35">
      <c r="A481" s="3" t="s">
        <v>502</v>
      </c>
      <c r="B481">
        <v>5</v>
      </c>
      <c r="C481">
        <v>0</v>
      </c>
      <c r="D481">
        <v>36</v>
      </c>
      <c r="E481">
        <v>2</v>
      </c>
      <c r="F481">
        <v>2268</v>
      </c>
      <c r="G481">
        <v>35</v>
      </c>
      <c r="H481">
        <v>21</v>
      </c>
      <c r="I481">
        <v>21</v>
      </c>
      <c r="J481">
        <v>4</v>
      </c>
      <c r="K481">
        <v>1</v>
      </c>
      <c r="L481">
        <v>1</v>
      </c>
      <c r="M481">
        <v>45</v>
      </c>
      <c r="N481">
        <v>110.075</v>
      </c>
      <c r="O481">
        <v>0</v>
      </c>
      <c r="P4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81" t="str">
        <f>IF(Table1[[#This Row],[Fraud_Score]]&gt;=6, "High Risk",IF(Table1[[#This Row],[Fraud_Score]]&gt;=3, "Medium Risk", "Low Risk"))</f>
        <v>Low Risk</v>
      </c>
      <c r="R481">
        <f>IF(Table1[[#This Row],[Seconds of Use]]=0,0,Table1[[#This Row],[Customer Value]]/Table1[[#This Row],[Seconds of Use]]*100)</f>
        <v>4.8533950617283956</v>
      </c>
    </row>
    <row r="482" spans="1:18" x14ac:dyDescent="0.35">
      <c r="A482" s="3" t="s">
        <v>503</v>
      </c>
      <c r="B482">
        <v>7</v>
      </c>
      <c r="C482">
        <v>0</v>
      </c>
      <c r="D482">
        <v>33</v>
      </c>
      <c r="E482">
        <v>3</v>
      </c>
      <c r="F482">
        <v>7385</v>
      </c>
      <c r="G482">
        <v>107</v>
      </c>
      <c r="H482">
        <v>35</v>
      </c>
      <c r="I482">
        <v>37</v>
      </c>
      <c r="J482">
        <v>5</v>
      </c>
      <c r="K482">
        <v>1</v>
      </c>
      <c r="L482">
        <v>1</v>
      </c>
      <c r="M482">
        <v>55</v>
      </c>
      <c r="N482">
        <v>164.88</v>
      </c>
      <c r="O482">
        <v>0</v>
      </c>
      <c r="P4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82" t="str">
        <f>IF(Table1[[#This Row],[Fraud_Score]]&gt;=6, "High Risk",IF(Table1[[#This Row],[Fraud_Score]]&gt;=3, "Medium Risk", "Low Risk"))</f>
        <v>Low Risk</v>
      </c>
      <c r="R482">
        <f>IF(Table1[[#This Row],[Seconds of Use]]=0,0,Table1[[#This Row],[Customer Value]]/Table1[[#This Row],[Seconds of Use]]*100)</f>
        <v>2.2326337169939063</v>
      </c>
    </row>
    <row r="483" spans="1:18" x14ac:dyDescent="0.35">
      <c r="A483" s="3" t="s">
        <v>504</v>
      </c>
      <c r="B483">
        <v>4</v>
      </c>
      <c r="C483">
        <v>0</v>
      </c>
      <c r="D483">
        <v>36</v>
      </c>
      <c r="E483">
        <v>0</v>
      </c>
      <c r="F483">
        <v>1228</v>
      </c>
      <c r="G483">
        <v>17</v>
      </c>
      <c r="H483">
        <v>30</v>
      </c>
      <c r="I483">
        <v>19</v>
      </c>
      <c r="J483">
        <v>4</v>
      </c>
      <c r="K483">
        <v>1</v>
      </c>
      <c r="L483">
        <v>2</v>
      </c>
      <c r="M483">
        <v>45</v>
      </c>
      <c r="N483">
        <v>106.125</v>
      </c>
      <c r="O483">
        <v>1</v>
      </c>
      <c r="P4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83" t="str">
        <f>IF(Table1[[#This Row],[Fraud_Score]]&gt;=6, "High Risk",IF(Table1[[#This Row],[Fraud_Score]]&gt;=3, "Medium Risk", "Low Risk"))</f>
        <v>Low Risk</v>
      </c>
      <c r="R483">
        <f>IF(Table1[[#This Row],[Seconds of Use]]=0,0,Table1[[#This Row],[Customer Value]]/Table1[[#This Row],[Seconds of Use]]*100)</f>
        <v>8.6421009771986963</v>
      </c>
    </row>
    <row r="484" spans="1:18" x14ac:dyDescent="0.35">
      <c r="A484" s="3" t="s">
        <v>505</v>
      </c>
      <c r="B484">
        <v>4</v>
      </c>
      <c r="C484">
        <v>0</v>
      </c>
      <c r="D484">
        <v>36</v>
      </c>
      <c r="E484">
        <v>3</v>
      </c>
      <c r="F484">
        <v>938</v>
      </c>
      <c r="G484">
        <v>14</v>
      </c>
      <c r="H484">
        <v>25</v>
      </c>
      <c r="I484">
        <v>17</v>
      </c>
      <c r="J484">
        <v>5</v>
      </c>
      <c r="K484">
        <v>1</v>
      </c>
      <c r="L484">
        <v>1</v>
      </c>
      <c r="M484">
        <v>55</v>
      </c>
      <c r="N484">
        <v>51.78</v>
      </c>
      <c r="O484">
        <v>0</v>
      </c>
      <c r="P4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84" t="str">
        <f>IF(Table1[[#This Row],[Fraud_Score]]&gt;=6, "High Risk",IF(Table1[[#This Row],[Fraud_Score]]&gt;=3, "Medium Risk", "Low Risk"))</f>
        <v>Low Risk</v>
      </c>
      <c r="R484">
        <f>IF(Table1[[#This Row],[Seconds of Use]]=0,0,Table1[[#This Row],[Customer Value]]/Table1[[#This Row],[Seconds of Use]]*100)</f>
        <v>5.5202558635394459</v>
      </c>
    </row>
    <row r="485" spans="1:18" x14ac:dyDescent="0.35">
      <c r="A485" s="3" t="s">
        <v>506</v>
      </c>
      <c r="B485">
        <v>29</v>
      </c>
      <c r="C485">
        <v>0</v>
      </c>
      <c r="D485">
        <v>31</v>
      </c>
      <c r="E485">
        <v>5</v>
      </c>
      <c r="F485">
        <v>16675</v>
      </c>
      <c r="G485">
        <v>248</v>
      </c>
      <c r="H485">
        <v>21</v>
      </c>
      <c r="I485">
        <v>95</v>
      </c>
      <c r="J485">
        <v>2</v>
      </c>
      <c r="K485">
        <v>1</v>
      </c>
      <c r="L485">
        <v>1</v>
      </c>
      <c r="M485">
        <v>25</v>
      </c>
      <c r="N485">
        <v>856.03499999999997</v>
      </c>
      <c r="O485">
        <v>0</v>
      </c>
      <c r="P4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85" t="str">
        <f>IF(Table1[[#This Row],[Fraud_Score]]&gt;=6, "High Risk",IF(Table1[[#This Row],[Fraud_Score]]&gt;=3, "Medium Risk", "Low Risk"))</f>
        <v>Medium Risk</v>
      </c>
      <c r="R485">
        <f>IF(Table1[[#This Row],[Seconds of Use]]=0,0,Table1[[#This Row],[Customer Value]]/Table1[[#This Row],[Seconds of Use]]*100)</f>
        <v>5.1336431784107948</v>
      </c>
    </row>
    <row r="486" spans="1:18" x14ac:dyDescent="0.35">
      <c r="A486" s="3" t="s">
        <v>507</v>
      </c>
      <c r="B486">
        <v>10</v>
      </c>
      <c r="C486">
        <v>0</v>
      </c>
      <c r="D486">
        <v>34</v>
      </c>
      <c r="E486">
        <v>5</v>
      </c>
      <c r="F486">
        <v>7565</v>
      </c>
      <c r="G486">
        <v>126</v>
      </c>
      <c r="H486">
        <v>292</v>
      </c>
      <c r="I486">
        <v>48</v>
      </c>
      <c r="J486">
        <v>2</v>
      </c>
      <c r="K486">
        <v>2</v>
      </c>
      <c r="L486">
        <v>1</v>
      </c>
      <c r="M486">
        <v>25</v>
      </c>
      <c r="N486">
        <v>1660.095</v>
      </c>
      <c r="O486">
        <v>0</v>
      </c>
      <c r="P4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86" t="str">
        <f>IF(Table1[[#This Row],[Fraud_Score]]&gt;=6, "High Risk",IF(Table1[[#This Row],[Fraud_Score]]&gt;=3, "Medium Risk", "Low Risk"))</f>
        <v>Low Risk</v>
      </c>
      <c r="R486">
        <f>IF(Table1[[#This Row],[Seconds of Use]]=0,0,Table1[[#This Row],[Customer Value]]/Table1[[#This Row],[Seconds of Use]]*100)</f>
        <v>21.944415069398545</v>
      </c>
    </row>
    <row r="487" spans="1:18" x14ac:dyDescent="0.35">
      <c r="A487" s="3" t="s">
        <v>508</v>
      </c>
      <c r="B487">
        <v>6</v>
      </c>
      <c r="C487">
        <v>0</v>
      </c>
      <c r="D487">
        <v>36</v>
      </c>
      <c r="E487">
        <v>2</v>
      </c>
      <c r="F487">
        <v>4318</v>
      </c>
      <c r="G487">
        <v>92</v>
      </c>
      <c r="H487">
        <v>23</v>
      </c>
      <c r="I487">
        <v>43</v>
      </c>
      <c r="J487">
        <v>3</v>
      </c>
      <c r="K487">
        <v>1</v>
      </c>
      <c r="L487">
        <v>1</v>
      </c>
      <c r="M487">
        <v>30</v>
      </c>
      <c r="N487">
        <v>268.39999999999998</v>
      </c>
      <c r="O487">
        <v>0</v>
      </c>
      <c r="P4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87" t="str">
        <f>IF(Table1[[#This Row],[Fraud_Score]]&gt;=6, "High Risk",IF(Table1[[#This Row],[Fraud_Score]]&gt;=3, "Medium Risk", "Low Risk"))</f>
        <v>Low Risk</v>
      </c>
      <c r="R487">
        <f>IF(Table1[[#This Row],[Seconds of Use]]=0,0,Table1[[#This Row],[Customer Value]]/Table1[[#This Row],[Seconds of Use]]*100)</f>
        <v>6.2158406669754509</v>
      </c>
    </row>
    <row r="488" spans="1:18" x14ac:dyDescent="0.35">
      <c r="A488" s="3" t="s">
        <v>509</v>
      </c>
      <c r="B488">
        <v>7</v>
      </c>
      <c r="C488">
        <v>1</v>
      </c>
      <c r="D488">
        <v>35</v>
      </c>
      <c r="E488">
        <v>0</v>
      </c>
      <c r="F488">
        <v>2265</v>
      </c>
      <c r="G488">
        <v>54</v>
      </c>
      <c r="H488">
        <v>59</v>
      </c>
      <c r="I488">
        <v>35</v>
      </c>
      <c r="J488">
        <v>3</v>
      </c>
      <c r="K488">
        <v>1</v>
      </c>
      <c r="L488">
        <v>2</v>
      </c>
      <c r="M488">
        <v>30</v>
      </c>
      <c r="N488">
        <v>328.76</v>
      </c>
      <c r="O488">
        <v>1</v>
      </c>
      <c r="P4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88" t="str">
        <f>IF(Table1[[#This Row],[Fraud_Score]]&gt;=6, "High Risk",IF(Table1[[#This Row],[Fraud_Score]]&gt;=3, "Medium Risk", "Low Risk"))</f>
        <v>Medium Risk</v>
      </c>
      <c r="R488">
        <f>IF(Table1[[#This Row],[Seconds of Use]]=0,0,Table1[[#This Row],[Customer Value]]/Table1[[#This Row],[Seconds of Use]]*100)</f>
        <v>14.514790286975717</v>
      </c>
    </row>
    <row r="489" spans="1:18" x14ac:dyDescent="0.35">
      <c r="A489" s="3" t="s">
        <v>510</v>
      </c>
      <c r="B489">
        <v>10</v>
      </c>
      <c r="C489">
        <v>0</v>
      </c>
      <c r="D489">
        <v>36</v>
      </c>
      <c r="E489">
        <v>2</v>
      </c>
      <c r="F489">
        <v>3380</v>
      </c>
      <c r="G489">
        <v>63</v>
      </c>
      <c r="H489">
        <v>196</v>
      </c>
      <c r="I489">
        <v>38</v>
      </c>
      <c r="J489">
        <v>2</v>
      </c>
      <c r="K489">
        <v>1</v>
      </c>
      <c r="L489">
        <v>1</v>
      </c>
      <c r="M489">
        <v>25</v>
      </c>
      <c r="N489">
        <v>1036.9349999999999</v>
      </c>
      <c r="O489">
        <v>0</v>
      </c>
      <c r="P4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89" t="str">
        <f>IF(Table1[[#This Row],[Fraud_Score]]&gt;=6, "High Risk",IF(Table1[[#This Row],[Fraud_Score]]&gt;=3, "Medium Risk", "Low Risk"))</f>
        <v>Low Risk</v>
      </c>
      <c r="R489">
        <f>IF(Table1[[#This Row],[Seconds of Use]]=0,0,Table1[[#This Row],[Customer Value]]/Table1[[#This Row],[Seconds of Use]]*100)</f>
        <v>30.678550295857988</v>
      </c>
    </row>
    <row r="490" spans="1:18" x14ac:dyDescent="0.35">
      <c r="A490" s="3" t="s">
        <v>511</v>
      </c>
      <c r="B490">
        <v>8</v>
      </c>
      <c r="C490">
        <v>0</v>
      </c>
      <c r="D490">
        <v>27</v>
      </c>
      <c r="E490">
        <v>3</v>
      </c>
      <c r="F490">
        <v>1915</v>
      </c>
      <c r="G490">
        <v>46</v>
      </c>
      <c r="H490">
        <v>214</v>
      </c>
      <c r="I490">
        <v>26</v>
      </c>
      <c r="J490">
        <v>2</v>
      </c>
      <c r="K490">
        <v>2</v>
      </c>
      <c r="L490">
        <v>1</v>
      </c>
      <c r="M490">
        <v>25</v>
      </c>
      <c r="N490">
        <v>1051.2449999999999</v>
      </c>
      <c r="O490">
        <v>0</v>
      </c>
      <c r="P4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90" t="str">
        <f>IF(Table1[[#This Row],[Fraud_Score]]&gt;=6, "High Risk",IF(Table1[[#This Row],[Fraud_Score]]&gt;=3, "Medium Risk", "Low Risk"))</f>
        <v>Low Risk</v>
      </c>
      <c r="R490">
        <f>IF(Table1[[#This Row],[Seconds of Use]]=0,0,Table1[[#This Row],[Customer Value]]/Table1[[#This Row],[Seconds of Use]]*100)</f>
        <v>54.895300261096601</v>
      </c>
    </row>
    <row r="491" spans="1:18" x14ac:dyDescent="0.35">
      <c r="A491" s="3" t="s">
        <v>512</v>
      </c>
      <c r="B491">
        <v>8</v>
      </c>
      <c r="C491">
        <v>0</v>
      </c>
      <c r="D491">
        <v>26</v>
      </c>
      <c r="E491">
        <v>2</v>
      </c>
      <c r="F491">
        <v>2168</v>
      </c>
      <c r="G491">
        <v>49</v>
      </c>
      <c r="H491">
        <v>51</v>
      </c>
      <c r="I491">
        <v>83</v>
      </c>
      <c r="J491">
        <v>4</v>
      </c>
      <c r="K491">
        <v>1</v>
      </c>
      <c r="L491">
        <v>1</v>
      </c>
      <c r="M491">
        <v>45</v>
      </c>
      <c r="N491">
        <v>182.92500000000001</v>
      </c>
      <c r="O491">
        <v>0</v>
      </c>
      <c r="P4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91" t="str">
        <f>IF(Table1[[#This Row],[Fraud_Score]]&gt;=6, "High Risk",IF(Table1[[#This Row],[Fraud_Score]]&gt;=3, "Medium Risk", "Low Risk"))</f>
        <v>Low Risk</v>
      </c>
      <c r="R491">
        <f>IF(Table1[[#This Row],[Seconds of Use]]=0,0,Table1[[#This Row],[Customer Value]]/Table1[[#This Row],[Seconds of Use]]*100)</f>
        <v>8.4375</v>
      </c>
    </row>
    <row r="492" spans="1:18" x14ac:dyDescent="0.35">
      <c r="A492" s="3" t="s">
        <v>513</v>
      </c>
      <c r="B492">
        <v>15</v>
      </c>
      <c r="C492">
        <v>0</v>
      </c>
      <c r="D492">
        <v>27</v>
      </c>
      <c r="E492">
        <v>0</v>
      </c>
      <c r="F492">
        <v>1300</v>
      </c>
      <c r="G492">
        <v>35</v>
      </c>
      <c r="H492">
        <v>31</v>
      </c>
      <c r="I492">
        <v>22</v>
      </c>
      <c r="J492">
        <v>3</v>
      </c>
      <c r="K492">
        <v>1</v>
      </c>
      <c r="L492">
        <v>2</v>
      </c>
      <c r="M492">
        <v>30</v>
      </c>
      <c r="N492">
        <v>177.4</v>
      </c>
      <c r="O492">
        <v>0</v>
      </c>
      <c r="P4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492" t="str">
        <f>IF(Table1[[#This Row],[Fraud_Score]]&gt;=6, "High Risk",IF(Table1[[#This Row],[Fraud_Score]]&gt;=3, "Medium Risk", "Low Risk"))</f>
        <v>Medium Risk</v>
      </c>
      <c r="R492">
        <f>IF(Table1[[#This Row],[Seconds of Use]]=0,0,Table1[[#This Row],[Customer Value]]/Table1[[#This Row],[Seconds of Use]]*100)</f>
        <v>13.646153846153847</v>
      </c>
    </row>
    <row r="493" spans="1:18" x14ac:dyDescent="0.35">
      <c r="A493" s="3" t="s">
        <v>514</v>
      </c>
      <c r="B493">
        <v>4</v>
      </c>
      <c r="C493">
        <v>0</v>
      </c>
      <c r="D493">
        <v>26</v>
      </c>
      <c r="E493">
        <v>0</v>
      </c>
      <c r="F493">
        <v>1425</v>
      </c>
      <c r="G493">
        <v>20</v>
      </c>
      <c r="H493">
        <v>42</v>
      </c>
      <c r="I493">
        <v>18</v>
      </c>
      <c r="J493">
        <v>4</v>
      </c>
      <c r="K493">
        <v>1</v>
      </c>
      <c r="L493">
        <v>2</v>
      </c>
      <c r="M493">
        <v>45</v>
      </c>
      <c r="N493">
        <v>141.125</v>
      </c>
      <c r="O493">
        <v>0</v>
      </c>
      <c r="P4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493" t="str">
        <f>IF(Table1[[#This Row],[Fraud_Score]]&gt;=6, "High Risk",IF(Table1[[#This Row],[Fraud_Score]]&gt;=3, "Medium Risk", "Low Risk"))</f>
        <v>Low Risk</v>
      </c>
      <c r="R493">
        <f>IF(Table1[[#This Row],[Seconds of Use]]=0,0,Table1[[#This Row],[Customer Value]]/Table1[[#This Row],[Seconds of Use]]*100)</f>
        <v>9.9035087719298236</v>
      </c>
    </row>
    <row r="494" spans="1:18" x14ac:dyDescent="0.35">
      <c r="A494" s="3" t="s">
        <v>515</v>
      </c>
      <c r="B494">
        <v>14</v>
      </c>
      <c r="C494">
        <v>0</v>
      </c>
      <c r="D494">
        <v>25</v>
      </c>
      <c r="E494">
        <v>2</v>
      </c>
      <c r="F494">
        <v>1825</v>
      </c>
      <c r="G494">
        <v>42</v>
      </c>
      <c r="H494">
        <v>40</v>
      </c>
      <c r="I494">
        <v>28</v>
      </c>
      <c r="J494">
        <v>2</v>
      </c>
      <c r="K494">
        <v>1</v>
      </c>
      <c r="L494">
        <v>1</v>
      </c>
      <c r="M494">
        <v>25</v>
      </c>
      <c r="N494">
        <v>264.01499999999999</v>
      </c>
      <c r="O494">
        <v>0</v>
      </c>
      <c r="P4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94" t="str">
        <f>IF(Table1[[#This Row],[Fraud_Score]]&gt;=6, "High Risk",IF(Table1[[#This Row],[Fraud_Score]]&gt;=3, "Medium Risk", "Low Risk"))</f>
        <v>Low Risk</v>
      </c>
      <c r="R494">
        <f>IF(Table1[[#This Row],[Seconds of Use]]=0,0,Table1[[#This Row],[Customer Value]]/Table1[[#This Row],[Seconds of Use]]*100)</f>
        <v>14.466575342465754</v>
      </c>
    </row>
    <row r="495" spans="1:18" x14ac:dyDescent="0.35">
      <c r="A495" s="3" t="s">
        <v>516</v>
      </c>
      <c r="B495">
        <v>6</v>
      </c>
      <c r="C495">
        <v>0</v>
      </c>
      <c r="D495">
        <v>25</v>
      </c>
      <c r="E495">
        <v>2</v>
      </c>
      <c r="F495">
        <v>3825</v>
      </c>
      <c r="G495">
        <v>71</v>
      </c>
      <c r="H495">
        <v>29</v>
      </c>
      <c r="I495">
        <v>38</v>
      </c>
      <c r="J495">
        <v>3</v>
      </c>
      <c r="K495">
        <v>1</v>
      </c>
      <c r="L495">
        <v>1</v>
      </c>
      <c r="M495">
        <v>30</v>
      </c>
      <c r="N495">
        <v>271.83999999999997</v>
      </c>
      <c r="O495">
        <v>0</v>
      </c>
      <c r="P4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95" t="str">
        <f>IF(Table1[[#This Row],[Fraud_Score]]&gt;=6, "High Risk",IF(Table1[[#This Row],[Fraud_Score]]&gt;=3, "Medium Risk", "Low Risk"))</f>
        <v>Low Risk</v>
      </c>
      <c r="R495">
        <f>IF(Table1[[#This Row],[Seconds of Use]]=0,0,Table1[[#This Row],[Customer Value]]/Table1[[#This Row],[Seconds of Use]]*100)</f>
        <v>7.1069281045751627</v>
      </c>
    </row>
    <row r="496" spans="1:18" x14ac:dyDescent="0.35">
      <c r="A496" s="3" t="s">
        <v>517</v>
      </c>
      <c r="B496">
        <v>6</v>
      </c>
      <c r="C496">
        <v>0</v>
      </c>
      <c r="D496">
        <v>18</v>
      </c>
      <c r="E496">
        <v>2</v>
      </c>
      <c r="F496">
        <v>2295</v>
      </c>
      <c r="G496">
        <v>36</v>
      </c>
      <c r="H496">
        <v>49</v>
      </c>
      <c r="I496">
        <v>29</v>
      </c>
      <c r="J496">
        <v>2</v>
      </c>
      <c r="K496">
        <v>1</v>
      </c>
      <c r="L496">
        <v>1</v>
      </c>
      <c r="M496">
        <v>25</v>
      </c>
      <c r="N496">
        <v>325.39499999999998</v>
      </c>
      <c r="O496">
        <v>0</v>
      </c>
      <c r="P4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496" t="str">
        <f>IF(Table1[[#This Row],[Fraud_Score]]&gt;=6, "High Risk",IF(Table1[[#This Row],[Fraud_Score]]&gt;=3, "Medium Risk", "Low Risk"))</f>
        <v>Low Risk</v>
      </c>
      <c r="R496">
        <f>IF(Table1[[#This Row],[Seconds of Use]]=0,0,Table1[[#This Row],[Customer Value]]/Table1[[#This Row],[Seconds of Use]]*100)</f>
        <v>14.178431372549019</v>
      </c>
    </row>
    <row r="497" spans="1:18" x14ac:dyDescent="0.35">
      <c r="A497" s="3" t="s">
        <v>518</v>
      </c>
      <c r="B497">
        <v>20</v>
      </c>
      <c r="C497">
        <v>0</v>
      </c>
      <c r="D497">
        <v>17</v>
      </c>
      <c r="E497">
        <v>3</v>
      </c>
      <c r="F497">
        <v>6993</v>
      </c>
      <c r="G497">
        <v>151</v>
      </c>
      <c r="H497">
        <v>106</v>
      </c>
      <c r="I497">
        <v>57</v>
      </c>
      <c r="J497">
        <v>2</v>
      </c>
      <c r="K497">
        <v>2</v>
      </c>
      <c r="L497">
        <v>1</v>
      </c>
      <c r="M497">
        <v>25</v>
      </c>
      <c r="N497">
        <v>798.48</v>
      </c>
      <c r="O497">
        <v>0</v>
      </c>
      <c r="P4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97" t="str">
        <f>IF(Table1[[#This Row],[Fraud_Score]]&gt;=6, "High Risk",IF(Table1[[#This Row],[Fraud_Score]]&gt;=3, "Medium Risk", "Low Risk"))</f>
        <v>Medium Risk</v>
      </c>
      <c r="R497">
        <f>IF(Table1[[#This Row],[Seconds of Use]]=0,0,Table1[[#This Row],[Customer Value]]/Table1[[#This Row],[Seconds of Use]]*100)</f>
        <v>11.418275418275419</v>
      </c>
    </row>
    <row r="498" spans="1:18" x14ac:dyDescent="0.35">
      <c r="A498" s="3" t="s">
        <v>519</v>
      </c>
      <c r="B498">
        <v>16</v>
      </c>
      <c r="C498">
        <v>0</v>
      </c>
      <c r="D498">
        <v>15</v>
      </c>
      <c r="E498">
        <v>2</v>
      </c>
      <c r="F498">
        <v>9533</v>
      </c>
      <c r="G498">
        <v>181</v>
      </c>
      <c r="H498">
        <v>94</v>
      </c>
      <c r="I498">
        <v>55</v>
      </c>
      <c r="J498">
        <v>5</v>
      </c>
      <c r="K498">
        <v>1</v>
      </c>
      <c r="L498">
        <v>1</v>
      </c>
      <c r="M498">
        <v>55</v>
      </c>
      <c r="N498">
        <v>286.70999999999998</v>
      </c>
      <c r="O498">
        <v>0</v>
      </c>
      <c r="P4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498" t="str">
        <f>IF(Table1[[#This Row],[Fraud_Score]]&gt;=6, "High Risk",IF(Table1[[#This Row],[Fraud_Score]]&gt;=3, "Medium Risk", "Low Risk"))</f>
        <v>Medium Risk</v>
      </c>
      <c r="R498">
        <f>IF(Table1[[#This Row],[Seconds of Use]]=0,0,Table1[[#This Row],[Customer Value]]/Table1[[#This Row],[Seconds of Use]]*100)</f>
        <v>3.0075527116332736</v>
      </c>
    </row>
    <row r="499" spans="1:18" x14ac:dyDescent="0.35">
      <c r="A499" s="3" t="s">
        <v>520</v>
      </c>
      <c r="B499">
        <v>12</v>
      </c>
      <c r="C499">
        <v>0</v>
      </c>
      <c r="D499">
        <v>16</v>
      </c>
      <c r="E499">
        <v>5</v>
      </c>
      <c r="F499">
        <v>3453</v>
      </c>
      <c r="G499">
        <v>55</v>
      </c>
      <c r="H499">
        <v>52</v>
      </c>
      <c r="I499">
        <v>34</v>
      </c>
      <c r="J499">
        <v>3</v>
      </c>
      <c r="K499">
        <v>1</v>
      </c>
      <c r="L499">
        <v>1</v>
      </c>
      <c r="M499">
        <v>30</v>
      </c>
      <c r="N499">
        <v>348.32</v>
      </c>
      <c r="O499">
        <v>0</v>
      </c>
      <c r="P4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499" t="str">
        <f>IF(Table1[[#This Row],[Fraud_Score]]&gt;=6, "High Risk",IF(Table1[[#This Row],[Fraud_Score]]&gt;=3, "Medium Risk", "Low Risk"))</f>
        <v>Low Risk</v>
      </c>
      <c r="R499">
        <f>IF(Table1[[#This Row],[Seconds of Use]]=0,0,Table1[[#This Row],[Customer Value]]/Table1[[#This Row],[Seconds of Use]]*100)</f>
        <v>10.087460179554011</v>
      </c>
    </row>
    <row r="500" spans="1:18" x14ac:dyDescent="0.35">
      <c r="A500" s="3" t="s">
        <v>521</v>
      </c>
      <c r="B500">
        <v>6</v>
      </c>
      <c r="C500">
        <v>0</v>
      </c>
      <c r="D500">
        <v>9</v>
      </c>
      <c r="E500">
        <v>3</v>
      </c>
      <c r="F500">
        <v>4990</v>
      </c>
      <c r="G500">
        <v>50</v>
      </c>
      <c r="H500">
        <v>236</v>
      </c>
      <c r="I500">
        <v>25</v>
      </c>
      <c r="J500">
        <v>3</v>
      </c>
      <c r="K500">
        <v>1</v>
      </c>
      <c r="L500">
        <v>1</v>
      </c>
      <c r="M500">
        <v>30</v>
      </c>
      <c r="N500">
        <v>1145.5999999999999</v>
      </c>
      <c r="O500">
        <v>0</v>
      </c>
      <c r="P5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00" t="str">
        <f>IF(Table1[[#This Row],[Fraud_Score]]&gt;=6, "High Risk",IF(Table1[[#This Row],[Fraud_Score]]&gt;=3, "Medium Risk", "Low Risk"))</f>
        <v>Low Risk</v>
      </c>
      <c r="R500">
        <f>IF(Table1[[#This Row],[Seconds of Use]]=0,0,Table1[[#This Row],[Customer Value]]/Table1[[#This Row],[Seconds of Use]]*100)</f>
        <v>22.957915831663325</v>
      </c>
    </row>
    <row r="501" spans="1:18" x14ac:dyDescent="0.35">
      <c r="A501" s="3" t="s">
        <v>522</v>
      </c>
      <c r="B501">
        <v>7</v>
      </c>
      <c r="C501">
        <v>1</v>
      </c>
      <c r="D501">
        <v>9</v>
      </c>
      <c r="E501">
        <v>3</v>
      </c>
      <c r="F501">
        <v>2088</v>
      </c>
      <c r="G501">
        <v>29</v>
      </c>
      <c r="H501">
        <v>21</v>
      </c>
      <c r="I501">
        <v>22</v>
      </c>
      <c r="J501">
        <v>3</v>
      </c>
      <c r="K501">
        <v>1</v>
      </c>
      <c r="L501">
        <v>1</v>
      </c>
      <c r="M501">
        <v>30</v>
      </c>
      <c r="N501">
        <v>168.68</v>
      </c>
      <c r="O501">
        <v>1</v>
      </c>
      <c r="P5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01" t="str">
        <f>IF(Table1[[#This Row],[Fraud_Score]]&gt;=6, "High Risk",IF(Table1[[#This Row],[Fraud_Score]]&gt;=3, "Medium Risk", "Low Risk"))</f>
        <v>Low Risk</v>
      </c>
      <c r="R501">
        <f>IF(Table1[[#This Row],[Seconds of Use]]=0,0,Table1[[#This Row],[Customer Value]]/Table1[[#This Row],[Seconds of Use]]*100)</f>
        <v>8.0785440613026829</v>
      </c>
    </row>
    <row r="502" spans="1:18" x14ac:dyDescent="0.35">
      <c r="A502" s="3" t="s">
        <v>523</v>
      </c>
      <c r="B502">
        <v>4</v>
      </c>
      <c r="C502">
        <v>0</v>
      </c>
      <c r="D502">
        <v>38</v>
      </c>
      <c r="E502">
        <v>0</v>
      </c>
      <c r="F502">
        <v>3770</v>
      </c>
      <c r="G502">
        <v>61</v>
      </c>
      <c r="H502">
        <v>0</v>
      </c>
      <c r="I502">
        <v>2</v>
      </c>
      <c r="J502">
        <v>2</v>
      </c>
      <c r="K502">
        <v>1</v>
      </c>
      <c r="L502">
        <v>1</v>
      </c>
      <c r="M502">
        <v>25</v>
      </c>
      <c r="N502">
        <v>172.39500000000001</v>
      </c>
      <c r="O502">
        <v>0</v>
      </c>
      <c r="P5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2" t="str">
        <f>IF(Table1[[#This Row],[Fraud_Score]]&gt;=6, "High Risk",IF(Table1[[#This Row],[Fraud_Score]]&gt;=3, "Medium Risk", "Low Risk"))</f>
        <v>Low Risk</v>
      </c>
      <c r="R502">
        <f>IF(Table1[[#This Row],[Seconds of Use]]=0,0,Table1[[#This Row],[Customer Value]]/Table1[[#This Row],[Seconds of Use]]*100)</f>
        <v>4.5728116710875337</v>
      </c>
    </row>
    <row r="503" spans="1:18" x14ac:dyDescent="0.35">
      <c r="A503" s="3" t="s">
        <v>524</v>
      </c>
      <c r="B503">
        <v>0</v>
      </c>
      <c r="C503">
        <v>0</v>
      </c>
      <c r="D503">
        <v>39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1</v>
      </c>
      <c r="L503">
        <v>2</v>
      </c>
      <c r="M503">
        <v>25</v>
      </c>
      <c r="N503">
        <v>0</v>
      </c>
      <c r="O503">
        <v>0</v>
      </c>
      <c r="P5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3" t="str">
        <f>IF(Table1[[#This Row],[Fraud_Score]]&gt;=6, "High Risk",IF(Table1[[#This Row],[Fraud_Score]]&gt;=3, "Medium Risk", "Low Risk"))</f>
        <v>Low Risk</v>
      </c>
      <c r="R503">
        <f>IF(Table1[[#This Row],[Seconds of Use]]=0,0,Table1[[#This Row],[Customer Value]]/Table1[[#This Row],[Seconds of Use]]*100)</f>
        <v>0</v>
      </c>
    </row>
    <row r="504" spans="1:18" x14ac:dyDescent="0.35">
      <c r="A504" s="3" t="s">
        <v>525</v>
      </c>
      <c r="B504">
        <v>6</v>
      </c>
      <c r="C504">
        <v>0</v>
      </c>
      <c r="D504">
        <v>37</v>
      </c>
      <c r="E504">
        <v>0</v>
      </c>
      <c r="F504">
        <v>1853</v>
      </c>
      <c r="G504">
        <v>50</v>
      </c>
      <c r="H504">
        <v>338</v>
      </c>
      <c r="I504">
        <v>9</v>
      </c>
      <c r="J504">
        <v>2</v>
      </c>
      <c r="K504">
        <v>1</v>
      </c>
      <c r="L504">
        <v>1</v>
      </c>
      <c r="M504">
        <v>25</v>
      </c>
      <c r="N504">
        <v>1606.635</v>
      </c>
      <c r="O504">
        <v>0</v>
      </c>
      <c r="P5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4" t="str">
        <f>IF(Table1[[#This Row],[Fraud_Score]]&gt;=6, "High Risk",IF(Table1[[#This Row],[Fraud_Score]]&gt;=3, "Medium Risk", "Low Risk"))</f>
        <v>Low Risk</v>
      </c>
      <c r="R504">
        <f>IF(Table1[[#This Row],[Seconds of Use]]=0,0,Table1[[#This Row],[Customer Value]]/Table1[[#This Row],[Seconds of Use]]*100)</f>
        <v>86.704533189422563</v>
      </c>
    </row>
    <row r="505" spans="1:18" x14ac:dyDescent="0.35">
      <c r="A505" s="3" t="s">
        <v>526</v>
      </c>
      <c r="B505">
        <v>6</v>
      </c>
      <c r="C505">
        <v>0</v>
      </c>
      <c r="D505">
        <v>38</v>
      </c>
      <c r="E505">
        <v>0</v>
      </c>
      <c r="F505">
        <v>3598</v>
      </c>
      <c r="G505">
        <v>56</v>
      </c>
      <c r="H505">
        <v>0</v>
      </c>
      <c r="I505">
        <v>20</v>
      </c>
      <c r="J505">
        <v>1</v>
      </c>
      <c r="K505">
        <v>1</v>
      </c>
      <c r="L505">
        <v>1</v>
      </c>
      <c r="M505">
        <v>15</v>
      </c>
      <c r="N505">
        <v>200.97</v>
      </c>
      <c r="O505">
        <v>0</v>
      </c>
      <c r="P5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5" t="str">
        <f>IF(Table1[[#This Row],[Fraud_Score]]&gt;=6, "High Risk",IF(Table1[[#This Row],[Fraud_Score]]&gt;=3, "Medium Risk", "Low Risk"))</f>
        <v>Low Risk</v>
      </c>
      <c r="R505">
        <f>IF(Table1[[#This Row],[Seconds of Use]]=0,0,Table1[[#This Row],[Customer Value]]/Table1[[#This Row],[Seconds of Use]]*100)</f>
        <v>5.5856031128404666</v>
      </c>
    </row>
    <row r="506" spans="1:18" x14ac:dyDescent="0.35">
      <c r="A506" s="3" t="s">
        <v>527</v>
      </c>
      <c r="B506">
        <v>0</v>
      </c>
      <c r="C506">
        <v>0</v>
      </c>
      <c r="D506">
        <v>38</v>
      </c>
      <c r="E506">
        <v>0</v>
      </c>
      <c r="F506">
        <v>1793</v>
      </c>
      <c r="G506">
        <v>48</v>
      </c>
      <c r="H506">
        <v>0</v>
      </c>
      <c r="I506">
        <v>18</v>
      </c>
      <c r="J506">
        <v>1</v>
      </c>
      <c r="K506">
        <v>1</v>
      </c>
      <c r="L506">
        <v>1</v>
      </c>
      <c r="M506">
        <v>15</v>
      </c>
      <c r="N506">
        <v>101.255</v>
      </c>
      <c r="O506">
        <v>0</v>
      </c>
      <c r="P5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6" t="str">
        <f>IF(Table1[[#This Row],[Fraud_Score]]&gt;=6, "High Risk",IF(Table1[[#This Row],[Fraud_Score]]&gt;=3, "Medium Risk", "Low Risk"))</f>
        <v>Low Risk</v>
      </c>
      <c r="R506">
        <f>IF(Table1[[#This Row],[Seconds of Use]]=0,0,Table1[[#This Row],[Customer Value]]/Table1[[#This Row],[Seconds of Use]]*100)</f>
        <v>5.647239263803681</v>
      </c>
    </row>
    <row r="507" spans="1:18" x14ac:dyDescent="0.35">
      <c r="A507" s="3" t="s">
        <v>528</v>
      </c>
      <c r="B507">
        <v>7</v>
      </c>
      <c r="C507">
        <v>0</v>
      </c>
      <c r="D507">
        <v>38</v>
      </c>
      <c r="E507">
        <v>0</v>
      </c>
      <c r="F507">
        <v>3175</v>
      </c>
      <c r="G507">
        <v>72</v>
      </c>
      <c r="H507">
        <v>11</v>
      </c>
      <c r="I507">
        <v>13</v>
      </c>
      <c r="J507">
        <v>3</v>
      </c>
      <c r="K507">
        <v>1</v>
      </c>
      <c r="L507">
        <v>1</v>
      </c>
      <c r="M507">
        <v>30</v>
      </c>
      <c r="N507">
        <v>173.88</v>
      </c>
      <c r="O507">
        <v>0</v>
      </c>
      <c r="P5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7" t="str">
        <f>IF(Table1[[#This Row],[Fraud_Score]]&gt;=6, "High Risk",IF(Table1[[#This Row],[Fraud_Score]]&gt;=3, "Medium Risk", "Low Risk"))</f>
        <v>Low Risk</v>
      </c>
      <c r="R507">
        <f>IF(Table1[[#This Row],[Seconds of Use]]=0,0,Table1[[#This Row],[Customer Value]]/Table1[[#This Row],[Seconds of Use]]*100)</f>
        <v>5.4765354330708655</v>
      </c>
    </row>
    <row r="508" spans="1:18" x14ac:dyDescent="0.35">
      <c r="A508" s="3" t="s">
        <v>529</v>
      </c>
      <c r="B508">
        <v>0</v>
      </c>
      <c r="C508">
        <v>0</v>
      </c>
      <c r="D508">
        <v>38</v>
      </c>
      <c r="E508">
        <v>0</v>
      </c>
      <c r="F508">
        <v>1760</v>
      </c>
      <c r="G508">
        <v>29</v>
      </c>
      <c r="H508">
        <v>264</v>
      </c>
      <c r="I508">
        <v>3</v>
      </c>
      <c r="J508">
        <v>3</v>
      </c>
      <c r="K508">
        <v>1</v>
      </c>
      <c r="L508">
        <v>1</v>
      </c>
      <c r="M508">
        <v>30</v>
      </c>
      <c r="N508">
        <v>1127.56</v>
      </c>
      <c r="O508">
        <v>0</v>
      </c>
      <c r="P5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8" t="str">
        <f>IF(Table1[[#This Row],[Fraud_Score]]&gt;=6, "High Risk",IF(Table1[[#This Row],[Fraud_Score]]&gt;=3, "Medium Risk", "Low Risk"))</f>
        <v>Low Risk</v>
      </c>
      <c r="R508">
        <f>IF(Table1[[#This Row],[Seconds of Use]]=0,0,Table1[[#This Row],[Customer Value]]/Table1[[#This Row],[Seconds of Use]]*100)</f>
        <v>64.065909090909088</v>
      </c>
    </row>
    <row r="509" spans="1:18" x14ac:dyDescent="0.35">
      <c r="A509" s="3" t="s">
        <v>530</v>
      </c>
      <c r="B509">
        <v>9</v>
      </c>
      <c r="C509">
        <v>0</v>
      </c>
      <c r="D509">
        <v>37</v>
      </c>
      <c r="E509">
        <v>0</v>
      </c>
      <c r="F509">
        <v>8515</v>
      </c>
      <c r="G509">
        <v>111</v>
      </c>
      <c r="H509">
        <v>123</v>
      </c>
      <c r="I509">
        <v>28</v>
      </c>
      <c r="J509">
        <v>3</v>
      </c>
      <c r="K509">
        <v>1</v>
      </c>
      <c r="L509">
        <v>1</v>
      </c>
      <c r="M509">
        <v>30</v>
      </c>
      <c r="N509">
        <v>837.04</v>
      </c>
      <c r="O509">
        <v>0</v>
      </c>
      <c r="P5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09" t="str">
        <f>IF(Table1[[#This Row],[Fraud_Score]]&gt;=6, "High Risk",IF(Table1[[#This Row],[Fraud_Score]]&gt;=3, "Medium Risk", "Low Risk"))</f>
        <v>Low Risk</v>
      </c>
      <c r="R509">
        <f>IF(Table1[[#This Row],[Seconds of Use]]=0,0,Table1[[#This Row],[Customer Value]]/Table1[[#This Row],[Seconds of Use]]*100)</f>
        <v>9.83018203170875</v>
      </c>
    </row>
    <row r="510" spans="1:18" x14ac:dyDescent="0.35">
      <c r="A510" s="3" t="s">
        <v>531</v>
      </c>
      <c r="B510">
        <v>3</v>
      </c>
      <c r="C510">
        <v>0</v>
      </c>
      <c r="D510">
        <v>38</v>
      </c>
      <c r="E510">
        <v>0</v>
      </c>
      <c r="F510">
        <v>13173</v>
      </c>
      <c r="G510">
        <v>159</v>
      </c>
      <c r="H510">
        <v>0</v>
      </c>
      <c r="I510">
        <v>29</v>
      </c>
      <c r="J510">
        <v>3</v>
      </c>
      <c r="K510">
        <v>1</v>
      </c>
      <c r="L510">
        <v>1</v>
      </c>
      <c r="M510">
        <v>30</v>
      </c>
      <c r="N510">
        <v>533.28</v>
      </c>
      <c r="O510">
        <v>0</v>
      </c>
      <c r="P5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10" t="str">
        <f>IF(Table1[[#This Row],[Fraud_Score]]&gt;=6, "High Risk",IF(Table1[[#This Row],[Fraud_Score]]&gt;=3, "Medium Risk", "Low Risk"))</f>
        <v>Medium Risk</v>
      </c>
      <c r="R510">
        <f>IF(Table1[[#This Row],[Seconds of Use]]=0,0,Table1[[#This Row],[Customer Value]]/Table1[[#This Row],[Seconds of Use]]*100)</f>
        <v>4.0482805739011614</v>
      </c>
    </row>
    <row r="511" spans="1:18" x14ac:dyDescent="0.35">
      <c r="A511" s="3" t="s">
        <v>532</v>
      </c>
      <c r="B511">
        <v>3</v>
      </c>
      <c r="C511">
        <v>0</v>
      </c>
      <c r="D511">
        <v>38</v>
      </c>
      <c r="E511">
        <v>0</v>
      </c>
      <c r="F511">
        <v>3915</v>
      </c>
      <c r="G511">
        <v>73</v>
      </c>
      <c r="H511">
        <v>0</v>
      </c>
      <c r="I511">
        <v>10</v>
      </c>
      <c r="J511">
        <v>3</v>
      </c>
      <c r="K511">
        <v>1</v>
      </c>
      <c r="L511">
        <v>1</v>
      </c>
      <c r="M511">
        <v>30</v>
      </c>
      <c r="N511">
        <v>159.52000000000001</v>
      </c>
      <c r="O511">
        <v>0</v>
      </c>
      <c r="P5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11" t="str">
        <f>IF(Table1[[#This Row],[Fraud_Score]]&gt;=6, "High Risk",IF(Table1[[#This Row],[Fraud_Score]]&gt;=3, "Medium Risk", "Low Risk"))</f>
        <v>Low Risk</v>
      </c>
      <c r="R511">
        <f>IF(Table1[[#This Row],[Seconds of Use]]=0,0,Table1[[#This Row],[Customer Value]]/Table1[[#This Row],[Seconds of Use]]*100)</f>
        <v>4.0745849297573438</v>
      </c>
    </row>
    <row r="512" spans="1:18" x14ac:dyDescent="0.35">
      <c r="A512" s="3" t="s">
        <v>533</v>
      </c>
      <c r="B512">
        <v>2</v>
      </c>
      <c r="C512">
        <v>0</v>
      </c>
      <c r="D512">
        <v>38</v>
      </c>
      <c r="E512">
        <v>0</v>
      </c>
      <c r="F512">
        <v>5318</v>
      </c>
      <c r="G512">
        <v>85</v>
      </c>
      <c r="H512">
        <v>0</v>
      </c>
      <c r="I512">
        <v>15</v>
      </c>
      <c r="J512">
        <v>2</v>
      </c>
      <c r="K512">
        <v>1</v>
      </c>
      <c r="L512">
        <v>1</v>
      </c>
      <c r="M512">
        <v>25</v>
      </c>
      <c r="N512">
        <v>243.13499999999999</v>
      </c>
      <c r="O512">
        <v>0</v>
      </c>
      <c r="P5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12" t="str">
        <f>IF(Table1[[#This Row],[Fraud_Score]]&gt;=6, "High Risk",IF(Table1[[#This Row],[Fraud_Score]]&gt;=3, "Medium Risk", "Low Risk"))</f>
        <v>Low Risk</v>
      </c>
      <c r="R512">
        <f>IF(Table1[[#This Row],[Seconds of Use]]=0,0,Table1[[#This Row],[Customer Value]]/Table1[[#This Row],[Seconds of Use]]*100)</f>
        <v>4.5719255359157582</v>
      </c>
    </row>
    <row r="513" spans="1:18" x14ac:dyDescent="0.35">
      <c r="A513" s="3" t="s">
        <v>534</v>
      </c>
      <c r="B513">
        <v>5</v>
      </c>
      <c r="C513">
        <v>0</v>
      </c>
      <c r="D513">
        <v>38</v>
      </c>
      <c r="E513">
        <v>0</v>
      </c>
      <c r="F513">
        <v>1638</v>
      </c>
      <c r="G513">
        <v>44</v>
      </c>
      <c r="H513">
        <v>0</v>
      </c>
      <c r="I513">
        <v>2</v>
      </c>
      <c r="J513">
        <v>3</v>
      </c>
      <c r="K513">
        <v>1</v>
      </c>
      <c r="L513">
        <v>2</v>
      </c>
      <c r="M513">
        <v>30</v>
      </c>
      <c r="N513">
        <v>67.28</v>
      </c>
      <c r="O513">
        <v>0</v>
      </c>
      <c r="P5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13" t="str">
        <f>IF(Table1[[#This Row],[Fraud_Score]]&gt;=6, "High Risk",IF(Table1[[#This Row],[Fraud_Score]]&gt;=3, "Medium Risk", "Low Risk"))</f>
        <v>Low Risk</v>
      </c>
      <c r="R513">
        <f>IF(Table1[[#This Row],[Seconds of Use]]=0,0,Table1[[#This Row],[Customer Value]]/Table1[[#This Row],[Seconds of Use]]*100)</f>
        <v>4.107448107448108</v>
      </c>
    </row>
    <row r="514" spans="1:18" x14ac:dyDescent="0.35">
      <c r="A514" s="3" t="s">
        <v>535</v>
      </c>
      <c r="B514">
        <v>21</v>
      </c>
      <c r="C514">
        <v>0</v>
      </c>
      <c r="D514">
        <v>38</v>
      </c>
      <c r="E514">
        <v>1</v>
      </c>
      <c r="F514">
        <v>14540</v>
      </c>
      <c r="G514">
        <v>215</v>
      </c>
      <c r="H514">
        <v>33</v>
      </c>
      <c r="I514">
        <v>17</v>
      </c>
      <c r="J514">
        <v>3</v>
      </c>
      <c r="K514">
        <v>1</v>
      </c>
      <c r="L514">
        <v>1</v>
      </c>
      <c r="M514">
        <v>30</v>
      </c>
      <c r="N514">
        <v>722.2</v>
      </c>
      <c r="O514">
        <v>0</v>
      </c>
      <c r="P5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514" t="str">
        <f>IF(Table1[[#This Row],[Fraud_Score]]&gt;=6, "High Risk",IF(Table1[[#This Row],[Fraud_Score]]&gt;=3, "Medium Risk", "Low Risk"))</f>
        <v>Medium Risk</v>
      </c>
      <c r="R514">
        <f>IF(Table1[[#This Row],[Seconds of Use]]=0,0,Table1[[#This Row],[Customer Value]]/Table1[[#This Row],[Seconds of Use]]*100)</f>
        <v>4.9669876203576342</v>
      </c>
    </row>
    <row r="515" spans="1:18" x14ac:dyDescent="0.35">
      <c r="A515" s="3" t="s">
        <v>536</v>
      </c>
      <c r="B515">
        <v>0</v>
      </c>
      <c r="C515">
        <v>0</v>
      </c>
      <c r="D515">
        <v>38</v>
      </c>
      <c r="E515">
        <v>0</v>
      </c>
      <c r="F515">
        <v>2495</v>
      </c>
      <c r="G515">
        <v>17</v>
      </c>
      <c r="H515">
        <v>462</v>
      </c>
      <c r="I515">
        <v>7</v>
      </c>
      <c r="J515">
        <v>3</v>
      </c>
      <c r="K515">
        <v>1</v>
      </c>
      <c r="L515">
        <v>1</v>
      </c>
      <c r="M515">
        <v>30</v>
      </c>
      <c r="N515">
        <v>1948.48</v>
      </c>
      <c r="O515">
        <v>0</v>
      </c>
      <c r="P5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15" t="str">
        <f>IF(Table1[[#This Row],[Fraud_Score]]&gt;=6, "High Risk",IF(Table1[[#This Row],[Fraud_Score]]&gt;=3, "Medium Risk", "Low Risk"))</f>
        <v>Low Risk</v>
      </c>
      <c r="R515">
        <f>IF(Table1[[#This Row],[Seconds of Use]]=0,0,Table1[[#This Row],[Customer Value]]/Table1[[#This Row],[Seconds of Use]]*100)</f>
        <v>78.095390781563125</v>
      </c>
    </row>
    <row r="516" spans="1:18" x14ac:dyDescent="0.35">
      <c r="A516" s="3" t="s">
        <v>537</v>
      </c>
      <c r="B516">
        <v>5</v>
      </c>
      <c r="C516">
        <v>0</v>
      </c>
      <c r="D516">
        <v>37</v>
      </c>
      <c r="E516">
        <v>0</v>
      </c>
      <c r="F516">
        <v>14885</v>
      </c>
      <c r="G516">
        <v>172</v>
      </c>
      <c r="H516">
        <v>129</v>
      </c>
      <c r="I516">
        <v>15</v>
      </c>
      <c r="J516">
        <v>2</v>
      </c>
      <c r="K516">
        <v>1</v>
      </c>
      <c r="L516">
        <v>1</v>
      </c>
      <c r="M516">
        <v>25</v>
      </c>
      <c r="N516">
        <v>1258.0650000000001</v>
      </c>
      <c r="O516">
        <v>0</v>
      </c>
      <c r="P5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16" t="str">
        <f>IF(Table1[[#This Row],[Fraud_Score]]&gt;=6, "High Risk",IF(Table1[[#This Row],[Fraud_Score]]&gt;=3, "Medium Risk", "Low Risk"))</f>
        <v>Medium Risk</v>
      </c>
      <c r="R516">
        <f>IF(Table1[[#This Row],[Seconds of Use]]=0,0,Table1[[#This Row],[Customer Value]]/Table1[[#This Row],[Seconds of Use]]*100)</f>
        <v>8.4518978837756134</v>
      </c>
    </row>
    <row r="517" spans="1:18" x14ac:dyDescent="0.35">
      <c r="A517" s="3" t="s">
        <v>538</v>
      </c>
      <c r="B517">
        <v>0</v>
      </c>
      <c r="C517">
        <v>0</v>
      </c>
      <c r="D517">
        <v>37</v>
      </c>
      <c r="E517">
        <v>0</v>
      </c>
      <c r="F517">
        <v>5900</v>
      </c>
      <c r="G517">
        <v>76</v>
      </c>
      <c r="H517">
        <v>165</v>
      </c>
      <c r="I517">
        <v>11</v>
      </c>
      <c r="J517">
        <v>3</v>
      </c>
      <c r="K517">
        <v>1</v>
      </c>
      <c r="L517">
        <v>1</v>
      </c>
      <c r="M517">
        <v>30</v>
      </c>
      <c r="N517">
        <v>899.04</v>
      </c>
      <c r="O517">
        <v>0</v>
      </c>
      <c r="P5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17" t="str">
        <f>IF(Table1[[#This Row],[Fraud_Score]]&gt;=6, "High Risk",IF(Table1[[#This Row],[Fraud_Score]]&gt;=3, "Medium Risk", "Low Risk"))</f>
        <v>Low Risk</v>
      </c>
      <c r="R517">
        <f>IF(Table1[[#This Row],[Seconds of Use]]=0,0,Table1[[#This Row],[Customer Value]]/Table1[[#This Row],[Seconds of Use]]*100)</f>
        <v>15.237966101694914</v>
      </c>
    </row>
    <row r="518" spans="1:18" x14ac:dyDescent="0.35">
      <c r="A518" s="3" t="s">
        <v>539</v>
      </c>
      <c r="B518">
        <v>0</v>
      </c>
      <c r="C518">
        <v>0</v>
      </c>
      <c r="D518">
        <v>37</v>
      </c>
      <c r="E518">
        <v>0</v>
      </c>
      <c r="F518">
        <v>275</v>
      </c>
      <c r="G518">
        <v>4</v>
      </c>
      <c r="H518">
        <v>0</v>
      </c>
      <c r="I518">
        <v>1</v>
      </c>
      <c r="J518">
        <v>2</v>
      </c>
      <c r="K518">
        <v>1</v>
      </c>
      <c r="L518">
        <v>2</v>
      </c>
      <c r="M518">
        <v>25</v>
      </c>
      <c r="N518">
        <v>12.555</v>
      </c>
      <c r="O518">
        <v>0</v>
      </c>
      <c r="P5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18" t="str">
        <f>IF(Table1[[#This Row],[Fraud_Score]]&gt;=6, "High Risk",IF(Table1[[#This Row],[Fraud_Score]]&gt;=3, "Medium Risk", "Low Risk"))</f>
        <v>Low Risk</v>
      </c>
      <c r="R518">
        <f>IF(Table1[[#This Row],[Seconds of Use]]=0,0,Table1[[#This Row],[Customer Value]]/Table1[[#This Row],[Seconds of Use]]*100)</f>
        <v>4.5654545454545454</v>
      </c>
    </row>
    <row r="519" spans="1:18" x14ac:dyDescent="0.35">
      <c r="A519" s="3" t="s">
        <v>540</v>
      </c>
      <c r="B519">
        <v>0</v>
      </c>
      <c r="C519">
        <v>0</v>
      </c>
      <c r="D519">
        <v>38</v>
      </c>
      <c r="E519">
        <v>0</v>
      </c>
      <c r="F519">
        <v>110</v>
      </c>
      <c r="G519">
        <v>4</v>
      </c>
      <c r="H519">
        <v>0</v>
      </c>
      <c r="I519">
        <v>1</v>
      </c>
      <c r="J519">
        <v>2</v>
      </c>
      <c r="K519">
        <v>1</v>
      </c>
      <c r="L519">
        <v>2</v>
      </c>
      <c r="M519">
        <v>25</v>
      </c>
      <c r="N519">
        <v>5.13</v>
      </c>
      <c r="O519">
        <v>0</v>
      </c>
      <c r="P5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19" t="str">
        <f>IF(Table1[[#This Row],[Fraud_Score]]&gt;=6, "High Risk",IF(Table1[[#This Row],[Fraud_Score]]&gt;=3, "Medium Risk", "Low Risk"))</f>
        <v>Low Risk</v>
      </c>
      <c r="R519">
        <f>IF(Table1[[#This Row],[Seconds of Use]]=0,0,Table1[[#This Row],[Customer Value]]/Table1[[#This Row],[Seconds of Use]]*100)</f>
        <v>4.6636363636363631</v>
      </c>
    </row>
    <row r="520" spans="1:18" x14ac:dyDescent="0.35">
      <c r="A520" s="3" t="s">
        <v>541</v>
      </c>
      <c r="B520">
        <v>0</v>
      </c>
      <c r="C520">
        <v>0</v>
      </c>
      <c r="D520">
        <v>37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1</v>
      </c>
      <c r="L520">
        <v>2</v>
      </c>
      <c r="M520">
        <v>25</v>
      </c>
      <c r="N520">
        <v>0</v>
      </c>
      <c r="O520">
        <v>1</v>
      </c>
      <c r="P5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20" t="str">
        <f>IF(Table1[[#This Row],[Fraud_Score]]&gt;=6, "High Risk",IF(Table1[[#This Row],[Fraud_Score]]&gt;=3, "Medium Risk", "Low Risk"))</f>
        <v>Low Risk</v>
      </c>
      <c r="R520">
        <f>IF(Table1[[#This Row],[Seconds of Use]]=0,0,Table1[[#This Row],[Customer Value]]/Table1[[#This Row],[Seconds of Use]]*100)</f>
        <v>0</v>
      </c>
    </row>
    <row r="521" spans="1:18" x14ac:dyDescent="0.35">
      <c r="A521" s="3" t="s">
        <v>542</v>
      </c>
      <c r="B521">
        <v>0</v>
      </c>
      <c r="C521">
        <v>0</v>
      </c>
      <c r="D521">
        <v>37</v>
      </c>
      <c r="E521">
        <v>0</v>
      </c>
      <c r="F521">
        <v>6908</v>
      </c>
      <c r="G521">
        <v>117</v>
      </c>
      <c r="H521">
        <v>363</v>
      </c>
      <c r="I521">
        <v>28</v>
      </c>
      <c r="J521">
        <v>2</v>
      </c>
      <c r="K521">
        <v>1</v>
      </c>
      <c r="L521">
        <v>1</v>
      </c>
      <c r="M521">
        <v>25</v>
      </c>
      <c r="N521">
        <v>1949.625</v>
      </c>
      <c r="O521">
        <v>0</v>
      </c>
      <c r="P5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21" t="str">
        <f>IF(Table1[[#This Row],[Fraud_Score]]&gt;=6, "High Risk",IF(Table1[[#This Row],[Fraud_Score]]&gt;=3, "Medium Risk", "Low Risk"))</f>
        <v>Low Risk</v>
      </c>
      <c r="R521">
        <f>IF(Table1[[#This Row],[Seconds of Use]]=0,0,Table1[[#This Row],[Customer Value]]/Table1[[#This Row],[Seconds of Use]]*100)</f>
        <v>28.222712796757381</v>
      </c>
    </row>
    <row r="522" spans="1:18" x14ac:dyDescent="0.35">
      <c r="A522" s="3" t="s">
        <v>543</v>
      </c>
      <c r="B522">
        <v>3</v>
      </c>
      <c r="C522">
        <v>0</v>
      </c>
      <c r="D522">
        <v>37</v>
      </c>
      <c r="E522">
        <v>0</v>
      </c>
      <c r="F522">
        <v>10865</v>
      </c>
      <c r="G522">
        <v>144</v>
      </c>
      <c r="H522">
        <v>0</v>
      </c>
      <c r="I522">
        <v>32</v>
      </c>
      <c r="J522">
        <v>3</v>
      </c>
      <c r="K522">
        <v>1</v>
      </c>
      <c r="L522">
        <v>1</v>
      </c>
      <c r="M522">
        <v>30</v>
      </c>
      <c r="N522">
        <v>440.36</v>
      </c>
      <c r="O522">
        <v>0</v>
      </c>
      <c r="P5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22" t="str">
        <f>IF(Table1[[#This Row],[Fraud_Score]]&gt;=6, "High Risk",IF(Table1[[#This Row],[Fraud_Score]]&gt;=3, "Medium Risk", "Low Risk"))</f>
        <v>Medium Risk</v>
      </c>
      <c r="R522">
        <f>IF(Table1[[#This Row],[Seconds of Use]]=0,0,Table1[[#This Row],[Customer Value]]/Table1[[#This Row],[Seconds of Use]]*100)</f>
        <v>4.0530142659917168</v>
      </c>
    </row>
    <row r="523" spans="1:18" x14ac:dyDescent="0.35">
      <c r="A523" s="3" t="s">
        <v>544</v>
      </c>
      <c r="B523">
        <v>4</v>
      </c>
      <c r="C523">
        <v>0</v>
      </c>
      <c r="D523">
        <v>37</v>
      </c>
      <c r="E523">
        <v>0</v>
      </c>
      <c r="F523">
        <v>6118</v>
      </c>
      <c r="G523">
        <v>65</v>
      </c>
      <c r="H523">
        <v>87</v>
      </c>
      <c r="I523">
        <v>22</v>
      </c>
      <c r="J523">
        <v>2</v>
      </c>
      <c r="K523">
        <v>1</v>
      </c>
      <c r="L523">
        <v>1</v>
      </c>
      <c r="M523">
        <v>25</v>
      </c>
      <c r="N523">
        <v>669.73500000000001</v>
      </c>
      <c r="O523">
        <v>0</v>
      </c>
      <c r="P5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23" t="str">
        <f>IF(Table1[[#This Row],[Fraud_Score]]&gt;=6, "High Risk",IF(Table1[[#This Row],[Fraud_Score]]&gt;=3, "Medium Risk", "Low Risk"))</f>
        <v>Low Risk</v>
      </c>
      <c r="R523">
        <f>IF(Table1[[#This Row],[Seconds of Use]]=0,0,Table1[[#This Row],[Customer Value]]/Table1[[#This Row],[Seconds of Use]]*100)</f>
        <v>10.946959790781301</v>
      </c>
    </row>
    <row r="524" spans="1:18" x14ac:dyDescent="0.35">
      <c r="A524" s="3" t="s">
        <v>545</v>
      </c>
      <c r="B524">
        <v>19</v>
      </c>
      <c r="C524">
        <v>0</v>
      </c>
      <c r="D524">
        <v>33</v>
      </c>
      <c r="E524">
        <v>0</v>
      </c>
      <c r="F524">
        <v>355</v>
      </c>
      <c r="G524">
        <v>37</v>
      </c>
      <c r="H524">
        <v>0</v>
      </c>
      <c r="I524">
        <v>2</v>
      </c>
      <c r="J524">
        <v>2</v>
      </c>
      <c r="K524">
        <v>1</v>
      </c>
      <c r="L524">
        <v>2</v>
      </c>
      <c r="M524">
        <v>25</v>
      </c>
      <c r="N524">
        <v>17.64</v>
      </c>
      <c r="O524">
        <v>1</v>
      </c>
      <c r="P5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24" t="str">
        <f>IF(Table1[[#This Row],[Fraud_Score]]&gt;=6, "High Risk",IF(Table1[[#This Row],[Fraud_Score]]&gt;=3, "Medium Risk", "Low Risk"))</f>
        <v>Medium Risk</v>
      </c>
      <c r="R524">
        <f>IF(Table1[[#This Row],[Seconds of Use]]=0,0,Table1[[#This Row],[Customer Value]]/Table1[[#This Row],[Seconds of Use]]*100)</f>
        <v>4.9690140845070427</v>
      </c>
    </row>
    <row r="525" spans="1:18" x14ac:dyDescent="0.35">
      <c r="A525" s="3" t="s">
        <v>546</v>
      </c>
      <c r="B525">
        <v>17</v>
      </c>
      <c r="C525">
        <v>0</v>
      </c>
      <c r="D525">
        <v>36</v>
      </c>
      <c r="E525">
        <v>6</v>
      </c>
      <c r="F525">
        <v>9835</v>
      </c>
      <c r="G525">
        <v>83</v>
      </c>
      <c r="H525">
        <v>0</v>
      </c>
      <c r="I525">
        <v>27</v>
      </c>
      <c r="J525">
        <v>4</v>
      </c>
      <c r="K525">
        <v>1</v>
      </c>
      <c r="L525">
        <v>1</v>
      </c>
      <c r="M525">
        <v>45</v>
      </c>
      <c r="N525">
        <v>247.95</v>
      </c>
      <c r="O525">
        <v>0</v>
      </c>
      <c r="P5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25" t="str">
        <f>IF(Table1[[#This Row],[Fraud_Score]]&gt;=6, "High Risk",IF(Table1[[#This Row],[Fraud_Score]]&gt;=3, "Medium Risk", "Low Risk"))</f>
        <v>Low Risk</v>
      </c>
      <c r="R525">
        <f>IF(Table1[[#This Row],[Seconds of Use]]=0,0,Table1[[#This Row],[Customer Value]]/Table1[[#This Row],[Seconds of Use]]*100)</f>
        <v>2.5210981189628874</v>
      </c>
    </row>
    <row r="526" spans="1:18" x14ac:dyDescent="0.35">
      <c r="A526" s="3" t="s">
        <v>547</v>
      </c>
      <c r="B526">
        <v>9</v>
      </c>
      <c r="C526">
        <v>1</v>
      </c>
      <c r="D526">
        <v>36</v>
      </c>
      <c r="E526">
        <v>0</v>
      </c>
      <c r="F526">
        <v>5218</v>
      </c>
      <c r="G526">
        <v>88</v>
      </c>
      <c r="H526">
        <v>5</v>
      </c>
      <c r="I526">
        <v>9</v>
      </c>
      <c r="J526">
        <v>2</v>
      </c>
      <c r="K526">
        <v>1</v>
      </c>
      <c r="L526">
        <v>1</v>
      </c>
      <c r="M526">
        <v>25</v>
      </c>
      <c r="N526">
        <v>261.27</v>
      </c>
      <c r="O526">
        <v>1</v>
      </c>
      <c r="P5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26" t="str">
        <f>IF(Table1[[#This Row],[Fraud_Score]]&gt;=6, "High Risk",IF(Table1[[#This Row],[Fraud_Score]]&gt;=3, "Medium Risk", "Low Risk"))</f>
        <v>Medium Risk</v>
      </c>
      <c r="R526">
        <f>IF(Table1[[#This Row],[Seconds of Use]]=0,0,Table1[[#This Row],[Customer Value]]/Table1[[#This Row],[Seconds of Use]]*100)</f>
        <v>5.0070908394020694</v>
      </c>
    </row>
    <row r="527" spans="1:18" x14ac:dyDescent="0.35">
      <c r="A527" s="3" t="s">
        <v>548</v>
      </c>
      <c r="B527">
        <v>0</v>
      </c>
      <c r="C527">
        <v>0</v>
      </c>
      <c r="D527">
        <v>34</v>
      </c>
      <c r="E527">
        <v>0</v>
      </c>
      <c r="F527">
        <v>2240</v>
      </c>
      <c r="G527">
        <v>12</v>
      </c>
      <c r="H527">
        <v>0</v>
      </c>
      <c r="I527">
        <v>4</v>
      </c>
      <c r="J527">
        <v>3</v>
      </c>
      <c r="K527">
        <v>1</v>
      </c>
      <c r="L527">
        <v>1</v>
      </c>
      <c r="M527">
        <v>30</v>
      </c>
      <c r="N527">
        <v>90.08</v>
      </c>
      <c r="O527">
        <v>0</v>
      </c>
      <c r="P5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27" t="str">
        <f>IF(Table1[[#This Row],[Fraud_Score]]&gt;=6, "High Risk",IF(Table1[[#This Row],[Fraud_Score]]&gt;=3, "Medium Risk", "Low Risk"))</f>
        <v>Low Risk</v>
      </c>
      <c r="R527">
        <f>IF(Table1[[#This Row],[Seconds of Use]]=0,0,Table1[[#This Row],[Customer Value]]/Table1[[#This Row],[Seconds of Use]]*100)</f>
        <v>4.0214285714285714</v>
      </c>
    </row>
    <row r="528" spans="1:18" x14ac:dyDescent="0.35">
      <c r="A528" s="3" t="s">
        <v>549</v>
      </c>
      <c r="B528">
        <v>5</v>
      </c>
      <c r="C528">
        <v>0</v>
      </c>
      <c r="D528">
        <v>35</v>
      </c>
      <c r="E528">
        <v>0</v>
      </c>
      <c r="F528">
        <v>2390</v>
      </c>
      <c r="G528">
        <v>31</v>
      </c>
      <c r="H528">
        <v>0</v>
      </c>
      <c r="I528">
        <v>1</v>
      </c>
      <c r="J528">
        <v>3</v>
      </c>
      <c r="K528">
        <v>1</v>
      </c>
      <c r="L528">
        <v>2</v>
      </c>
      <c r="M528">
        <v>30</v>
      </c>
      <c r="N528">
        <v>96.84</v>
      </c>
      <c r="O528">
        <v>1</v>
      </c>
      <c r="P5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28" t="str">
        <f>IF(Table1[[#This Row],[Fraud_Score]]&gt;=6, "High Risk",IF(Table1[[#This Row],[Fraud_Score]]&gt;=3, "Medium Risk", "Low Risk"))</f>
        <v>Low Risk</v>
      </c>
      <c r="R528">
        <f>IF(Table1[[#This Row],[Seconds of Use]]=0,0,Table1[[#This Row],[Customer Value]]/Table1[[#This Row],[Seconds of Use]]*100)</f>
        <v>4.0518828451882847</v>
      </c>
    </row>
    <row r="529" spans="1:18" x14ac:dyDescent="0.35">
      <c r="A529" s="3" t="s">
        <v>550</v>
      </c>
      <c r="B529">
        <v>5</v>
      </c>
      <c r="C529">
        <v>0</v>
      </c>
      <c r="D529">
        <v>36</v>
      </c>
      <c r="E529">
        <v>0</v>
      </c>
      <c r="F529">
        <v>1668</v>
      </c>
      <c r="G529">
        <v>34</v>
      </c>
      <c r="H529">
        <v>13</v>
      </c>
      <c r="I529">
        <v>16</v>
      </c>
      <c r="J529">
        <v>3</v>
      </c>
      <c r="K529">
        <v>1</v>
      </c>
      <c r="L529">
        <v>2</v>
      </c>
      <c r="M529">
        <v>30</v>
      </c>
      <c r="N529">
        <v>120.08</v>
      </c>
      <c r="O529">
        <v>1</v>
      </c>
      <c r="P5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29" t="str">
        <f>IF(Table1[[#This Row],[Fraud_Score]]&gt;=6, "High Risk",IF(Table1[[#This Row],[Fraud_Score]]&gt;=3, "Medium Risk", "Low Risk"))</f>
        <v>Low Risk</v>
      </c>
      <c r="R529">
        <f>IF(Table1[[#This Row],[Seconds of Use]]=0,0,Table1[[#This Row],[Customer Value]]/Table1[[#This Row],[Seconds of Use]]*100)</f>
        <v>7.1990407673860908</v>
      </c>
    </row>
    <row r="530" spans="1:18" x14ac:dyDescent="0.35">
      <c r="A530" s="3" t="s">
        <v>551</v>
      </c>
      <c r="B530">
        <v>0</v>
      </c>
      <c r="C530">
        <v>0</v>
      </c>
      <c r="D530">
        <v>36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</v>
      </c>
      <c r="K530">
        <v>1</v>
      </c>
      <c r="L530">
        <v>2</v>
      </c>
      <c r="M530">
        <v>30</v>
      </c>
      <c r="N530">
        <v>0</v>
      </c>
      <c r="O530">
        <v>1</v>
      </c>
      <c r="P5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0" t="str">
        <f>IF(Table1[[#This Row],[Fraud_Score]]&gt;=6, "High Risk",IF(Table1[[#This Row],[Fraud_Score]]&gt;=3, "Medium Risk", "Low Risk"))</f>
        <v>Low Risk</v>
      </c>
      <c r="R530">
        <f>IF(Table1[[#This Row],[Seconds of Use]]=0,0,Table1[[#This Row],[Customer Value]]/Table1[[#This Row],[Seconds of Use]]*100)</f>
        <v>0</v>
      </c>
    </row>
    <row r="531" spans="1:18" x14ac:dyDescent="0.35">
      <c r="A531" s="3" t="s">
        <v>552</v>
      </c>
      <c r="B531">
        <v>0</v>
      </c>
      <c r="C531">
        <v>0</v>
      </c>
      <c r="D531">
        <v>36</v>
      </c>
      <c r="E531">
        <v>0</v>
      </c>
      <c r="F531">
        <v>1068</v>
      </c>
      <c r="G531">
        <v>15</v>
      </c>
      <c r="H531">
        <v>0</v>
      </c>
      <c r="I531">
        <v>3</v>
      </c>
      <c r="J531">
        <v>3</v>
      </c>
      <c r="K531">
        <v>1</v>
      </c>
      <c r="L531">
        <v>1</v>
      </c>
      <c r="M531">
        <v>30</v>
      </c>
      <c r="N531">
        <v>43.32</v>
      </c>
      <c r="O531">
        <v>0</v>
      </c>
      <c r="P5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1" t="str">
        <f>IF(Table1[[#This Row],[Fraud_Score]]&gt;=6, "High Risk",IF(Table1[[#This Row],[Fraud_Score]]&gt;=3, "Medium Risk", "Low Risk"))</f>
        <v>Low Risk</v>
      </c>
      <c r="R531">
        <f>IF(Table1[[#This Row],[Seconds of Use]]=0,0,Table1[[#This Row],[Customer Value]]/Table1[[#This Row],[Seconds of Use]]*100)</f>
        <v>4.0561797752808992</v>
      </c>
    </row>
    <row r="532" spans="1:18" x14ac:dyDescent="0.35">
      <c r="A532" s="3" t="s">
        <v>553</v>
      </c>
      <c r="B532">
        <v>0</v>
      </c>
      <c r="C532">
        <v>0</v>
      </c>
      <c r="D532">
        <v>33</v>
      </c>
      <c r="E532">
        <v>0</v>
      </c>
      <c r="F532">
        <v>6185</v>
      </c>
      <c r="G532">
        <v>87</v>
      </c>
      <c r="H532">
        <v>0</v>
      </c>
      <c r="I532">
        <v>7</v>
      </c>
      <c r="J532">
        <v>4</v>
      </c>
      <c r="K532">
        <v>1</v>
      </c>
      <c r="L532">
        <v>1</v>
      </c>
      <c r="M532">
        <v>45</v>
      </c>
      <c r="N532">
        <v>156.80000000000001</v>
      </c>
      <c r="O532">
        <v>0</v>
      </c>
      <c r="P5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2" t="str">
        <f>IF(Table1[[#This Row],[Fraud_Score]]&gt;=6, "High Risk",IF(Table1[[#This Row],[Fraud_Score]]&gt;=3, "Medium Risk", "Low Risk"))</f>
        <v>Low Risk</v>
      </c>
      <c r="R532">
        <f>IF(Table1[[#This Row],[Seconds of Use]]=0,0,Table1[[#This Row],[Customer Value]]/Table1[[#This Row],[Seconds of Use]]*100)</f>
        <v>2.5351657235246563</v>
      </c>
    </row>
    <row r="533" spans="1:18" x14ac:dyDescent="0.35">
      <c r="A533" s="3" t="s">
        <v>554</v>
      </c>
      <c r="B533">
        <v>0</v>
      </c>
      <c r="C533">
        <v>0</v>
      </c>
      <c r="D533">
        <v>36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4</v>
      </c>
      <c r="K533">
        <v>1</v>
      </c>
      <c r="L533">
        <v>2</v>
      </c>
      <c r="M533">
        <v>45</v>
      </c>
      <c r="N533">
        <v>0</v>
      </c>
      <c r="O533">
        <v>1</v>
      </c>
      <c r="P5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3" t="str">
        <f>IF(Table1[[#This Row],[Fraud_Score]]&gt;=6, "High Risk",IF(Table1[[#This Row],[Fraud_Score]]&gt;=3, "Medium Risk", "Low Risk"))</f>
        <v>Low Risk</v>
      </c>
      <c r="R533">
        <f>IF(Table1[[#This Row],[Seconds of Use]]=0,0,Table1[[#This Row],[Customer Value]]/Table1[[#This Row],[Seconds of Use]]*100)</f>
        <v>0</v>
      </c>
    </row>
    <row r="534" spans="1:18" x14ac:dyDescent="0.35">
      <c r="A534" s="3" t="s">
        <v>555</v>
      </c>
      <c r="B534">
        <v>0</v>
      </c>
      <c r="C534">
        <v>0</v>
      </c>
      <c r="D534">
        <v>36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5</v>
      </c>
      <c r="K534">
        <v>1</v>
      </c>
      <c r="L534">
        <v>1</v>
      </c>
      <c r="M534">
        <v>55</v>
      </c>
      <c r="N534">
        <v>0</v>
      </c>
      <c r="O534">
        <v>0</v>
      </c>
      <c r="P5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4" t="str">
        <f>IF(Table1[[#This Row],[Fraud_Score]]&gt;=6, "High Risk",IF(Table1[[#This Row],[Fraud_Score]]&gt;=3, "Medium Risk", "Low Risk"))</f>
        <v>Low Risk</v>
      </c>
      <c r="R534">
        <f>IF(Table1[[#This Row],[Seconds of Use]]=0,0,Table1[[#This Row],[Customer Value]]/Table1[[#This Row],[Seconds of Use]]*100)</f>
        <v>0</v>
      </c>
    </row>
    <row r="535" spans="1:18" x14ac:dyDescent="0.35">
      <c r="A535" s="3" t="s">
        <v>556</v>
      </c>
      <c r="B535">
        <v>21</v>
      </c>
      <c r="C535">
        <v>0</v>
      </c>
      <c r="D535">
        <v>31</v>
      </c>
      <c r="E535">
        <v>1</v>
      </c>
      <c r="F535">
        <v>15475</v>
      </c>
      <c r="G535">
        <v>228</v>
      </c>
      <c r="H535">
        <v>0</v>
      </c>
      <c r="I535">
        <v>65</v>
      </c>
      <c r="J535">
        <v>2</v>
      </c>
      <c r="K535">
        <v>1</v>
      </c>
      <c r="L535">
        <v>1</v>
      </c>
      <c r="M535">
        <v>25</v>
      </c>
      <c r="N535">
        <v>706.63499999999999</v>
      </c>
      <c r="O535">
        <v>0</v>
      </c>
      <c r="P5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535" t="str">
        <f>IF(Table1[[#This Row],[Fraud_Score]]&gt;=6, "High Risk",IF(Table1[[#This Row],[Fraud_Score]]&gt;=3, "Medium Risk", "Low Risk"))</f>
        <v>Medium Risk</v>
      </c>
      <c r="R535">
        <f>IF(Table1[[#This Row],[Seconds of Use]]=0,0,Table1[[#This Row],[Customer Value]]/Table1[[#This Row],[Seconds of Use]]*100)</f>
        <v>4.5663004846526656</v>
      </c>
    </row>
    <row r="536" spans="1:18" x14ac:dyDescent="0.35">
      <c r="A536" s="3" t="s">
        <v>557</v>
      </c>
      <c r="B536">
        <v>2</v>
      </c>
      <c r="C536">
        <v>0</v>
      </c>
      <c r="D536">
        <v>34</v>
      </c>
      <c r="E536">
        <v>1</v>
      </c>
      <c r="F536">
        <v>6365</v>
      </c>
      <c r="G536">
        <v>106</v>
      </c>
      <c r="H536">
        <v>250</v>
      </c>
      <c r="I536">
        <v>18</v>
      </c>
      <c r="J536">
        <v>2</v>
      </c>
      <c r="K536">
        <v>2</v>
      </c>
      <c r="L536">
        <v>1</v>
      </c>
      <c r="M536">
        <v>25</v>
      </c>
      <c r="N536">
        <v>1416.1949999999999</v>
      </c>
      <c r="O536">
        <v>0</v>
      </c>
      <c r="P5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36" t="str">
        <f>IF(Table1[[#This Row],[Fraud_Score]]&gt;=6, "High Risk",IF(Table1[[#This Row],[Fraud_Score]]&gt;=3, "Medium Risk", "Low Risk"))</f>
        <v>Low Risk</v>
      </c>
      <c r="R536">
        <f>IF(Table1[[#This Row],[Seconds of Use]]=0,0,Table1[[#This Row],[Customer Value]]/Table1[[#This Row],[Seconds of Use]]*100)</f>
        <v>22.249725058915946</v>
      </c>
    </row>
    <row r="537" spans="1:18" x14ac:dyDescent="0.35">
      <c r="A537" s="3" t="s">
        <v>558</v>
      </c>
      <c r="B537">
        <v>0</v>
      </c>
      <c r="C537">
        <v>0</v>
      </c>
      <c r="D537">
        <v>36</v>
      </c>
      <c r="E537">
        <v>0</v>
      </c>
      <c r="F537">
        <v>3118</v>
      </c>
      <c r="G537">
        <v>72</v>
      </c>
      <c r="H537">
        <v>0</v>
      </c>
      <c r="I537">
        <v>13</v>
      </c>
      <c r="J537">
        <v>2</v>
      </c>
      <c r="K537">
        <v>1</v>
      </c>
      <c r="L537">
        <v>1</v>
      </c>
      <c r="M537">
        <v>25</v>
      </c>
      <c r="N537">
        <v>143.55000000000001</v>
      </c>
      <c r="O537">
        <v>0</v>
      </c>
      <c r="P5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7" t="str">
        <f>IF(Table1[[#This Row],[Fraud_Score]]&gt;=6, "High Risk",IF(Table1[[#This Row],[Fraud_Score]]&gt;=3, "Medium Risk", "Low Risk"))</f>
        <v>Low Risk</v>
      </c>
      <c r="R537">
        <f>IF(Table1[[#This Row],[Seconds of Use]]=0,0,Table1[[#This Row],[Customer Value]]/Table1[[#This Row],[Seconds of Use]]*100)</f>
        <v>4.6039127645926881</v>
      </c>
    </row>
    <row r="538" spans="1:18" x14ac:dyDescent="0.35">
      <c r="A538" s="3" t="s">
        <v>559</v>
      </c>
      <c r="B538">
        <v>0</v>
      </c>
      <c r="C538">
        <v>0</v>
      </c>
      <c r="D538">
        <v>35</v>
      </c>
      <c r="E538">
        <v>0</v>
      </c>
      <c r="F538">
        <v>1065</v>
      </c>
      <c r="G538">
        <v>34</v>
      </c>
      <c r="H538">
        <v>17</v>
      </c>
      <c r="I538">
        <v>5</v>
      </c>
      <c r="J538">
        <v>3</v>
      </c>
      <c r="K538">
        <v>1</v>
      </c>
      <c r="L538">
        <v>2</v>
      </c>
      <c r="M538">
        <v>30</v>
      </c>
      <c r="N538">
        <v>111.96</v>
      </c>
      <c r="O538">
        <v>0</v>
      </c>
      <c r="P5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8" t="str">
        <f>IF(Table1[[#This Row],[Fraud_Score]]&gt;=6, "High Risk",IF(Table1[[#This Row],[Fraud_Score]]&gt;=3, "Medium Risk", "Low Risk"))</f>
        <v>Low Risk</v>
      </c>
      <c r="R538">
        <f>IF(Table1[[#This Row],[Seconds of Use]]=0,0,Table1[[#This Row],[Customer Value]]/Table1[[#This Row],[Seconds of Use]]*100)</f>
        <v>10.512676056338027</v>
      </c>
    </row>
    <row r="539" spans="1:18" x14ac:dyDescent="0.35">
      <c r="A539" s="3" t="s">
        <v>560</v>
      </c>
      <c r="B539">
        <v>2</v>
      </c>
      <c r="C539">
        <v>0</v>
      </c>
      <c r="D539">
        <v>36</v>
      </c>
      <c r="E539">
        <v>0</v>
      </c>
      <c r="F539">
        <v>2180</v>
      </c>
      <c r="G539">
        <v>43</v>
      </c>
      <c r="H539">
        <v>154</v>
      </c>
      <c r="I539">
        <v>8</v>
      </c>
      <c r="J539">
        <v>2</v>
      </c>
      <c r="K539">
        <v>1</v>
      </c>
      <c r="L539">
        <v>1</v>
      </c>
      <c r="M539">
        <v>25</v>
      </c>
      <c r="N539">
        <v>793.03499999999997</v>
      </c>
      <c r="O539">
        <v>0</v>
      </c>
      <c r="P5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39" t="str">
        <f>IF(Table1[[#This Row],[Fraud_Score]]&gt;=6, "High Risk",IF(Table1[[#This Row],[Fraud_Score]]&gt;=3, "Medium Risk", "Low Risk"))</f>
        <v>Low Risk</v>
      </c>
      <c r="R539">
        <f>IF(Table1[[#This Row],[Seconds of Use]]=0,0,Table1[[#This Row],[Customer Value]]/Table1[[#This Row],[Seconds of Use]]*100)</f>
        <v>36.377752293577984</v>
      </c>
    </row>
    <row r="540" spans="1:18" x14ac:dyDescent="0.35">
      <c r="A540" s="3" t="s">
        <v>561</v>
      </c>
      <c r="B540">
        <v>0</v>
      </c>
      <c r="C540">
        <v>0</v>
      </c>
      <c r="D540">
        <v>27</v>
      </c>
      <c r="E540">
        <v>0</v>
      </c>
      <c r="F540">
        <v>715</v>
      </c>
      <c r="G540">
        <v>26</v>
      </c>
      <c r="H540">
        <v>172</v>
      </c>
      <c r="I540">
        <v>1</v>
      </c>
      <c r="J540">
        <v>2</v>
      </c>
      <c r="K540">
        <v>2</v>
      </c>
      <c r="L540">
        <v>1</v>
      </c>
      <c r="M540">
        <v>25</v>
      </c>
      <c r="N540">
        <v>807.34500000000003</v>
      </c>
      <c r="O540">
        <v>0</v>
      </c>
      <c r="P5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40" t="str">
        <f>IF(Table1[[#This Row],[Fraud_Score]]&gt;=6, "High Risk",IF(Table1[[#This Row],[Fraud_Score]]&gt;=3, "Medium Risk", "Low Risk"))</f>
        <v>Low Risk</v>
      </c>
      <c r="R540">
        <f>IF(Table1[[#This Row],[Seconds of Use]]=0,0,Table1[[#This Row],[Customer Value]]/Table1[[#This Row],[Seconds of Use]]*100)</f>
        <v>112.91538461538462</v>
      </c>
    </row>
    <row r="541" spans="1:18" x14ac:dyDescent="0.35">
      <c r="A541" s="3" t="s">
        <v>562</v>
      </c>
      <c r="B541">
        <v>0</v>
      </c>
      <c r="C541">
        <v>0</v>
      </c>
      <c r="D541">
        <v>26</v>
      </c>
      <c r="E541">
        <v>0</v>
      </c>
      <c r="F541">
        <v>968</v>
      </c>
      <c r="G541">
        <v>29</v>
      </c>
      <c r="H541">
        <v>9</v>
      </c>
      <c r="I541">
        <v>53</v>
      </c>
      <c r="J541">
        <v>4</v>
      </c>
      <c r="K541">
        <v>1</v>
      </c>
      <c r="L541">
        <v>1</v>
      </c>
      <c r="M541">
        <v>45</v>
      </c>
      <c r="N541">
        <v>47.424999999999997</v>
      </c>
      <c r="O541">
        <v>0</v>
      </c>
      <c r="P5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41" t="str">
        <f>IF(Table1[[#This Row],[Fraud_Score]]&gt;=6, "High Risk",IF(Table1[[#This Row],[Fraud_Score]]&gt;=3, "Medium Risk", "Low Risk"))</f>
        <v>Low Risk</v>
      </c>
      <c r="R541">
        <f>IF(Table1[[#This Row],[Seconds of Use]]=0,0,Table1[[#This Row],[Customer Value]]/Table1[[#This Row],[Seconds of Use]]*100)</f>
        <v>4.8992768595041323</v>
      </c>
    </row>
    <row r="542" spans="1:18" x14ac:dyDescent="0.35">
      <c r="A542" s="3" t="s">
        <v>563</v>
      </c>
      <c r="B542">
        <v>7</v>
      </c>
      <c r="C542">
        <v>0</v>
      </c>
      <c r="D542">
        <v>27</v>
      </c>
      <c r="E542">
        <v>0</v>
      </c>
      <c r="F542">
        <v>100</v>
      </c>
      <c r="G542">
        <v>15</v>
      </c>
      <c r="H542">
        <v>0</v>
      </c>
      <c r="I542">
        <v>3</v>
      </c>
      <c r="J542">
        <v>2</v>
      </c>
      <c r="K542">
        <v>1</v>
      </c>
      <c r="L542">
        <v>2</v>
      </c>
      <c r="M542">
        <v>25</v>
      </c>
      <c r="N542">
        <v>5.1749999999999998</v>
      </c>
      <c r="O542">
        <v>0</v>
      </c>
      <c r="P5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42" t="str">
        <f>IF(Table1[[#This Row],[Fraud_Score]]&gt;=6, "High Risk",IF(Table1[[#This Row],[Fraud_Score]]&gt;=3, "Medium Risk", "Low Risk"))</f>
        <v>Low Risk</v>
      </c>
      <c r="R542">
        <f>IF(Table1[[#This Row],[Seconds of Use]]=0,0,Table1[[#This Row],[Customer Value]]/Table1[[#This Row],[Seconds of Use]]*100)</f>
        <v>5.1749999999999998</v>
      </c>
    </row>
    <row r="543" spans="1:18" x14ac:dyDescent="0.35">
      <c r="A543" s="3" t="s">
        <v>564</v>
      </c>
      <c r="B543">
        <v>0</v>
      </c>
      <c r="C543">
        <v>0</v>
      </c>
      <c r="D543">
        <v>26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4</v>
      </c>
      <c r="K543">
        <v>1</v>
      </c>
      <c r="L543">
        <v>2</v>
      </c>
      <c r="M543">
        <v>45</v>
      </c>
      <c r="N543">
        <v>0</v>
      </c>
      <c r="O543">
        <v>0</v>
      </c>
      <c r="P5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43" t="str">
        <f>IF(Table1[[#This Row],[Fraud_Score]]&gt;=6, "High Risk",IF(Table1[[#This Row],[Fraud_Score]]&gt;=3, "Medium Risk", "Low Risk"))</f>
        <v>Low Risk</v>
      </c>
      <c r="R543">
        <f>IF(Table1[[#This Row],[Seconds of Use]]=0,0,Table1[[#This Row],[Customer Value]]/Table1[[#This Row],[Seconds of Use]]*100)</f>
        <v>0</v>
      </c>
    </row>
    <row r="544" spans="1:18" x14ac:dyDescent="0.35">
      <c r="A544" s="3" t="s">
        <v>565</v>
      </c>
      <c r="B544">
        <v>6</v>
      </c>
      <c r="C544">
        <v>0</v>
      </c>
      <c r="D544">
        <v>25</v>
      </c>
      <c r="E544">
        <v>0</v>
      </c>
      <c r="F544">
        <v>625</v>
      </c>
      <c r="G544">
        <v>22</v>
      </c>
      <c r="H544">
        <v>0</v>
      </c>
      <c r="I544">
        <v>2</v>
      </c>
      <c r="J544">
        <v>2</v>
      </c>
      <c r="K544">
        <v>1</v>
      </c>
      <c r="L544">
        <v>1</v>
      </c>
      <c r="M544">
        <v>25</v>
      </c>
      <c r="N544">
        <v>29.114999999999998</v>
      </c>
      <c r="O544">
        <v>0</v>
      </c>
      <c r="P5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44" t="str">
        <f>IF(Table1[[#This Row],[Fraud_Score]]&gt;=6, "High Risk",IF(Table1[[#This Row],[Fraud_Score]]&gt;=3, "Medium Risk", "Low Risk"))</f>
        <v>Low Risk</v>
      </c>
      <c r="R544">
        <f>IF(Table1[[#This Row],[Seconds of Use]]=0,0,Table1[[#This Row],[Customer Value]]/Table1[[#This Row],[Seconds of Use]]*100)</f>
        <v>4.6584000000000003</v>
      </c>
    </row>
    <row r="545" spans="1:18" x14ac:dyDescent="0.35">
      <c r="A545" s="3" t="s">
        <v>566</v>
      </c>
      <c r="B545">
        <v>0</v>
      </c>
      <c r="C545">
        <v>0</v>
      </c>
      <c r="D545">
        <v>25</v>
      </c>
      <c r="E545">
        <v>0</v>
      </c>
      <c r="F545">
        <v>2625</v>
      </c>
      <c r="G545">
        <v>51</v>
      </c>
      <c r="H545">
        <v>0</v>
      </c>
      <c r="I545">
        <v>8</v>
      </c>
      <c r="J545">
        <v>3</v>
      </c>
      <c r="K545">
        <v>1</v>
      </c>
      <c r="L545">
        <v>1</v>
      </c>
      <c r="M545">
        <v>30</v>
      </c>
      <c r="N545">
        <v>107.04</v>
      </c>
      <c r="O545">
        <v>0</v>
      </c>
      <c r="P5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45" t="str">
        <f>IF(Table1[[#This Row],[Fraud_Score]]&gt;=6, "High Risk",IF(Table1[[#This Row],[Fraud_Score]]&gt;=3, "Medium Risk", "Low Risk"))</f>
        <v>Low Risk</v>
      </c>
      <c r="R545">
        <f>IF(Table1[[#This Row],[Seconds of Use]]=0,0,Table1[[#This Row],[Customer Value]]/Table1[[#This Row],[Seconds of Use]]*100)</f>
        <v>4.0777142857142863</v>
      </c>
    </row>
    <row r="546" spans="1:18" x14ac:dyDescent="0.35">
      <c r="A546" s="3" t="s">
        <v>567</v>
      </c>
      <c r="B546">
        <v>0</v>
      </c>
      <c r="C546">
        <v>0</v>
      </c>
      <c r="D546">
        <v>18</v>
      </c>
      <c r="E546">
        <v>0</v>
      </c>
      <c r="F546">
        <v>1095</v>
      </c>
      <c r="G546">
        <v>16</v>
      </c>
      <c r="H546">
        <v>7</v>
      </c>
      <c r="I546">
        <v>6</v>
      </c>
      <c r="J546">
        <v>2</v>
      </c>
      <c r="K546">
        <v>1</v>
      </c>
      <c r="L546">
        <v>1</v>
      </c>
      <c r="M546">
        <v>25</v>
      </c>
      <c r="N546">
        <v>81.495000000000005</v>
      </c>
      <c r="O546">
        <v>0</v>
      </c>
      <c r="P5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46" t="str">
        <f>IF(Table1[[#This Row],[Fraud_Score]]&gt;=6, "High Risk",IF(Table1[[#This Row],[Fraud_Score]]&gt;=3, "Medium Risk", "Low Risk"))</f>
        <v>Low Risk</v>
      </c>
      <c r="R546">
        <f>IF(Table1[[#This Row],[Seconds of Use]]=0,0,Table1[[#This Row],[Customer Value]]/Table1[[#This Row],[Seconds of Use]]*100)</f>
        <v>7.4424657534246581</v>
      </c>
    </row>
    <row r="547" spans="1:18" x14ac:dyDescent="0.35">
      <c r="A547" s="3" t="s">
        <v>568</v>
      </c>
      <c r="B547">
        <v>12</v>
      </c>
      <c r="C547">
        <v>0</v>
      </c>
      <c r="D547">
        <v>17</v>
      </c>
      <c r="E547">
        <v>0</v>
      </c>
      <c r="F547">
        <v>5793</v>
      </c>
      <c r="G547">
        <v>131</v>
      </c>
      <c r="H547">
        <v>64</v>
      </c>
      <c r="I547">
        <v>27</v>
      </c>
      <c r="J547">
        <v>1</v>
      </c>
      <c r="K547">
        <v>2</v>
      </c>
      <c r="L547">
        <v>1</v>
      </c>
      <c r="M547">
        <v>15</v>
      </c>
      <c r="N547">
        <v>677.82</v>
      </c>
      <c r="O547">
        <v>0</v>
      </c>
      <c r="P5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47" t="str">
        <f>IF(Table1[[#This Row],[Fraud_Score]]&gt;=6, "High Risk",IF(Table1[[#This Row],[Fraud_Score]]&gt;=3, "Medium Risk", "Low Risk"))</f>
        <v>Medium Risk</v>
      </c>
      <c r="R547">
        <f>IF(Table1[[#This Row],[Seconds of Use]]=0,0,Table1[[#This Row],[Customer Value]]/Table1[[#This Row],[Seconds of Use]]*100)</f>
        <v>11.700673226307613</v>
      </c>
    </row>
    <row r="548" spans="1:18" x14ac:dyDescent="0.35">
      <c r="A548" s="3" t="s">
        <v>569</v>
      </c>
      <c r="B548">
        <v>8</v>
      </c>
      <c r="C548">
        <v>0</v>
      </c>
      <c r="D548">
        <v>15</v>
      </c>
      <c r="E548">
        <v>0</v>
      </c>
      <c r="F548">
        <v>8333</v>
      </c>
      <c r="G548">
        <v>161</v>
      </c>
      <c r="H548">
        <v>52</v>
      </c>
      <c r="I548">
        <v>25</v>
      </c>
      <c r="J548">
        <v>4</v>
      </c>
      <c r="K548">
        <v>1</v>
      </c>
      <c r="L548">
        <v>1</v>
      </c>
      <c r="M548">
        <v>45</v>
      </c>
      <c r="N548">
        <v>342.35</v>
      </c>
      <c r="O548">
        <v>0</v>
      </c>
      <c r="P5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48" t="str">
        <f>IF(Table1[[#This Row],[Fraud_Score]]&gt;=6, "High Risk",IF(Table1[[#This Row],[Fraud_Score]]&gt;=3, "Medium Risk", "Low Risk"))</f>
        <v>Medium Risk</v>
      </c>
      <c r="R548">
        <f>IF(Table1[[#This Row],[Seconds of Use]]=0,0,Table1[[#This Row],[Customer Value]]/Table1[[#This Row],[Seconds of Use]]*100)</f>
        <v>4.1083643345733831</v>
      </c>
    </row>
    <row r="549" spans="1:18" x14ac:dyDescent="0.35">
      <c r="A549" s="3" t="s">
        <v>570</v>
      </c>
      <c r="B549">
        <v>4</v>
      </c>
      <c r="C549">
        <v>0</v>
      </c>
      <c r="D549">
        <v>16</v>
      </c>
      <c r="E549">
        <v>1</v>
      </c>
      <c r="F549">
        <v>2253</v>
      </c>
      <c r="G549">
        <v>35</v>
      </c>
      <c r="H549">
        <v>10</v>
      </c>
      <c r="I549">
        <v>4</v>
      </c>
      <c r="J549">
        <v>3</v>
      </c>
      <c r="K549">
        <v>1</v>
      </c>
      <c r="L549">
        <v>1</v>
      </c>
      <c r="M549">
        <v>30</v>
      </c>
      <c r="N549">
        <v>131.52000000000001</v>
      </c>
      <c r="O549">
        <v>0</v>
      </c>
      <c r="P5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49" t="str">
        <f>IF(Table1[[#This Row],[Fraud_Score]]&gt;=6, "High Risk",IF(Table1[[#This Row],[Fraud_Score]]&gt;=3, "Medium Risk", "Low Risk"))</f>
        <v>Low Risk</v>
      </c>
      <c r="R549">
        <f>IF(Table1[[#This Row],[Seconds of Use]]=0,0,Table1[[#This Row],[Customer Value]]/Table1[[#This Row],[Seconds of Use]]*100)</f>
        <v>5.8375499334221042</v>
      </c>
    </row>
    <row r="550" spans="1:18" x14ac:dyDescent="0.35">
      <c r="A550" s="3" t="s">
        <v>571</v>
      </c>
      <c r="B550">
        <v>0</v>
      </c>
      <c r="C550">
        <v>0</v>
      </c>
      <c r="D550">
        <v>9</v>
      </c>
      <c r="E550">
        <v>0</v>
      </c>
      <c r="F550">
        <v>3790</v>
      </c>
      <c r="G550">
        <v>30</v>
      </c>
      <c r="H550">
        <v>194</v>
      </c>
      <c r="I550">
        <v>23</v>
      </c>
      <c r="J550">
        <v>3</v>
      </c>
      <c r="K550">
        <v>1</v>
      </c>
      <c r="L550">
        <v>1</v>
      </c>
      <c r="M550">
        <v>30</v>
      </c>
      <c r="N550">
        <v>928.8</v>
      </c>
      <c r="O550">
        <v>0</v>
      </c>
      <c r="P5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50" t="str">
        <f>IF(Table1[[#This Row],[Fraud_Score]]&gt;=6, "High Risk",IF(Table1[[#This Row],[Fraud_Score]]&gt;=3, "Medium Risk", "Low Risk"))</f>
        <v>Low Risk</v>
      </c>
      <c r="R550">
        <f>IF(Table1[[#This Row],[Seconds of Use]]=0,0,Table1[[#This Row],[Customer Value]]/Table1[[#This Row],[Seconds of Use]]*100)</f>
        <v>24.506596306068602</v>
      </c>
    </row>
    <row r="551" spans="1:18" x14ac:dyDescent="0.35">
      <c r="A551" s="3" t="s">
        <v>572</v>
      </c>
      <c r="B551">
        <v>0</v>
      </c>
      <c r="C551">
        <v>1</v>
      </c>
      <c r="D551">
        <v>9</v>
      </c>
      <c r="E551">
        <v>0</v>
      </c>
      <c r="F551">
        <v>888</v>
      </c>
      <c r="G551">
        <v>9</v>
      </c>
      <c r="H551">
        <v>0</v>
      </c>
      <c r="I551">
        <v>3</v>
      </c>
      <c r="J551">
        <v>3</v>
      </c>
      <c r="K551">
        <v>1</v>
      </c>
      <c r="L551">
        <v>1</v>
      </c>
      <c r="M551">
        <v>30</v>
      </c>
      <c r="N551">
        <v>35.880000000000003</v>
      </c>
      <c r="O551">
        <v>1</v>
      </c>
      <c r="P5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51" t="str">
        <f>IF(Table1[[#This Row],[Fraud_Score]]&gt;=6, "High Risk",IF(Table1[[#This Row],[Fraud_Score]]&gt;=3, "Medium Risk", "Low Risk"))</f>
        <v>Medium Risk</v>
      </c>
      <c r="R551">
        <f>IF(Table1[[#This Row],[Seconds of Use]]=0,0,Table1[[#This Row],[Customer Value]]/Table1[[#This Row],[Seconds of Use]]*100)</f>
        <v>4.0405405405405412</v>
      </c>
    </row>
    <row r="552" spans="1:18" x14ac:dyDescent="0.35">
      <c r="A552" s="3" t="s">
        <v>573</v>
      </c>
      <c r="B552">
        <v>8</v>
      </c>
      <c r="C552">
        <v>0</v>
      </c>
      <c r="D552">
        <v>39</v>
      </c>
      <c r="E552">
        <v>1</v>
      </c>
      <c r="F552">
        <v>4485</v>
      </c>
      <c r="G552">
        <v>77</v>
      </c>
      <c r="H552">
        <v>37</v>
      </c>
      <c r="I552">
        <v>21</v>
      </c>
      <c r="J552">
        <v>3</v>
      </c>
      <c r="K552">
        <v>1</v>
      </c>
      <c r="L552">
        <v>1</v>
      </c>
      <c r="M552">
        <v>30</v>
      </c>
      <c r="N552">
        <v>330.48</v>
      </c>
      <c r="O552">
        <v>0</v>
      </c>
      <c r="P5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52" t="str">
        <f>IF(Table1[[#This Row],[Fraud_Score]]&gt;=6, "High Risk",IF(Table1[[#This Row],[Fraud_Score]]&gt;=3, "Medium Risk", "Low Risk"))</f>
        <v>Low Risk</v>
      </c>
      <c r="R552">
        <f>IF(Table1[[#This Row],[Seconds of Use]]=0,0,Table1[[#This Row],[Customer Value]]/Table1[[#This Row],[Seconds of Use]]*100)</f>
        <v>7.3685618729096998</v>
      </c>
    </row>
    <row r="553" spans="1:18" x14ac:dyDescent="0.35">
      <c r="A553" s="3" t="s">
        <v>574</v>
      </c>
      <c r="B553">
        <v>0</v>
      </c>
      <c r="C553">
        <v>0</v>
      </c>
      <c r="D553">
        <v>40</v>
      </c>
      <c r="E553">
        <v>0</v>
      </c>
      <c r="F553">
        <v>433</v>
      </c>
      <c r="G553">
        <v>11</v>
      </c>
      <c r="H553">
        <v>39</v>
      </c>
      <c r="I553">
        <v>8</v>
      </c>
      <c r="J553">
        <v>3</v>
      </c>
      <c r="K553">
        <v>1</v>
      </c>
      <c r="L553">
        <v>2</v>
      </c>
      <c r="M553">
        <v>30</v>
      </c>
      <c r="N553">
        <v>173.76</v>
      </c>
      <c r="O553">
        <v>0</v>
      </c>
      <c r="P5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53" t="str">
        <f>IF(Table1[[#This Row],[Fraud_Score]]&gt;=6, "High Risk",IF(Table1[[#This Row],[Fraud_Score]]&gt;=3, "Medium Risk", "Low Risk"))</f>
        <v>Low Risk</v>
      </c>
      <c r="R553">
        <f>IF(Table1[[#This Row],[Seconds of Use]]=0,0,Table1[[#This Row],[Customer Value]]/Table1[[#This Row],[Seconds of Use]]*100)</f>
        <v>40.12933025404157</v>
      </c>
    </row>
    <row r="554" spans="1:18" x14ac:dyDescent="0.35">
      <c r="A554" s="3" t="s">
        <v>575</v>
      </c>
      <c r="B554">
        <v>10</v>
      </c>
      <c r="C554">
        <v>0</v>
      </c>
      <c r="D554">
        <v>38</v>
      </c>
      <c r="E554">
        <v>1</v>
      </c>
      <c r="F554">
        <v>2568</v>
      </c>
      <c r="G554">
        <v>66</v>
      </c>
      <c r="H554">
        <v>391</v>
      </c>
      <c r="I554">
        <v>28</v>
      </c>
      <c r="J554">
        <v>3</v>
      </c>
      <c r="K554">
        <v>1</v>
      </c>
      <c r="L554">
        <v>1</v>
      </c>
      <c r="M554">
        <v>30</v>
      </c>
      <c r="N554">
        <v>1669.36</v>
      </c>
      <c r="O554">
        <v>0</v>
      </c>
      <c r="P5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54" t="str">
        <f>IF(Table1[[#This Row],[Fraud_Score]]&gt;=6, "High Risk",IF(Table1[[#This Row],[Fraud_Score]]&gt;=3, "Medium Risk", "Low Risk"))</f>
        <v>Low Risk</v>
      </c>
      <c r="R554">
        <f>IF(Table1[[#This Row],[Seconds of Use]]=0,0,Table1[[#This Row],[Customer Value]]/Table1[[#This Row],[Seconds of Use]]*100)</f>
        <v>65.006230529595015</v>
      </c>
    </row>
    <row r="555" spans="1:18" x14ac:dyDescent="0.35">
      <c r="A555" s="3" t="s">
        <v>576</v>
      </c>
      <c r="B555">
        <v>10</v>
      </c>
      <c r="C555">
        <v>0</v>
      </c>
      <c r="D555">
        <v>39</v>
      </c>
      <c r="E555">
        <v>1</v>
      </c>
      <c r="F555">
        <v>4313</v>
      </c>
      <c r="G555">
        <v>72</v>
      </c>
      <c r="H555">
        <v>33</v>
      </c>
      <c r="I555">
        <v>39</v>
      </c>
      <c r="J555">
        <v>1</v>
      </c>
      <c r="K555">
        <v>1</v>
      </c>
      <c r="L555">
        <v>1</v>
      </c>
      <c r="M555">
        <v>15</v>
      </c>
      <c r="N555">
        <v>422.67500000000001</v>
      </c>
      <c r="O555">
        <v>0</v>
      </c>
      <c r="P5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55" t="str">
        <f>IF(Table1[[#This Row],[Fraud_Score]]&gt;=6, "High Risk",IF(Table1[[#This Row],[Fraud_Score]]&gt;=3, "Medium Risk", "Low Risk"))</f>
        <v>Low Risk</v>
      </c>
      <c r="R555">
        <f>IF(Table1[[#This Row],[Seconds of Use]]=0,0,Table1[[#This Row],[Customer Value]]/Table1[[#This Row],[Seconds of Use]]*100)</f>
        <v>9.8000231857175972</v>
      </c>
    </row>
    <row r="556" spans="1:18" x14ac:dyDescent="0.35">
      <c r="A556" s="3" t="s">
        <v>577</v>
      </c>
      <c r="B556">
        <v>3</v>
      </c>
      <c r="C556">
        <v>0</v>
      </c>
      <c r="D556">
        <v>39</v>
      </c>
      <c r="E556">
        <v>1</v>
      </c>
      <c r="F556">
        <v>2508</v>
      </c>
      <c r="G556">
        <v>64</v>
      </c>
      <c r="H556">
        <v>34</v>
      </c>
      <c r="I556">
        <v>37</v>
      </c>
      <c r="J556">
        <v>2</v>
      </c>
      <c r="K556">
        <v>1</v>
      </c>
      <c r="L556">
        <v>1</v>
      </c>
      <c r="M556">
        <v>25</v>
      </c>
      <c r="N556">
        <v>268.74</v>
      </c>
      <c r="O556">
        <v>0</v>
      </c>
      <c r="P5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56" t="str">
        <f>IF(Table1[[#This Row],[Fraud_Score]]&gt;=6, "High Risk",IF(Table1[[#This Row],[Fraud_Score]]&gt;=3, "Medium Risk", "Low Risk"))</f>
        <v>Low Risk</v>
      </c>
      <c r="R556">
        <f>IF(Table1[[#This Row],[Seconds of Use]]=0,0,Table1[[#This Row],[Customer Value]]/Table1[[#This Row],[Seconds of Use]]*100)</f>
        <v>10.715311004784688</v>
      </c>
    </row>
    <row r="557" spans="1:18" x14ac:dyDescent="0.35">
      <c r="A557" s="3" t="s">
        <v>578</v>
      </c>
      <c r="B557">
        <v>11</v>
      </c>
      <c r="C557">
        <v>0</v>
      </c>
      <c r="D557">
        <v>39</v>
      </c>
      <c r="E557">
        <v>2</v>
      </c>
      <c r="F557">
        <v>3890</v>
      </c>
      <c r="G557">
        <v>88</v>
      </c>
      <c r="H557">
        <v>64</v>
      </c>
      <c r="I557">
        <v>32</v>
      </c>
      <c r="J557">
        <v>3</v>
      </c>
      <c r="K557">
        <v>1</v>
      </c>
      <c r="L557">
        <v>1</v>
      </c>
      <c r="M557">
        <v>30</v>
      </c>
      <c r="N557">
        <v>415.12</v>
      </c>
      <c r="O557">
        <v>0</v>
      </c>
      <c r="P5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57" t="str">
        <f>IF(Table1[[#This Row],[Fraud_Score]]&gt;=6, "High Risk",IF(Table1[[#This Row],[Fraud_Score]]&gt;=3, "Medium Risk", "Low Risk"))</f>
        <v>Low Risk</v>
      </c>
      <c r="R557">
        <f>IF(Table1[[#This Row],[Seconds of Use]]=0,0,Table1[[#This Row],[Customer Value]]/Table1[[#This Row],[Seconds of Use]]*100)</f>
        <v>10.671465295629821</v>
      </c>
    </row>
    <row r="558" spans="1:18" x14ac:dyDescent="0.35">
      <c r="A558" s="3" t="s">
        <v>579</v>
      </c>
      <c r="B558">
        <v>4</v>
      </c>
      <c r="C558">
        <v>0</v>
      </c>
      <c r="D558">
        <v>39</v>
      </c>
      <c r="E558">
        <v>1</v>
      </c>
      <c r="F558">
        <v>2475</v>
      </c>
      <c r="G558">
        <v>45</v>
      </c>
      <c r="H558">
        <v>317</v>
      </c>
      <c r="I558">
        <v>22</v>
      </c>
      <c r="J558">
        <v>4</v>
      </c>
      <c r="K558">
        <v>1</v>
      </c>
      <c r="L558">
        <v>1</v>
      </c>
      <c r="M558">
        <v>45</v>
      </c>
      <c r="N558">
        <v>855.5</v>
      </c>
      <c r="O558">
        <v>0</v>
      </c>
      <c r="P5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58" t="str">
        <f>IF(Table1[[#This Row],[Fraud_Score]]&gt;=6, "High Risk",IF(Table1[[#This Row],[Fraud_Score]]&gt;=3, "Medium Risk", "Low Risk"))</f>
        <v>Low Risk</v>
      </c>
      <c r="R558">
        <f>IF(Table1[[#This Row],[Seconds of Use]]=0,0,Table1[[#This Row],[Customer Value]]/Table1[[#This Row],[Seconds of Use]]*100)</f>
        <v>34.565656565656568</v>
      </c>
    </row>
    <row r="559" spans="1:18" x14ac:dyDescent="0.35">
      <c r="A559" s="3" t="s">
        <v>580</v>
      </c>
      <c r="B559">
        <v>13</v>
      </c>
      <c r="C559">
        <v>0</v>
      </c>
      <c r="D559">
        <v>38</v>
      </c>
      <c r="E559">
        <v>3</v>
      </c>
      <c r="F559">
        <v>9230</v>
      </c>
      <c r="G559">
        <v>127</v>
      </c>
      <c r="H559">
        <v>176</v>
      </c>
      <c r="I559">
        <v>47</v>
      </c>
      <c r="J559">
        <v>3</v>
      </c>
      <c r="K559">
        <v>1</v>
      </c>
      <c r="L559">
        <v>1</v>
      </c>
      <c r="M559">
        <v>30</v>
      </c>
      <c r="N559">
        <v>1078.28</v>
      </c>
      <c r="O559">
        <v>0</v>
      </c>
      <c r="P5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59" t="str">
        <f>IF(Table1[[#This Row],[Fraud_Score]]&gt;=6, "High Risk",IF(Table1[[#This Row],[Fraud_Score]]&gt;=3, "Medium Risk", "Low Risk"))</f>
        <v>Low Risk</v>
      </c>
      <c r="R559">
        <f>IF(Table1[[#This Row],[Seconds of Use]]=0,0,Table1[[#This Row],[Customer Value]]/Table1[[#This Row],[Seconds of Use]]*100)</f>
        <v>11.682340195016252</v>
      </c>
    </row>
    <row r="560" spans="1:18" x14ac:dyDescent="0.35">
      <c r="A560" s="3" t="s">
        <v>581</v>
      </c>
      <c r="B560">
        <v>7</v>
      </c>
      <c r="C560">
        <v>0</v>
      </c>
      <c r="D560">
        <v>39</v>
      </c>
      <c r="E560">
        <v>1</v>
      </c>
      <c r="F560">
        <v>13888</v>
      </c>
      <c r="G560">
        <v>175</v>
      </c>
      <c r="H560">
        <v>32</v>
      </c>
      <c r="I560">
        <v>48</v>
      </c>
      <c r="J560">
        <v>3</v>
      </c>
      <c r="K560">
        <v>1</v>
      </c>
      <c r="L560">
        <v>1</v>
      </c>
      <c r="M560">
        <v>30</v>
      </c>
      <c r="N560">
        <v>690.52</v>
      </c>
      <c r="O560">
        <v>0</v>
      </c>
      <c r="P5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60" t="str">
        <f>IF(Table1[[#This Row],[Fraud_Score]]&gt;=6, "High Risk",IF(Table1[[#This Row],[Fraud_Score]]&gt;=3, "Medium Risk", "Low Risk"))</f>
        <v>Medium Risk</v>
      </c>
      <c r="R560">
        <f>IF(Table1[[#This Row],[Seconds of Use]]=0,0,Table1[[#This Row],[Customer Value]]/Table1[[#This Row],[Seconds of Use]]*100)</f>
        <v>4.9720622119815667</v>
      </c>
    </row>
    <row r="561" spans="1:18" x14ac:dyDescent="0.35">
      <c r="A561" s="3" t="s">
        <v>582</v>
      </c>
      <c r="B561">
        <v>7</v>
      </c>
      <c r="C561">
        <v>0</v>
      </c>
      <c r="D561">
        <v>39</v>
      </c>
      <c r="E561">
        <v>2</v>
      </c>
      <c r="F561">
        <v>4630</v>
      </c>
      <c r="G561">
        <v>89</v>
      </c>
      <c r="H561">
        <v>34</v>
      </c>
      <c r="I561">
        <v>29</v>
      </c>
      <c r="J561">
        <v>3</v>
      </c>
      <c r="K561">
        <v>1</v>
      </c>
      <c r="L561">
        <v>1</v>
      </c>
      <c r="M561">
        <v>30</v>
      </c>
      <c r="N561">
        <v>324.76</v>
      </c>
      <c r="O561">
        <v>0</v>
      </c>
      <c r="P5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61" t="str">
        <f>IF(Table1[[#This Row],[Fraud_Score]]&gt;=6, "High Risk",IF(Table1[[#This Row],[Fraud_Score]]&gt;=3, "Medium Risk", "Low Risk"))</f>
        <v>Low Risk</v>
      </c>
      <c r="R561">
        <f>IF(Table1[[#This Row],[Seconds of Use]]=0,0,Table1[[#This Row],[Customer Value]]/Table1[[#This Row],[Seconds of Use]]*100)</f>
        <v>7.0142548596112313</v>
      </c>
    </row>
    <row r="562" spans="1:18" x14ac:dyDescent="0.35">
      <c r="A562" s="3" t="s">
        <v>583</v>
      </c>
      <c r="B562">
        <v>6</v>
      </c>
      <c r="C562">
        <v>0</v>
      </c>
      <c r="D562">
        <v>39</v>
      </c>
      <c r="E562">
        <v>1</v>
      </c>
      <c r="F562">
        <v>6033</v>
      </c>
      <c r="G562">
        <v>101</v>
      </c>
      <c r="H562">
        <v>39</v>
      </c>
      <c r="I562">
        <v>16</v>
      </c>
      <c r="J562">
        <v>3</v>
      </c>
      <c r="K562">
        <v>1</v>
      </c>
      <c r="L562">
        <v>1</v>
      </c>
      <c r="M562">
        <v>30</v>
      </c>
      <c r="N562">
        <v>401.36</v>
      </c>
      <c r="O562">
        <v>0</v>
      </c>
      <c r="P5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62" t="str">
        <f>IF(Table1[[#This Row],[Fraud_Score]]&gt;=6, "High Risk",IF(Table1[[#This Row],[Fraud_Score]]&gt;=3, "Medium Risk", "Low Risk"))</f>
        <v>Low Risk</v>
      </c>
      <c r="R562">
        <f>IF(Table1[[#This Row],[Seconds of Use]]=0,0,Table1[[#This Row],[Customer Value]]/Table1[[#This Row],[Seconds of Use]]*100)</f>
        <v>6.652743245483177</v>
      </c>
    </row>
    <row r="563" spans="1:18" x14ac:dyDescent="0.35">
      <c r="A563" s="3" t="s">
        <v>584</v>
      </c>
      <c r="B563">
        <v>9</v>
      </c>
      <c r="C563">
        <v>1</v>
      </c>
      <c r="D563">
        <v>39</v>
      </c>
      <c r="E563">
        <v>0</v>
      </c>
      <c r="F563">
        <v>2353</v>
      </c>
      <c r="G563">
        <v>60</v>
      </c>
      <c r="H563">
        <v>40</v>
      </c>
      <c r="I563">
        <v>21</v>
      </c>
      <c r="J563">
        <v>3</v>
      </c>
      <c r="K563">
        <v>1</v>
      </c>
      <c r="L563">
        <v>2</v>
      </c>
      <c r="M563">
        <v>30</v>
      </c>
      <c r="N563">
        <v>256.52</v>
      </c>
      <c r="O563">
        <v>0</v>
      </c>
      <c r="P5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63" t="str">
        <f>IF(Table1[[#This Row],[Fraud_Score]]&gt;=6, "High Risk",IF(Table1[[#This Row],[Fraud_Score]]&gt;=3, "Medium Risk", "Low Risk"))</f>
        <v>Medium Risk</v>
      </c>
      <c r="R563">
        <f>IF(Table1[[#This Row],[Seconds of Use]]=0,0,Table1[[#This Row],[Customer Value]]/Table1[[#This Row],[Seconds of Use]]*100)</f>
        <v>10.901827454313642</v>
      </c>
    </row>
    <row r="564" spans="1:18" x14ac:dyDescent="0.35">
      <c r="A564" s="3" t="s">
        <v>585</v>
      </c>
      <c r="B564">
        <v>25</v>
      </c>
      <c r="C564">
        <v>0</v>
      </c>
      <c r="D564">
        <v>39</v>
      </c>
      <c r="E564">
        <v>4</v>
      </c>
      <c r="F564">
        <v>15255</v>
      </c>
      <c r="G564">
        <v>231</v>
      </c>
      <c r="H564">
        <v>86</v>
      </c>
      <c r="I564">
        <v>36</v>
      </c>
      <c r="J564">
        <v>3</v>
      </c>
      <c r="K564">
        <v>1</v>
      </c>
      <c r="L564">
        <v>1</v>
      </c>
      <c r="M564">
        <v>30</v>
      </c>
      <c r="N564">
        <v>963.44</v>
      </c>
      <c r="O564">
        <v>0</v>
      </c>
      <c r="P5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564" t="str">
        <f>IF(Table1[[#This Row],[Fraud_Score]]&gt;=6, "High Risk",IF(Table1[[#This Row],[Fraud_Score]]&gt;=3, "Medium Risk", "Low Risk"))</f>
        <v>Medium Risk</v>
      </c>
      <c r="R564">
        <f>IF(Table1[[#This Row],[Seconds of Use]]=0,0,Table1[[#This Row],[Customer Value]]/Table1[[#This Row],[Seconds of Use]]*100)</f>
        <v>6.3155686660111439</v>
      </c>
    </row>
    <row r="565" spans="1:18" x14ac:dyDescent="0.35">
      <c r="A565" s="3" t="s">
        <v>586</v>
      </c>
      <c r="B565">
        <v>4</v>
      </c>
      <c r="C565">
        <v>0</v>
      </c>
      <c r="D565">
        <v>39</v>
      </c>
      <c r="E565">
        <v>2</v>
      </c>
      <c r="F565">
        <v>3210</v>
      </c>
      <c r="G565">
        <v>33</v>
      </c>
      <c r="H565">
        <v>515</v>
      </c>
      <c r="I565">
        <v>12</v>
      </c>
      <c r="J565">
        <v>4</v>
      </c>
      <c r="K565">
        <v>1</v>
      </c>
      <c r="L565">
        <v>1</v>
      </c>
      <c r="M565">
        <v>45</v>
      </c>
      <c r="N565">
        <v>1368.575</v>
      </c>
      <c r="O565">
        <v>0</v>
      </c>
      <c r="P5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65" t="str">
        <f>IF(Table1[[#This Row],[Fraud_Score]]&gt;=6, "High Risk",IF(Table1[[#This Row],[Fraud_Score]]&gt;=3, "Medium Risk", "Low Risk"))</f>
        <v>Low Risk</v>
      </c>
      <c r="R565">
        <f>IF(Table1[[#This Row],[Seconds of Use]]=0,0,Table1[[#This Row],[Customer Value]]/Table1[[#This Row],[Seconds of Use]]*100)</f>
        <v>42.634735202492216</v>
      </c>
    </row>
    <row r="566" spans="1:18" x14ac:dyDescent="0.35">
      <c r="A566" s="3" t="s">
        <v>587</v>
      </c>
      <c r="B566">
        <v>9</v>
      </c>
      <c r="C566">
        <v>0</v>
      </c>
      <c r="D566">
        <v>38</v>
      </c>
      <c r="E566">
        <v>1</v>
      </c>
      <c r="F566">
        <v>15600</v>
      </c>
      <c r="G566">
        <v>188</v>
      </c>
      <c r="H566">
        <v>182</v>
      </c>
      <c r="I566">
        <v>34</v>
      </c>
      <c r="J566">
        <v>2</v>
      </c>
      <c r="K566">
        <v>1</v>
      </c>
      <c r="L566">
        <v>1</v>
      </c>
      <c r="M566">
        <v>25</v>
      </c>
      <c r="N566">
        <v>1529.46</v>
      </c>
      <c r="O566">
        <v>0</v>
      </c>
      <c r="P5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66" t="str">
        <f>IF(Table1[[#This Row],[Fraud_Score]]&gt;=6, "High Risk",IF(Table1[[#This Row],[Fraud_Score]]&gt;=3, "Medium Risk", "Low Risk"))</f>
        <v>Low Risk</v>
      </c>
      <c r="R566">
        <f>IF(Table1[[#This Row],[Seconds of Use]]=0,0,Table1[[#This Row],[Customer Value]]/Table1[[#This Row],[Seconds of Use]]*100)</f>
        <v>9.8042307692307684</v>
      </c>
    </row>
    <row r="567" spans="1:18" x14ac:dyDescent="0.35">
      <c r="A567" s="3" t="s">
        <v>588</v>
      </c>
      <c r="B567">
        <v>3</v>
      </c>
      <c r="C567">
        <v>0</v>
      </c>
      <c r="D567">
        <v>38</v>
      </c>
      <c r="E567">
        <v>2</v>
      </c>
      <c r="F567">
        <v>6615</v>
      </c>
      <c r="G567">
        <v>92</v>
      </c>
      <c r="H567">
        <v>218</v>
      </c>
      <c r="I567">
        <v>30</v>
      </c>
      <c r="J567">
        <v>3</v>
      </c>
      <c r="K567">
        <v>1</v>
      </c>
      <c r="L567">
        <v>1</v>
      </c>
      <c r="M567">
        <v>30</v>
      </c>
      <c r="N567">
        <v>1140.28</v>
      </c>
      <c r="O567">
        <v>0</v>
      </c>
      <c r="P5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67" t="str">
        <f>IF(Table1[[#This Row],[Fraud_Score]]&gt;=6, "High Risk",IF(Table1[[#This Row],[Fraud_Score]]&gt;=3, "Medium Risk", "Low Risk"))</f>
        <v>Low Risk</v>
      </c>
      <c r="R567">
        <f>IF(Table1[[#This Row],[Seconds of Use]]=0,0,Table1[[#This Row],[Customer Value]]/Table1[[#This Row],[Seconds of Use]]*100)</f>
        <v>17.237792894935751</v>
      </c>
    </row>
    <row r="568" spans="1:18" x14ac:dyDescent="0.35">
      <c r="A568" s="3" t="s">
        <v>589</v>
      </c>
      <c r="B568">
        <v>0</v>
      </c>
      <c r="C568">
        <v>0</v>
      </c>
      <c r="D568">
        <v>38</v>
      </c>
      <c r="E568">
        <v>0</v>
      </c>
      <c r="F568">
        <v>990</v>
      </c>
      <c r="G568">
        <v>20</v>
      </c>
      <c r="H568">
        <v>32</v>
      </c>
      <c r="I568">
        <v>15</v>
      </c>
      <c r="J568">
        <v>2</v>
      </c>
      <c r="K568">
        <v>1</v>
      </c>
      <c r="L568">
        <v>2</v>
      </c>
      <c r="M568">
        <v>25</v>
      </c>
      <c r="N568">
        <v>189.45</v>
      </c>
      <c r="O568">
        <v>0</v>
      </c>
      <c r="P5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68" t="str">
        <f>IF(Table1[[#This Row],[Fraud_Score]]&gt;=6, "High Risk",IF(Table1[[#This Row],[Fraud_Score]]&gt;=3, "Medium Risk", "Low Risk"))</f>
        <v>Low Risk</v>
      </c>
      <c r="R568">
        <f>IF(Table1[[#This Row],[Seconds of Use]]=0,0,Table1[[#This Row],[Customer Value]]/Table1[[#This Row],[Seconds of Use]]*100)</f>
        <v>19.136363636363633</v>
      </c>
    </row>
    <row r="569" spans="1:18" x14ac:dyDescent="0.35">
      <c r="A569" s="3" t="s">
        <v>590</v>
      </c>
      <c r="B569">
        <v>2</v>
      </c>
      <c r="C569">
        <v>0</v>
      </c>
      <c r="D569">
        <v>39</v>
      </c>
      <c r="E569">
        <v>0</v>
      </c>
      <c r="F569">
        <v>825</v>
      </c>
      <c r="G569">
        <v>20</v>
      </c>
      <c r="H569">
        <v>45</v>
      </c>
      <c r="I569">
        <v>12</v>
      </c>
      <c r="J569">
        <v>3</v>
      </c>
      <c r="K569">
        <v>1</v>
      </c>
      <c r="L569">
        <v>2</v>
      </c>
      <c r="M569">
        <v>30</v>
      </c>
      <c r="N569">
        <v>213.8</v>
      </c>
      <c r="O569">
        <v>0</v>
      </c>
      <c r="P5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69" t="str">
        <f>IF(Table1[[#This Row],[Fraud_Score]]&gt;=6, "High Risk",IF(Table1[[#This Row],[Fraud_Score]]&gt;=3, "Medium Risk", "Low Risk"))</f>
        <v>Low Risk</v>
      </c>
      <c r="R569">
        <f>IF(Table1[[#This Row],[Seconds of Use]]=0,0,Table1[[#This Row],[Customer Value]]/Table1[[#This Row],[Seconds of Use]]*100)</f>
        <v>25.915151515151518</v>
      </c>
    </row>
    <row r="570" spans="1:18" x14ac:dyDescent="0.35">
      <c r="A570" s="3" t="s">
        <v>591</v>
      </c>
      <c r="B570">
        <v>0</v>
      </c>
      <c r="C570">
        <v>0</v>
      </c>
      <c r="D570">
        <v>38</v>
      </c>
      <c r="E570">
        <v>0</v>
      </c>
      <c r="F570">
        <v>115</v>
      </c>
      <c r="G570">
        <v>6</v>
      </c>
      <c r="H570">
        <v>32</v>
      </c>
      <c r="I570">
        <v>4</v>
      </c>
      <c r="J570">
        <v>2</v>
      </c>
      <c r="K570">
        <v>1</v>
      </c>
      <c r="L570">
        <v>2</v>
      </c>
      <c r="M570">
        <v>25</v>
      </c>
      <c r="N570">
        <v>149.44499999999999</v>
      </c>
      <c r="O570">
        <v>1</v>
      </c>
      <c r="P5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70" t="str">
        <f>IF(Table1[[#This Row],[Fraud_Score]]&gt;=6, "High Risk",IF(Table1[[#This Row],[Fraud_Score]]&gt;=3, "Medium Risk", "Low Risk"))</f>
        <v>Low Risk</v>
      </c>
      <c r="R570">
        <f>IF(Table1[[#This Row],[Seconds of Use]]=0,0,Table1[[#This Row],[Customer Value]]/Table1[[#This Row],[Seconds of Use]]*100)</f>
        <v>129.95217391304348</v>
      </c>
    </row>
    <row r="571" spans="1:18" x14ac:dyDescent="0.35">
      <c r="A571" s="3" t="s">
        <v>592</v>
      </c>
      <c r="B571">
        <v>3</v>
      </c>
      <c r="C571">
        <v>0</v>
      </c>
      <c r="D571">
        <v>38</v>
      </c>
      <c r="E571">
        <v>1</v>
      </c>
      <c r="F571">
        <v>7623</v>
      </c>
      <c r="G571">
        <v>133</v>
      </c>
      <c r="H571">
        <v>416</v>
      </c>
      <c r="I571">
        <v>47</v>
      </c>
      <c r="J571">
        <v>3</v>
      </c>
      <c r="K571">
        <v>1</v>
      </c>
      <c r="L571">
        <v>1</v>
      </c>
      <c r="M571">
        <v>30</v>
      </c>
      <c r="N571">
        <v>1974.24</v>
      </c>
      <c r="O571">
        <v>0</v>
      </c>
      <c r="P5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71" t="str">
        <f>IF(Table1[[#This Row],[Fraud_Score]]&gt;=6, "High Risk",IF(Table1[[#This Row],[Fraud_Score]]&gt;=3, "Medium Risk", "Low Risk"))</f>
        <v>Low Risk</v>
      </c>
      <c r="R571">
        <f>IF(Table1[[#This Row],[Seconds of Use]]=0,0,Table1[[#This Row],[Customer Value]]/Table1[[#This Row],[Seconds of Use]]*100)</f>
        <v>25.898465171192441</v>
      </c>
    </row>
    <row r="572" spans="1:18" x14ac:dyDescent="0.35">
      <c r="A572" s="3" t="s">
        <v>593</v>
      </c>
      <c r="B572">
        <v>7</v>
      </c>
      <c r="C572">
        <v>0</v>
      </c>
      <c r="D572">
        <v>38</v>
      </c>
      <c r="E572">
        <v>2</v>
      </c>
      <c r="F572">
        <v>11580</v>
      </c>
      <c r="G572">
        <v>160</v>
      </c>
      <c r="H572">
        <v>43</v>
      </c>
      <c r="I572">
        <v>51</v>
      </c>
      <c r="J572">
        <v>4</v>
      </c>
      <c r="K572">
        <v>1</v>
      </c>
      <c r="L572">
        <v>1</v>
      </c>
      <c r="M572">
        <v>45</v>
      </c>
      <c r="N572">
        <v>401</v>
      </c>
      <c r="O572">
        <v>0</v>
      </c>
      <c r="P5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72" t="str">
        <f>IF(Table1[[#This Row],[Fraud_Score]]&gt;=6, "High Risk",IF(Table1[[#This Row],[Fraud_Score]]&gt;=3, "Medium Risk", "Low Risk"))</f>
        <v>Medium Risk</v>
      </c>
      <c r="R572">
        <f>IF(Table1[[#This Row],[Seconds of Use]]=0,0,Table1[[#This Row],[Customer Value]]/Table1[[#This Row],[Seconds of Use]]*100)</f>
        <v>3.4628670120898097</v>
      </c>
    </row>
    <row r="573" spans="1:18" x14ac:dyDescent="0.35">
      <c r="A573" s="3" t="s">
        <v>594</v>
      </c>
      <c r="B573">
        <v>8</v>
      </c>
      <c r="C573">
        <v>0</v>
      </c>
      <c r="D573">
        <v>38</v>
      </c>
      <c r="E573">
        <v>2</v>
      </c>
      <c r="F573">
        <v>6833</v>
      </c>
      <c r="G573">
        <v>81</v>
      </c>
      <c r="H573">
        <v>140</v>
      </c>
      <c r="I573">
        <v>41</v>
      </c>
      <c r="J573">
        <v>2</v>
      </c>
      <c r="K573">
        <v>1</v>
      </c>
      <c r="L573">
        <v>1</v>
      </c>
      <c r="M573">
        <v>25</v>
      </c>
      <c r="N573">
        <v>941.13</v>
      </c>
      <c r="O573">
        <v>0</v>
      </c>
      <c r="P5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73" t="str">
        <f>IF(Table1[[#This Row],[Fraud_Score]]&gt;=6, "High Risk",IF(Table1[[#This Row],[Fraud_Score]]&gt;=3, "Medium Risk", "Low Risk"))</f>
        <v>Low Risk</v>
      </c>
      <c r="R573">
        <f>IF(Table1[[#This Row],[Seconds of Use]]=0,0,Table1[[#This Row],[Customer Value]]/Table1[[#This Row],[Seconds of Use]]*100)</f>
        <v>13.773306014927558</v>
      </c>
    </row>
    <row r="574" spans="1:18" x14ac:dyDescent="0.35">
      <c r="A574" s="3" t="s">
        <v>595</v>
      </c>
      <c r="B574">
        <v>23</v>
      </c>
      <c r="C574">
        <v>1</v>
      </c>
      <c r="D574">
        <v>34</v>
      </c>
      <c r="E574">
        <v>0</v>
      </c>
      <c r="F574">
        <v>1070</v>
      </c>
      <c r="G574">
        <v>53</v>
      </c>
      <c r="H574">
        <v>48</v>
      </c>
      <c r="I574">
        <v>21</v>
      </c>
      <c r="J574">
        <v>3</v>
      </c>
      <c r="K574">
        <v>1</v>
      </c>
      <c r="L574">
        <v>2</v>
      </c>
      <c r="M574">
        <v>30</v>
      </c>
      <c r="N574">
        <v>236.92</v>
      </c>
      <c r="O574">
        <v>1</v>
      </c>
      <c r="P5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574" t="str">
        <f>IF(Table1[[#This Row],[Fraud_Score]]&gt;=6, "High Risk",IF(Table1[[#This Row],[Fraud_Score]]&gt;=3, "Medium Risk", "Low Risk"))</f>
        <v>Medium Risk</v>
      </c>
      <c r="R574">
        <f>IF(Table1[[#This Row],[Seconds of Use]]=0,0,Table1[[#This Row],[Customer Value]]/Table1[[#This Row],[Seconds of Use]]*100)</f>
        <v>22.142056074766352</v>
      </c>
    </row>
    <row r="575" spans="1:18" x14ac:dyDescent="0.35">
      <c r="A575" s="3" t="s">
        <v>596</v>
      </c>
      <c r="B575">
        <v>21</v>
      </c>
      <c r="C575">
        <v>0</v>
      </c>
      <c r="D575">
        <v>37</v>
      </c>
      <c r="E575">
        <v>9</v>
      </c>
      <c r="F575">
        <v>10550</v>
      </c>
      <c r="G575">
        <v>99</v>
      </c>
      <c r="H575">
        <v>33</v>
      </c>
      <c r="I575">
        <v>46</v>
      </c>
      <c r="J575">
        <v>5</v>
      </c>
      <c r="K575">
        <v>1</v>
      </c>
      <c r="L575">
        <v>1</v>
      </c>
      <c r="M575">
        <v>55</v>
      </c>
      <c r="N575">
        <v>209.23500000000001</v>
      </c>
      <c r="O575">
        <v>0</v>
      </c>
      <c r="P5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75" t="str">
        <f>IF(Table1[[#This Row],[Fraud_Score]]&gt;=6, "High Risk",IF(Table1[[#This Row],[Fraud_Score]]&gt;=3, "Medium Risk", "Low Risk"))</f>
        <v>Low Risk</v>
      </c>
      <c r="R575">
        <f>IF(Table1[[#This Row],[Seconds of Use]]=0,0,Table1[[#This Row],[Customer Value]]/Table1[[#This Row],[Seconds of Use]]*100)</f>
        <v>1.9832701421800949</v>
      </c>
    </row>
    <row r="576" spans="1:18" x14ac:dyDescent="0.35">
      <c r="A576" s="3" t="s">
        <v>597</v>
      </c>
      <c r="B576">
        <v>13</v>
      </c>
      <c r="C576">
        <v>0</v>
      </c>
      <c r="D576">
        <v>37</v>
      </c>
      <c r="E576">
        <v>2</v>
      </c>
      <c r="F576">
        <v>5933</v>
      </c>
      <c r="G576">
        <v>104</v>
      </c>
      <c r="H576">
        <v>58</v>
      </c>
      <c r="I576">
        <v>28</v>
      </c>
      <c r="J576">
        <v>3</v>
      </c>
      <c r="K576">
        <v>1</v>
      </c>
      <c r="L576">
        <v>1</v>
      </c>
      <c r="M576">
        <v>30</v>
      </c>
      <c r="N576">
        <v>473.48</v>
      </c>
      <c r="O576">
        <v>0</v>
      </c>
      <c r="P5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576" t="str">
        <f>IF(Table1[[#This Row],[Fraud_Score]]&gt;=6, "High Risk",IF(Table1[[#This Row],[Fraud_Score]]&gt;=3, "Medium Risk", "Low Risk"))</f>
        <v>Low Risk</v>
      </c>
      <c r="R576">
        <f>IF(Table1[[#This Row],[Seconds of Use]]=0,0,Table1[[#This Row],[Customer Value]]/Table1[[#This Row],[Seconds of Use]]*100)</f>
        <v>7.9804483397943704</v>
      </c>
    </row>
    <row r="577" spans="1:18" x14ac:dyDescent="0.35">
      <c r="A577" s="3" t="s">
        <v>598</v>
      </c>
      <c r="B577">
        <v>1</v>
      </c>
      <c r="C577">
        <v>0</v>
      </c>
      <c r="D577">
        <v>35</v>
      </c>
      <c r="E577">
        <v>1</v>
      </c>
      <c r="F577">
        <v>2955</v>
      </c>
      <c r="G577">
        <v>28</v>
      </c>
      <c r="H577">
        <v>32</v>
      </c>
      <c r="I577">
        <v>18</v>
      </c>
      <c r="J577">
        <v>3</v>
      </c>
      <c r="K577">
        <v>1</v>
      </c>
      <c r="L577">
        <v>1</v>
      </c>
      <c r="M577">
        <v>30</v>
      </c>
      <c r="N577">
        <v>247.32</v>
      </c>
      <c r="O577">
        <v>0</v>
      </c>
      <c r="P5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77" t="str">
        <f>IF(Table1[[#This Row],[Fraud_Score]]&gt;=6, "High Risk",IF(Table1[[#This Row],[Fraud_Score]]&gt;=3, "Medium Risk", "Low Risk"))</f>
        <v>Low Risk</v>
      </c>
      <c r="R577">
        <f>IF(Table1[[#This Row],[Seconds of Use]]=0,0,Table1[[#This Row],[Customer Value]]/Table1[[#This Row],[Seconds of Use]]*100)</f>
        <v>8.3695431472081214</v>
      </c>
    </row>
    <row r="578" spans="1:18" x14ac:dyDescent="0.35">
      <c r="A578" s="3" t="s">
        <v>599</v>
      </c>
      <c r="B578">
        <v>9</v>
      </c>
      <c r="C578">
        <v>1</v>
      </c>
      <c r="D578">
        <v>36</v>
      </c>
      <c r="E578">
        <v>0</v>
      </c>
      <c r="F578">
        <v>3105</v>
      </c>
      <c r="G578">
        <v>47</v>
      </c>
      <c r="H578">
        <v>41</v>
      </c>
      <c r="I578">
        <v>20</v>
      </c>
      <c r="J578">
        <v>3</v>
      </c>
      <c r="K578">
        <v>1</v>
      </c>
      <c r="L578">
        <v>2</v>
      </c>
      <c r="M578">
        <v>30</v>
      </c>
      <c r="N578">
        <v>290.08</v>
      </c>
      <c r="O578">
        <v>1</v>
      </c>
      <c r="P5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78" t="str">
        <f>IF(Table1[[#This Row],[Fraud_Score]]&gt;=6, "High Risk",IF(Table1[[#This Row],[Fraud_Score]]&gt;=3, "Medium Risk", "Low Risk"))</f>
        <v>Medium Risk</v>
      </c>
      <c r="R578">
        <f>IF(Table1[[#This Row],[Seconds of Use]]=0,0,Table1[[#This Row],[Customer Value]]/Table1[[#This Row],[Seconds of Use]]*100)</f>
        <v>9.3423510466988731</v>
      </c>
    </row>
    <row r="579" spans="1:18" x14ac:dyDescent="0.35">
      <c r="A579" s="3" t="s">
        <v>600</v>
      </c>
      <c r="B579">
        <v>9</v>
      </c>
      <c r="C579">
        <v>0</v>
      </c>
      <c r="D579">
        <v>37</v>
      </c>
      <c r="E579">
        <v>0</v>
      </c>
      <c r="F579">
        <v>2383</v>
      </c>
      <c r="G579">
        <v>50</v>
      </c>
      <c r="H579">
        <v>66</v>
      </c>
      <c r="I579">
        <v>35</v>
      </c>
      <c r="J579">
        <v>4</v>
      </c>
      <c r="K579">
        <v>1</v>
      </c>
      <c r="L579">
        <v>2</v>
      </c>
      <c r="M579">
        <v>45</v>
      </c>
      <c r="N579">
        <v>225.82499999999999</v>
      </c>
      <c r="O579">
        <v>1</v>
      </c>
      <c r="P5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79" t="str">
        <f>IF(Table1[[#This Row],[Fraud_Score]]&gt;=6, "High Risk",IF(Table1[[#This Row],[Fraud_Score]]&gt;=3, "Medium Risk", "Low Risk"))</f>
        <v>Low Risk</v>
      </c>
      <c r="R579">
        <f>IF(Table1[[#This Row],[Seconds of Use]]=0,0,Table1[[#This Row],[Customer Value]]/Table1[[#This Row],[Seconds of Use]]*100)</f>
        <v>9.4765002098195552</v>
      </c>
    </row>
    <row r="580" spans="1:18" x14ac:dyDescent="0.35">
      <c r="A580" s="3" t="s">
        <v>601</v>
      </c>
      <c r="B580">
        <v>0</v>
      </c>
      <c r="C580">
        <v>0</v>
      </c>
      <c r="D580">
        <v>37</v>
      </c>
      <c r="E580">
        <v>0</v>
      </c>
      <c r="F580">
        <v>248</v>
      </c>
      <c r="G580">
        <v>8</v>
      </c>
      <c r="H580">
        <v>32</v>
      </c>
      <c r="I580">
        <v>6</v>
      </c>
      <c r="J580">
        <v>3</v>
      </c>
      <c r="K580">
        <v>1</v>
      </c>
      <c r="L580">
        <v>2</v>
      </c>
      <c r="M580">
        <v>30</v>
      </c>
      <c r="N580">
        <v>138.24</v>
      </c>
      <c r="O580">
        <v>1</v>
      </c>
      <c r="P5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80" t="str">
        <f>IF(Table1[[#This Row],[Fraud_Score]]&gt;=6, "High Risk",IF(Table1[[#This Row],[Fraud_Score]]&gt;=3, "Medium Risk", "Low Risk"))</f>
        <v>Low Risk</v>
      </c>
      <c r="R580">
        <f>IF(Table1[[#This Row],[Seconds of Use]]=0,0,Table1[[#This Row],[Customer Value]]/Table1[[#This Row],[Seconds of Use]]*100)</f>
        <v>55.741935483870975</v>
      </c>
    </row>
    <row r="581" spans="1:18" x14ac:dyDescent="0.35">
      <c r="A581" s="3" t="s">
        <v>602</v>
      </c>
      <c r="B581">
        <v>1</v>
      </c>
      <c r="C581">
        <v>0</v>
      </c>
      <c r="D581">
        <v>37</v>
      </c>
      <c r="E581">
        <v>1</v>
      </c>
      <c r="F581">
        <v>1783</v>
      </c>
      <c r="G581">
        <v>31</v>
      </c>
      <c r="H581">
        <v>32</v>
      </c>
      <c r="I581">
        <v>10</v>
      </c>
      <c r="J581">
        <v>4</v>
      </c>
      <c r="K581">
        <v>1</v>
      </c>
      <c r="L581">
        <v>1</v>
      </c>
      <c r="M581">
        <v>45</v>
      </c>
      <c r="N581">
        <v>125.35</v>
      </c>
      <c r="O581">
        <v>0</v>
      </c>
      <c r="P5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81" t="str">
        <f>IF(Table1[[#This Row],[Fraud_Score]]&gt;=6, "High Risk",IF(Table1[[#This Row],[Fraud_Score]]&gt;=3, "Medium Risk", "Low Risk"))</f>
        <v>Low Risk</v>
      </c>
      <c r="R581">
        <f>IF(Table1[[#This Row],[Seconds of Use]]=0,0,Table1[[#This Row],[Customer Value]]/Table1[[#This Row],[Seconds of Use]]*100)</f>
        <v>7.0302860347728551</v>
      </c>
    </row>
    <row r="582" spans="1:18" x14ac:dyDescent="0.35">
      <c r="A582" s="3" t="s">
        <v>603</v>
      </c>
      <c r="B582">
        <v>3</v>
      </c>
      <c r="C582">
        <v>0</v>
      </c>
      <c r="D582">
        <v>34</v>
      </c>
      <c r="E582">
        <v>2</v>
      </c>
      <c r="F582">
        <v>6900</v>
      </c>
      <c r="G582">
        <v>103</v>
      </c>
      <c r="H582">
        <v>46</v>
      </c>
      <c r="I582">
        <v>26</v>
      </c>
      <c r="J582">
        <v>5</v>
      </c>
      <c r="K582">
        <v>1</v>
      </c>
      <c r="L582">
        <v>1</v>
      </c>
      <c r="M582">
        <v>55</v>
      </c>
      <c r="N582">
        <v>174.04499999999999</v>
      </c>
      <c r="O582">
        <v>0</v>
      </c>
      <c r="P5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82" t="str">
        <f>IF(Table1[[#This Row],[Fraud_Score]]&gt;=6, "High Risk",IF(Table1[[#This Row],[Fraud_Score]]&gt;=3, "Medium Risk", "Low Risk"))</f>
        <v>Low Risk</v>
      </c>
      <c r="R582">
        <f>IF(Table1[[#This Row],[Seconds of Use]]=0,0,Table1[[#This Row],[Customer Value]]/Table1[[#This Row],[Seconds of Use]]*100)</f>
        <v>2.5223913043478259</v>
      </c>
    </row>
    <row r="583" spans="1:18" x14ac:dyDescent="0.35">
      <c r="A583" s="3" t="s">
        <v>604</v>
      </c>
      <c r="B583">
        <v>0</v>
      </c>
      <c r="C583">
        <v>0</v>
      </c>
      <c r="D583">
        <v>37</v>
      </c>
      <c r="E583">
        <v>0</v>
      </c>
      <c r="F583">
        <v>743</v>
      </c>
      <c r="G583">
        <v>13</v>
      </c>
      <c r="H583">
        <v>41</v>
      </c>
      <c r="I583">
        <v>8</v>
      </c>
      <c r="J583">
        <v>4</v>
      </c>
      <c r="K583">
        <v>1</v>
      </c>
      <c r="L583">
        <v>2</v>
      </c>
      <c r="M583">
        <v>45</v>
      </c>
      <c r="N583">
        <v>121.4</v>
      </c>
      <c r="O583">
        <v>1</v>
      </c>
      <c r="P5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83" t="str">
        <f>IF(Table1[[#This Row],[Fraud_Score]]&gt;=6, "High Risk",IF(Table1[[#This Row],[Fraud_Score]]&gt;=3, "Medium Risk", "Low Risk"))</f>
        <v>Low Risk</v>
      </c>
      <c r="R583">
        <f>IF(Table1[[#This Row],[Seconds of Use]]=0,0,Table1[[#This Row],[Customer Value]]/Table1[[#This Row],[Seconds of Use]]*100)</f>
        <v>16.339165545087482</v>
      </c>
    </row>
    <row r="584" spans="1:18" x14ac:dyDescent="0.35">
      <c r="A584" s="3" t="s">
        <v>605</v>
      </c>
      <c r="B584">
        <v>0</v>
      </c>
      <c r="C584">
        <v>0</v>
      </c>
      <c r="D584">
        <v>37</v>
      </c>
      <c r="E584">
        <v>2</v>
      </c>
      <c r="F584">
        <v>453</v>
      </c>
      <c r="G584">
        <v>10</v>
      </c>
      <c r="H584">
        <v>36</v>
      </c>
      <c r="I584">
        <v>6</v>
      </c>
      <c r="J584">
        <v>5</v>
      </c>
      <c r="K584">
        <v>1</v>
      </c>
      <c r="L584">
        <v>1</v>
      </c>
      <c r="M584">
        <v>55</v>
      </c>
      <c r="N584">
        <v>60.945</v>
      </c>
      <c r="O584">
        <v>0</v>
      </c>
      <c r="P5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84" t="str">
        <f>IF(Table1[[#This Row],[Fraud_Score]]&gt;=6, "High Risk",IF(Table1[[#This Row],[Fraud_Score]]&gt;=3, "Medium Risk", "Low Risk"))</f>
        <v>Low Risk</v>
      </c>
      <c r="R584">
        <f>IF(Table1[[#This Row],[Seconds of Use]]=0,0,Table1[[#This Row],[Customer Value]]/Table1[[#This Row],[Seconds of Use]]*100)</f>
        <v>13.45364238410596</v>
      </c>
    </row>
    <row r="585" spans="1:18" x14ac:dyDescent="0.35">
      <c r="A585" s="3" t="s">
        <v>606</v>
      </c>
      <c r="B585">
        <v>25</v>
      </c>
      <c r="C585">
        <v>0</v>
      </c>
      <c r="D585">
        <v>32</v>
      </c>
      <c r="E585">
        <v>4</v>
      </c>
      <c r="F585">
        <v>16190</v>
      </c>
      <c r="G585">
        <v>244</v>
      </c>
      <c r="H585">
        <v>32</v>
      </c>
      <c r="I585">
        <v>84</v>
      </c>
      <c r="J585">
        <v>2</v>
      </c>
      <c r="K585">
        <v>2</v>
      </c>
      <c r="L585">
        <v>1</v>
      </c>
      <c r="M585">
        <v>25</v>
      </c>
      <c r="N585">
        <v>883.53</v>
      </c>
      <c r="O585">
        <v>0</v>
      </c>
      <c r="P5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585" t="str">
        <f>IF(Table1[[#This Row],[Fraud_Score]]&gt;=6, "High Risk",IF(Table1[[#This Row],[Fraud_Score]]&gt;=3, "Medium Risk", "Low Risk"))</f>
        <v>Medium Risk</v>
      </c>
      <c r="R585">
        <f>IF(Table1[[#This Row],[Seconds of Use]]=0,0,Table1[[#This Row],[Customer Value]]/Table1[[#This Row],[Seconds of Use]]*100)</f>
        <v>5.4572575663990115</v>
      </c>
    </row>
    <row r="586" spans="1:18" x14ac:dyDescent="0.35">
      <c r="A586" s="3" t="s">
        <v>607</v>
      </c>
      <c r="B586">
        <v>6</v>
      </c>
      <c r="C586">
        <v>0</v>
      </c>
      <c r="D586">
        <v>35</v>
      </c>
      <c r="E586">
        <v>4</v>
      </c>
      <c r="F586">
        <v>7080</v>
      </c>
      <c r="G586">
        <v>122</v>
      </c>
      <c r="H586">
        <v>303</v>
      </c>
      <c r="I586">
        <v>37</v>
      </c>
      <c r="J586">
        <v>3</v>
      </c>
      <c r="K586">
        <v>2</v>
      </c>
      <c r="L586">
        <v>1</v>
      </c>
      <c r="M586">
        <v>30</v>
      </c>
      <c r="N586">
        <v>1500.08</v>
      </c>
      <c r="O586">
        <v>0</v>
      </c>
      <c r="P5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86" t="str">
        <f>IF(Table1[[#This Row],[Fraud_Score]]&gt;=6, "High Risk",IF(Table1[[#This Row],[Fraud_Score]]&gt;=3, "Medium Risk", "Low Risk"))</f>
        <v>Low Risk</v>
      </c>
      <c r="R586">
        <f>IF(Table1[[#This Row],[Seconds of Use]]=0,0,Table1[[#This Row],[Customer Value]]/Table1[[#This Row],[Seconds of Use]]*100)</f>
        <v>21.187570621468925</v>
      </c>
    </row>
    <row r="587" spans="1:18" x14ac:dyDescent="0.35">
      <c r="A587" s="3" t="s">
        <v>608</v>
      </c>
      <c r="B587">
        <v>2</v>
      </c>
      <c r="C587">
        <v>0</v>
      </c>
      <c r="D587">
        <v>37</v>
      </c>
      <c r="E587">
        <v>1</v>
      </c>
      <c r="F587">
        <v>3833</v>
      </c>
      <c r="G587">
        <v>88</v>
      </c>
      <c r="H587">
        <v>34</v>
      </c>
      <c r="I587">
        <v>32</v>
      </c>
      <c r="J587">
        <v>3</v>
      </c>
      <c r="K587">
        <v>1</v>
      </c>
      <c r="L587">
        <v>1</v>
      </c>
      <c r="M587">
        <v>30</v>
      </c>
      <c r="N587">
        <v>292.83999999999997</v>
      </c>
      <c r="O587">
        <v>0</v>
      </c>
      <c r="P5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87" t="str">
        <f>IF(Table1[[#This Row],[Fraud_Score]]&gt;=6, "High Risk",IF(Table1[[#This Row],[Fraud_Score]]&gt;=3, "Medium Risk", "Low Risk"))</f>
        <v>Low Risk</v>
      </c>
      <c r="R587">
        <f>IF(Table1[[#This Row],[Seconds of Use]]=0,0,Table1[[#This Row],[Customer Value]]/Table1[[#This Row],[Seconds of Use]]*100)</f>
        <v>7.6399686929298189</v>
      </c>
    </row>
    <row r="588" spans="1:18" x14ac:dyDescent="0.35">
      <c r="A588" s="3" t="s">
        <v>609</v>
      </c>
      <c r="B588">
        <v>3</v>
      </c>
      <c r="C588">
        <v>0</v>
      </c>
      <c r="D588">
        <v>36</v>
      </c>
      <c r="E588">
        <v>0</v>
      </c>
      <c r="F588">
        <v>1780</v>
      </c>
      <c r="G588">
        <v>50</v>
      </c>
      <c r="H588">
        <v>70</v>
      </c>
      <c r="I588">
        <v>24</v>
      </c>
      <c r="J588">
        <v>4</v>
      </c>
      <c r="K588">
        <v>1</v>
      </c>
      <c r="L588">
        <v>2</v>
      </c>
      <c r="M588">
        <v>45</v>
      </c>
      <c r="N588">
        <v>220.75</v>
      </c>
      <c r="O588">
        <v>0</v>
      </c>
      <c r="P5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88" t="str">
        <f>IF(Table1[[#This Row],[Fraud_Score]]&gt;=6, "High Risk",IF(Table1[[#This Row],[Fraud_Score]]&gt;=3, "Medium Risk", "Low Risk"))</f>
        <v>Low Risk</v>
      </c>
      <c r="R588">
        <f>IF(Table1[[#This Row],[Seconds of Use]]=0,0,Table1[[#This Row],[Customer Value]]/Table1[[#This Row],[Seconds of Use]]*100)</f>
        <v>12.401685393258427</v>
      </c>
    </row>
    <row r="589" spans="1:18" x14ac:dyDescent="0.35">
      <c r="A589" s="3" t="s">
        <v>610</v>
      </c>
      <c r="B589">
        <v>6</v>
      </c>
      <c r="C589">
        <v>0</v>
      </c>
      <c r="D589">
        <v>37</v>
      </c>
      <c r="E589">
        <v>1</v>
      </c>
      <c r="F589">
        <v>2895</v>
      </c>
      <c r="G589">
        <v>59</v>
      </c>
      <c r="H589">
        <v>207</v>
      </c>
      <c r="I589">
        <v>27</v>
      </c>
      <c r="J589">
        <v>2</v>
      </c>
      <c r="K589">
        <v>1</v>
      </c>
      <c r="L589">
        <v>1</v>
      </c>
      <c r="M589">
        <v>25</v>
      </c>
      <c r="N589">
        <v>1064.43</v>
      </c>
      <c r="O589">
        <v>0</v>
      </c>
      <c r="P5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89" t="str">
        <f>IF(Table1[[#This Row],[Fraud_Score]]&gt;=6, "High Risk",IF(Table1[[#This Row],[Fraud_Score]]&gt;=3, "Medium Risk", "Low Risk"))</f>
        <v>Low Risk</v>
      </c>
      <c r="R589">
        <f>IF(Table1[[#This Row],[Seconds of Use]]=0,0,Table1[[#This Row],[Customer Value]]/Table1[[#This Row],[Seconds of Use]]*100)</f>
        <v>36.767875647668397</v>
      </c>
    </row>
    <row r="590" spans="1:18" x14ac:dyDescent="0.35">
      <c r="A590" s="3" t="s">
        <v>611</v>
      </c>
      <c r="B590">
        <v>4</v>
      </c>
      <c r="C590">
        <v>0</v>
      </c>
      <c r="D590">
        <v>28</v>
      </c>
      <c r="E590">
        <v>2</v>
      </c>
      <c r="F590">
        <v>1430</v>
      </c>
      <c r="G590">
        <v>42</v>
      </c>
      <c r="H590">
        <v>225</v>
      </c>
      <c r="I590">
        <v>15</v>
      </c>
      <c r="J590">
        <v>3</v>
      </c>
      <c r="K590">
        <v>2</v>
      </c>
      <c r="L590">
        <v>1</v>
      </c>
      <c r="M590">
        <v>30</v>
      </c>
      <c r="N590">
        <v>958.88</v>
      </c>
      <c r="O590">
        <v>0</v>
      </c>
      <c r="P5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90" t="str">
        <f>IF(Table1[[#This Row],[Fraud_Score]]&gt;=6, "High Risk",IF(Table1[[#This Row],[Fraud_Score]]&gt;=3, "Medium Risk", "Low Risk"))</f>
        <v>Low Risk</v>
      </c>
      <c r="R590">
        <f>IF(Table1[[#This Row],[Seconds of Use]]=0,0,Table1[[#This Row],[Customer Value]]/Table1[[#This Row],[Seconds of Use]]*100)</f>
        <v>67.054545454545462</v>
      </c>
    </row>
    <row r="591" spans="1:18" x14ac:dyDescent="0.35">
      <c r="A591" s="3" t="s">
        <v>612</v>
      </c>
      <c r="B591">
        <v>4</v>
      </c>
      <c r="C591">
        <v>0</v>
      </c>
      <c r="D591">
        <v>27</v>
      </c>
      <c r="E591">
        <v>1</v>
      </c>
      <c r="F591">
        <v>1683</v>
      </c>
      <c r="G591">
        <v>45</v>
      </c>
      <c r="H591">
        <v>62</v>
      </c>
      <c r="I591">
        <v>72</v>
      </c>
      <c r="J591">
        <v>5</v>
      </c>
      <c r="K591">
        <v>1</v>
      </c>
      <c r="L591">
        <v>1</v>
      </c>
      <c r="M591">
        <v>55</v>
      </c>
      <c r="N591">
        <v>118.92</v>
      </c>
      <c r="O591">
        <v>0</v>
      </c>
      <c r="P5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91" t="str">
        <f>IF(Table1[[#This Row],[Fraud_Score]]&gt;=6, "High Risk",IF(Table1[[#This Row],[Fraud_Score]]&gt;=3, "Medium Risk", "Low Risk"))</f>
        <v>Low Risk</v>
      </c>
      <c r="R591">
        <f>IF(Table1[[#This Row],[Seconds of Use]]=0,0,Table1[[#This Row],[Customer Value]]/Table1[[#This Row],[Seconds of Use]]*100)</f>
        <v>7.0659536541889487</v>
      </c>
    </row>
    <row r="592" spans="1:18" x14ac:dyDescent="0.35">
      <c r="A592" s="3" t="s">
        <v>613</v>
      </c>
      <c r="B592">
        <v>11</v>
      </c>
      <c r="C592">
        <v>0</v>
      </c>
      <c r="D592">
        <v>28</v>
      </c>
      <c r="E592">
        <v>0</v>
      </c>
      <c r="F592">
        <v>815</v>
      </c>
      <c r="G592">
        <v>31</v>
      </c>
      <c r="H592">
        <v>42</v>
      </c>
      <c r="I592">
        <v>11</v>
      </c>
      <c r="J592">
        <v>3</v>
      </c>
      <c r="K592">
        <v>1</v>
      </c>
      <c r="L592">
        <v>2</v>
      </c>
      <c r="M592">
        <v>30</v>
      </c>
      <c r="N592">
        <v>201.84</v>
      </c>
      <c r="O592">
        <v>0</v>
      </c>
      <c r="P5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592" t="str">
        <f>IF(Table1[[#This Row],[Fraud_Score]]&gt;=6, "High Risk",IF(Table1[[#This Row],[Fraud_Score]]&gt;=3, "Medium Risk", "Low Risk"))</f>
        <v>Medium Risk</v>
      </c>
      <c r="R592">
        <f>IF(Table1[[#This Row],[Seconds of Use]]=0,0,Table1[[#This Row],[Customer Value]]/Table1[[#This Row],[Seconds of Use]]*100)</f>
        <v>24.76564417177914</v>
      </c>
    </row>
    <row r="593" spans="1:18" x14ac:dyDescent="0.35">
      <c r="A593" s="3" t="s">
        <v>614</v>
      </c>
      <c r="B593">
        <v>0</v>
      </c>
      <c r="C593">
        <v>0</v>
      </c>
      <c r="D593">
        <v>27</v>
      </c>
      <c r="E593">
        <v>0</v>
      </c>
      <c r="F593">
        <v>940</v>
      </c>
      <c r="G593">
        <v>16</v>
      </c>
      <c r="H593">
        <v>53</v>
      </c>
      <c r="I593">
        <v>7</v>
      </c>
      <c r="J593">
        <v>4</v>
      </c>
      <c r="K593">
        <v>1</v>
      </c>
      <c r="L593">
        <v>2</v>
      </c>
      <c r="M593">
        <v>45</v>
      </c>
      <c r="N593">
        <v>156.4</v>
      </c>
      <c r="O593">
        <v>0</v>
      </c>
      <c r="P5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593" t="str">
        <f>IF(Table1[[#This Row],[Fraud_Score]]&gt;=6, "High Risk",IF(Table1[[#This Row],[Fraud_Score]]&gt;=3, "Medium Risk", "Low Risk"))</f>
        <v>Low Risk</v>
      </c>
      <c r="R593">
        <f>IF(Table1[[#This Row],[Seconds of Use]]=0,0,Table1[[#This Row],[Customer Value]]/Table1[[#This Row],[Seconds of Use]]*100)</f>
        <v>16.638297872340427</v>
      </c>
    </row>
    <row r="594" spans="1:18" x14ac:dyDescent="0.35">
      <c r="A594" s="3" t="s">
        <v>615</v>
      </c>
      <c r="B594">
        <v>10</v>
      </c>
      <c r="C594">
        <v>0</v>
      </c>
      <c r="D594">
        <v>26</v>
      </c>
      <c r="E594">
        <v>1</v>
      </c>
      <c r="F594">
        <v>1340</v>
      </c>
      <c r="G594">
        <v>38</v>
      </c>
      <c r="H594">
        <v>51</v>
      </c>
      <c r="I594">
        <v>17</v>
      </c>
      <c r="J594">
        <v>2</v>
      </c>
      <c r="K594">
        <v>1</v>
      </c>
      <c r="L594">
        <v>1</v>
      </c>
      <c r="M594">
        <v>25</v>
      </c>
      <c r="N594">
        <v>291.51</v>
      </c>
      <c r="O594">
        <v>0</v>
      </c>
      <c r="P5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94" t="str">
        <f>IF(Table1[[#This Row],[Fraud_Score]]&gt;=6, "High Risk",IF(Table1[[#This Row],[Fraud_Score]]&gt;=3, "Medium Risk", "Low Risk"))</f>
        <v>Low Risk</v>
      </c>
      <c r="R594">
        <f>IF(Table1[[#This Row],[Seconds of Use]]=0,0,Table1[[#This Row],[Customer Value]]/Table1[[#This Row],[Seconds of Use]]*100)</f>
        <v>21.754477611940299</v>
      </c>
    </row>
    <row r="595" spans="1:18" x14ac:dyDescent="0.35">
      <c r="A595" s="3" t="s">
        <v>616</v>
      </c>
      <c r="B595">
        <v>2</v>
      </c>
      <c r="C595">
        <v>0</v>
      </c>
      <c r="D595">
        <v>26</v>
      </c>
      <c r="E595">
        <v>1</v>
      </c>
      <c r="F595">
        <v>3340</v>
      </c>
      <c r="G595">
        <v>67</v>
      </c>
      <c r="H595">
        <v>40</v>
      </c>
      <c r="I595">
        <v>27</v>
      </c>
      <c r="J595">
        <v>3</v>
      </c>
      <c r="K595">
        <v>1</v>
      </c>
      <c r="L595">
        <v>1</v>
      </c>
      <c r="M595">
        <v>30</v>
      </c>
      <c r="N595">
        <v>296.27999999999997</v>
      </c>
      <c r="O595">
        <v>0</v>
      </c>
      <c r="P5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95" t="str">
        <f>IF(Table1[[#This Row],[Fraud_Score]]&gt;=6, "High Risk",IF(Table1[[#This Row],[Fraud_Score]]&gt;=3, "Medium Risk", "Low Risk"))</f>
        <v>Low Risk</v>
      </c>
      <c r="R595">
        <f>IF(Table1[[#This Row],[Seconds of Use]]=0,0,Table1[[#This Row],[Customer Value]]/Table1[[#This Row],[Seconds of Use]]*100)</f>
        <v>8.8706586826347298</v>
      </c>
    </row>
    <row r="596" spans="1:18" x14ac:dyDescent="0.35">
      <c r="A596" s="3" t="s">
        <v>617</v>
      </c>
      <c r="B596">
        <v>2</v>
      </c>
      <c r="C596">
        <v>0</v>
      </c>
      <c r="D596">
        <v>19</v>
      </c>
      <c r="E596">
        <v>1</v>
      </c>
      <c r="F596">
        <v>1810</v>
      </c>
      <c r="G596">
        <v>32</v>
      </c>
      <c r="H596">
        <v>60</v>
      </c>
      <c r="I596">
        <v>18</v>
      </c>
      <c r="J596">
        <v>3</v>
      </c>
      <c r="K596">
        <v>1</v>
      </c>
      <c r="L596">
        <v>1</v>
      </c>
      <c r="M596">
        <v>30</v>
      </c>
      <c r="N596">
        <v>313.68</v>
      </c>
      <c r="O596">
        <v>0</v>
      </c>
      <c r="P5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96" t="str">
        <f>IF(Table1[[#This Row],[Fraud_Score]]&gt;=6, "High Risk",IF(Table1[[#This Row],[Fraud_Score]]&gt;=3, "Medium Risk", "Low Risk"))</f>
        <v>Low Risk</v>
      </c>
      <c r="R596">
        <f>IF(Table1[[#This Row],[Seconds of Use]]=0,0,Table1[[#This Row],[Customer Value]]/Table1[[#This Row],[Seconds of Use]]*100)</f>
        <v>17.330386740331491</v>
      </c>
    </row>
    <row r="597" spans="1:18" x14ac:dyDescent="0.35">
      <c r="A597" s="3" t="s">
        <v>618</v>
      </c>
      <c r="B597">
        <v>16</v>
      </c>
      <c r="C597">
        <v>0</v>
      </c>
      <c r="D597">
        <v>18</v>
      </c>
      <c r="E597">
        <v>2</v>
      </c>
      <c r="F597">
        <v>6508</v>
      </c>
      <c r="G597">
        <v>147</v>
      </c>
      <c r="H597">
        <v>117</v>
      </c>
      <c r="I597">
        <v>46</v>
      </c>
      <c r="J597">
        <v>2</v>
      </c>
      <c r="K597">
        <v>2</v>
      </c>
      <c r="L597">
        <v>1</v>
      </c>
      <c r="M597">
        <v>25</v>
      </c>
      <c r="N597">
        <v>825.97500000000002</v>
      </c>
      <c r="O597">
        <v>0</v>
      </c>
      <c r="P5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597" t="str">
        <f>IF(Table1[[#This Row],[Fraud_Score]]&gt;=6, "High Risk",IF(Table1[[#This Row],[Fraud_Score]]&gt;=3, "Medium Risk", "Low Risk"))</f>
        <v>Medium Risk</v>
      </c>
      <c r="R597">
        <f>IF(Table1[[#This Row],[Seconds of Use]]=0,0,Table1[[#This Row],[Customer Value]]/Table1[[#This Row],[Seconds of Use]]*100)</f>
        <v>12.691687154271666</v>
      </c>
    </row>
    <row r="598" spans="1:18" x14ac:dyDescent="0.35">
      <c r="A598" s="3" t="s">
        <v>619</v>
      </c>
      <c r="B598">
        <v>12</v>
      </c>
      <c r="C598">
        <v>0</v>
      </c>
      <c r="D598">
        <v>16</v>
      </c>
      <c r="E598">
        <v>1</v>
      </c>
      <c r="F598">
        <v>9048</v>
      </c>
      <c r="G598">
        <v>177</v>
      </c>
      <c r="H598">
        <v>105</v>
      </c>
      <c r="I598">
        <v>44</v>
      </c>
      <c r="J598">
        <v>5</v>
      </c>
      <c r="K598">
        <v>1</v>
      </c>
      <c r="L598">
        <v>1</v>
      </c>
      <c r="M598">
        <v>55</v>
      </c>
      <c r="N598">
        <v>295.875</v>
      </c>
      <c r="O598">
        <v>0</v>
      </c>
      <c r="P5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598" t="str">
        <f>IF(Table1[[#This Row],[Fraud_Score]]&gt;=6, "High Risk",IF(Table1[[#This Row],[Fraud_Score]]&gt;=3, "Medium Risk", "Low Risk"))</f>
        <v>Medium Risk</v>
      </c>
      <c r="R598">
        <f>IF(Table1[[#This Row],[Seconds of Use]]=0,0,Table1[[#This Row],[Customer Value]]/Table1[[#This Row],[Seconds of Use]]*100)</f>
        <v>3.2700596816976124</v>
      </c>
    </row>
    <row r="599" spans="1:18" x14ac:dyDescent="0.35">
      <c r="A599" s="3" t="s">
        <v>620</v>
      </c>
      <c r="B599">
        <v>8</v>
      </c>
      <c r="C599">
        <v>0</v>
      </c>
      <c r="D599">
        <v>17</v>
      </c>
      <c r="E599">
        <v>4</v>
      </c>
      <c r="F599">
        <v>2968</v>
      </c>
      <c r="G599">
        <v>51</v>
      </c>
      <c r="H599">
        <v>63</v>
      </c>
      <c r="I599">
        <v>23</v>
      </c>
      <c r="J599">
        <v>3</v>
      </c>
      <c r="K599">
        <v>2</v>
      </c>
      <c r="L599">
        <v>1</v>
      </c>
      <c r="M599">
        <v>30</v>
      </c>
      <c r="N599">
        <v>372.76</v>
      </c>
      <c r="O599">
        <v>0</v>
      </c>
      <c r="P5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599" t="str">
        <f>IF(Table1[[#This Row],[Fraud_Score]]&gt;=6, "High Risk",IF(Table1[[#This Row],[Fraud_Score]]&gt;=3, "Medium Risk", "Low Risk"))</f>
        <v>Low Risk</v>
      </c>
      <c r="R599">
        <f>IF(Table1[[#This Row],[Seconds of Use]]=0,0,Table1[[#This Row],[Customer Value]]/Table1[[#This Row],[Seconds of Use]]*100)</f>
        <v>12.559299191374663</v>
      </c>
    </row>
    <row r="600" spans="1:18" x14ac:dyDescent="0.35">
      <c r="A600" s="3" t="s">
        <v>621</v>
      </c>
      <c r="B600">
        <v>2</v>
      </c>
      <c r="C600">
        <v>0</v>
      </c>
      <c r="D600">
        <v>10</v>
      </c>
      <c r="E600">
        <v>2</v>
      </c>
      <c r="F600">
        <v>4505</v>
      </c>
      <c r="G600">
        <v>46</v>
      </c>
      <c r="H600">
        <v>247</v>
      </c>
      <c r="I600">
        <v>14</v>
      </c>
      <c r="J600">
        <v>3</v>
      </c>
      <c r="K600">
        <v>1</v>
      </c>
      <c r="L600">
        <v>1</v>
      </c>
      <c r="M600">
        <v>30</v>
      </c>
      <c r="N600">
        <v>1170.04</v>
      </c>
      <c r="O600">
        <v>0</v>
      </c>
      <c r="P6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00" t="str">
        <f>IF(Table1[[#This Row],[Fraud_Score]]&gt;=6, "High Risk",IF(Table1[[#This Row],[Fraud_Score]]&gt;=3, "Medium Risk", "Low Risk"))</f>
        <v>Low Risk</v>
      </c>
      <c r="R600">
        <f>IF(Table1[[#This Row],[Seconds of Use]]=0,0,Table1[[#This Row],[Customer Value]]/Table1[[#This Row],[Seconds of Use]]*100)</f>
        <v>25.972031076581576</v>
      </c>
    </row>
    <row r="601" spans="1:18" x14ac:dyDescent="0.35">
      <c r="A601" s="3" t="s">
        <v>622</v>
      </c>
      <c r="B601">
        <v>3</v>
      </c>
      <c r="C601">
        <v>0</v>
      </c>
      <c r="D601">
        <v>10</v>
      </c>
      <c r="E601">
        <v>2</v>
      </c>
      <c r="F601">
        <v>1603</v>
      </c>
      <c r="G601">
        <v>25</v>
      </c>
      <c r="H601">
        <v>32</v>
      </c>
      <c r="I601">
        <v>11</v>
      </c>
      <c r="J601">
        <v>3</v>
      </c>
      <c r="K601">
        <v>1</v>
      </c>
      <c r="L601">
        <v>1</v>
      </c>
      <c r="M601">
        <v>30</v>
      </c>
      <c r="N601">
        <v>193.12</v>
      </c>
      <c r="O601">
        <v>1</v>
      </c>
      <c r="P6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01" t="str">
        <f>IF(Table1[[#This Row],[Fraud_Score]]&gt;=6, "High Risk",IF(Table1[[#This Row],[Fraud_Score]]&gt;=3, "Medium Risk", "Low Risk"))</f>
        <v>Low Risk</v>
      </c>
      <c r="R601">
        <f>IF(Table1[[#This Row],[Seconds of Use]]=0,0,Table1[[#This Row],[Customer Value]]/Table1[[#This Row],[Seconds of Use]]*100)</f>
        <v>12.047411104179663</v>
      </c>
    </row>
    <row r="602" spans="1:18" x14ac:dyDescent="0.35">
      <c r="A602" s="3" t="s">
        <v>623</v>
      </c>
      <c r="B602">
        <v>8</v>
      </c>
      <c r="C602">
        <v>0</v>
      </c>
      <c r="D602">
        <v>37</v>
      </c>
      <c r="E602">
        <v>0</v>
      </c>
      <c r="F602">
        <v>4255</v>
      </c>
      <c r="G602">
        <v>65</v>
      </c>
      <c r="H602">
        <v>0</v>
      </c>
      <c r="I602">
        <v>13</v>
      </c>
      <c r="J602">
        <v>2</v>
      </c>
      <c r="K602">
        <v>1</v>
      </c>
      <c r="L602">
        <v>1</v>
      </c>
      <c r="M602">
        <v>25</v>
      </c>
      <c r="N602">
        <v>194.4</v>
      </c>
      <c r="O602">
        <v>0</v>
      </c>
      <c r="P6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02" t="str">
        <f>IF(Table1[[#This Row],[Fraud_Score]]&gt;=6, "High Risk",IF(Table1[[#This Row],[Fraud_Score]]&gt;=3, "Medium Risk", "Low Risk"))</f>
        <v>Low Risk</v>
      </c>
      <c r="R602">
        <f>IF(Table1[[#This Row],[Seconds of Use]]=0,0,Table1[[#This Row],[Customer Value]]/Table1[[#This Row],[Seconds of Use]]*100)</f>
        <v>4.5687426556991779</v>
      </c>
    </row>
    <row r="603" spans="1:18" x14ac:dyDescent="0.35">
      <c r="A603" s="3" t="s">
        <v>624</v>
      </c>
      <c r="B603">
        <v>0</v>
      </c>
      <c r="C603">
        <v>0</v>
      </c>
      <c r="D603">
        <v>38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2</v>
      </c>
      <c r="K603">
        <v>1</v>
      </c>
      <c r="L603">
        <v>2</v>
      </c>
      <c r="M603">
        <v>25</v>
      </c>
      <c r="N603">
        <v>0</v>
      </c>
      <c r="O603">
        <v>0</v>
      </c>
      <c r="P6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03" t="str">
        <f>IF(Table1[[#This Row],[Fraud_Score]]&gt;=6, "High Risk",IF(Table1[[#This Row],[Fraud_Score]]&gt;=3, "Medium Risk", "Low Risk"))</f>
        <v>Low Risk</v>
      </c>
      <c r="R603">
        <f>IF(Table1[[#This Row],[Seconds of Use]]=0,0,Table1[[#This Row],[Customer Value]]/Table1[[#This Row],[Seconds of Use]]*100)</f>
        <v>0</v>
      </c>
    </row>
    <row r="604" spans="1:18" x14ac:dyDescent="0.35">
      <c r="A604" s="3" t="s">
        <v>625</v>
      </c>
      <c r="B604">
        <v>10</v>
      </c>
      <c r="C604">
        <v>0</v>
      </c>
      <c r="D604">
        <v>36</v>
      </c>
      <c r="E604">
        <v>0</v>
      </c>
      <c r="F604">
        <v>2338</v>
      </c>
      <c r="G604">
        <v>54</v>
      </c>
      <c r="H604">
        <v>327</v>
      </c>
      <c r="I604">
        <v>20</v>
      </c>
      <c r="J604">
        <v>2</v>
      </c>
      <c r="K604">
        <v>1</v>
      </c>
      <c r="L604">
        <v>1</v>
      </c>
      <c r="M604">
        <v>25</v>
      </c>
      <c r="N604">
        <v>1579.14</v>
      </c>
      <c r="O604">
        <v>0</v>
      </c>
      <c r="P6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04" t="str">
        <f>IF(Table1[[#This Row],[Fraud_Score]]&gt;=6, "High Risk",IF(Table1[[#This Row],[Fraud_Score]]&gt;=3, "Medium Risk", "Low Risk"))</f>
        <v>Low Risk</v>
      </c>
      <c r="R604">
        <f>IF(Table1[[#This Row],[Seconds of Use]]=0,0,Table1[[#This Row],[Customer Value]]/Table1[[#This Row],[Seconds of Use]]*100)</f>
        <v>67.542343883661246</v>
      </c>
    </row>
    <row r="605" spans="1:18" x14ac:dyDescent="0.35">
      <c r="A605" s="3" t="s">
        <v>626</v>
      </c>
      <c r="B605">
        <v>10</v>
      </c>
      <c r="C605">
        <v>0</v>
      </c>
      <c r="D605">
        <v>37</v>
      </c>
      <c r="E605">
        <v>0</v>
      </c>
      <c r="F605">
        <v>4083</v>
      </c>
      <c r="G605">
        <v>60</v>
      </c>
      <c r="H605">
        <v>0</v>
      </c>
      <c r="I605">
        <v>31</v>
      </c>
      <c r="J605">
        <v>1</v>
      </c>
      <c r="K605">
        <v>1</v>
      </c>
      <c r="L605">
        <v>1</v>
      </c>
      <c r="M605">
        <v>15</v>
      </c>
      <c r="N605">
        <v>227.86500000000001</v>
      </c>
      <c r="O605">
        <v>0</v>
      </c>
      <c r="P6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05" t="str">
        <f>IF(Table1[[#This Row],[Fraud_Score]]&gt;=6, "High Risk",IF(Table1[[#This Row],[Fraud_Score]]&gt;=3, "Medium Risk", "Low Risk"))</f>
        <v>Low Risk</v>
      </c>
      <c r="R605">
        <f>IF(Table1[[#This Row],[Seconds of Use]]=0,0,Table1[[#This Row],[Customer Value]]/Table1[[#This Row],[Seconds of Use]]*100)</f>
        <v>5.5808229243203531</v>
      </c>
    </row>
    <row r="606" spans="1:18" x14ac:dyDescent="0.35">
      <c r="A606" s="3" t="s">
        <v>627</v>
      </c>
      <c r="B606">
        <v>3</v>
      </c>
      <c r="C606">
        <v>0</v>
      </c>
      <c r="D606">
        <v>37</v>
      </c>
      <c r="E606">
        <v>0</v>
      </c>
      <c r="F606">
        <v>2278</v>
      </c>
      <c r="G606">
        <v>52</v>
      </c>
      <c r="H606">
        <v>0</v>
      </c>
      <c r="I606">
        <v>29</v>
      </c>
      <c r="J606">
        <v>1</v>
      </c>
      <c r="K606">
        <v>1</v>
      </c>
      <c r="L606">
        <v>1</v>
      </c>
      <c r="M606">
        <v>15</v>
      </c>
      <c r="N606">
        <v>128.15</v>
      </c>
      <c r="O606">
        <v>0</v>
      </c>
      <c r="P6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06" t="str">
        <f>IF(Table1[[#This Row],[Fraud_Score]]&gt;=6, "High Risk",IF(Table1[[#This Row],[Fraud_Score]]&gt;=3, "Medium Risk", "Low Risk"))</f>
        <v>Low Risk</v>
      </c>
      <c r="R606">
        <f>IF(Table1[[#This Row],[Seconds of Use]]=0,0,Table1[[#This Row],[Customer Value]]/Table1[[#This Row],[Seconds of Use]]*100)</f>
        <v>5.6255487269534683</v>
      </c>
    </row>
    <row r="607" spans="1:18" x14ac:dyDescent="0.35">
      <c r="A607" s="3" t="s">
        <v>628</v>
      </c>
      <c r="B607">
        <v>11</v>
      </c>
      <c r="C607">
        <v>0</v>
      </c>
      <c r="D607">
        <v>37</v>
      </c>
      <c r="E607">
        <v>0</v>
      </c>
      <c r="F607">
        <v>3660</v>
      </c>
      <c r="G607">
        <v>76</v>
      </c>
      <c r="H607">
        <v>0</v>
      </c>
      <c r="I607">
        <v>24</v>
      </c>
      <c r="J607">
        <v>2</v>
      </c>
      <c r="K607">
        <v>1</v>
      </c>
      <c r="L607">
        <v>1</v>
      </c>
      <c r="M607">
        <v>25</v>
      </c>
      <c r="N607">
        <v>168.12</v>
      </c>
      <c r="O607">
        <v>0</v>
      </c>
      <c r="P6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07" t="str">
        <f>IF(Table1[[#This Row],[Fraud_Score]]&gt;=6, "High Risk",IF(Table1[[#This Row],[Fraud_Score]]&gt;=3, "Medium Risk", "Low Risk"))</f>
        <v>Medium Risk</v>
      </c>
      <c r="R607">
        <f>IF(Table1[[#This Row],[Seconds of Use]]=0,0,Table1[[#This Row],[Customer Value]]/Table1[[#This Row],[Seconds of Use]]*100)</f>
        <v>4.5934426229508194</v>
      </c>
    </row>
    <row r="608" spans="1:18" x14ac:dyDescent="0.35">
      <c r="A608" s="3" t="s">
        <v>629</v>
      </c>
      <c r="B608">
        <v>4</v>
      </c>
      <c r="C608">
        <v>0</v>
      </c>
      <c r="D608">
        <v>37</v>
      </c>
      <c r="E608">
        <v>0</v>
      </c>
      <c r="F608">
        <v>2245</v>
      </c>
      <c r="G608">
        <v>33</v>
      </c>
      <c r="H608">
        <v>253</v>
      </c>
      <c r="I608">
        <v>14</v>
      </c>
      <c r="J608">
        <v>3</v>
      </c>
      <c r="K608">
        <v>1</v>
      </c>
      <c r="L608">
        <v>1</v>
      </c>
      <c r="M608">
        <v>30</v>
      </c>
      <c r="N608">
        <v>1103.1199999999999</v>
      </c>
      <c r="O608">
        <v>0</v>
      </c>
      <c r="P6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08" t="str">
        <f>IF(Table1[[#This Row],[Fraud_Score]]&gt;=6, "High Risk",IF(Table1[[#This Row],[Fraud_Score]]&gt;=3, "Medium Risk", "Low Risk"))</f>
        <v>Low Risk</v>
      </c>
      <c r="R608">
        <f>IF(Table1[[#This Row],[Seconds of Use]]=0,0,Table1[[#This Row],[Customer Value]]/Table1[[#This Row],[Seconds of Use]]*100)</f>
        <v>49.136748329621376</v>
      </c>
    </row>
    <row r="609" spans="1:18" x14ac:dyDescent="0.35">
      <c r="A609" s="3" t="s">
        <v>630</v>
      </c>
      <c r="B609">
        <v>13</v>
      </c>
      <c r="C609">
        <v>0</v>
      </c>
      <c r="D609">
        <v>36</v>
      </c>
      <c r="E609">
        <v>1</v>
      </c>
      <c r="F609">
        <v>9000</v>
      </c>
      <c r="G609">
        <v>115</v>
      </c>
      <c r="H609">
        <v>112</v>
      </c>
      <c r="I609">
        <v>39</v>
      </c>
      <c r="J609">
        <v>3</v>
      </c>
      <c r="K609">
        <v>1</v>
      </c>
      <c r="L609">
        <v>1</v>
      </c>
      <c r="M609">
        <v>30</v>
      </c>
      <c r="N609">
        <v>812.6</v>
      </c>
      <c r="O609">
        <v>0</v>
      </c>
      <c r="P6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09" t="str">
        <f>IF(Table1[[#This Row],[Fraud_Score]]&gt;=6, "High Risk",IF(Table1[[#This Row],[Fraud_Score]]&gt;=3, "Medium Risk", "Low Risk"))</f>
        <v>Low Risk</v>
      </c>
      <c r="R609">
        <f>IF(Table1[[#This Row],[Seconds of Use]]=0,0,Table1[[#This Row],[Customer Value]]/Table1[[#This Row],[Seconds of Use]]*100)</f>
        <v>9.0288888888888899</v>
      </c>
    </row>
    <row r="610" spans="1:18" x14ac:dyDescent="0.35">
      <c r="A610" s="3" t="s">
        <v>631</v>
      </c>
      <c r="B610">
        <v>7</v>
      </c>
      <c r="C610">
        <v>0</v>
      </c>
      <c r="D610">
        <v>37</v>
      </c>
      <c r="E610">
        <v>0</v>
      </c>
      <c r="F610">
        <v>13658</v>
      </c>
      <c r="G610">
        <v>163</v>
      </c>
      <c r="H610">
        <v>0</v>
      </c>
      <c r="I610">
        <v>40</v>
      </c>
      <c r="J610">
        <v>3</v>
      </c>
      <c r="K610">
        <v>1</v>
      </c>
      <c r="L610">
        <v>1</v>
      </c>
      <c r="M610">
        <v>30</v>
      </c>
      <c r="N610">
        <v>552.84</v>
      </c>
      <c r="O610">
        <v>0</v>
      </c>
      <c r="P6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10" t="str">
        <f>IF(Table1[[#This Row],[Fraud_Score]]&gt;=6, "High Risk",IF(Table1[[#This Row],[Fraud_Score]]&gt;=3, "Medium Risk", "Low Risk"))</f>
        <v>Medium Risk</v>
      </c>
      <c r="R610">
        <f>IF(Table1[[#This Row],[Seconds of Use]]=0,0,Table1[[#This Row],[Customer Value]]/Table1[[#This Row],[Seconds of Use]]*100)</f>
        <v>4.0477375896910237</v>
      </c>
    </row>
    <row r="611" spans="1:18" x14ac:dyDescent="0.35">
      <c r="A611" s="3" t="s">
        <v>632</v>
      </c>
      <c r="B611">
        <v>7</v>
      </c>
      <c r="C611">
        <v>0</v>
      </c>
      <c r="D611">
        <v>37</v>
      </c>
      <c r="E611">
        <v>0</v>
      </c>
      <c r="F611">
        <v>4400</v>
      </c>
      <c r="G611">
        <v>77</v>
      </c>
      <c r="H611">
        <v>0</v>
      </c>
      <c r="I611">
        <v>21</v>
      </c>
      <c r="J611">
        <v>3</v>
      </c>
      <c r="K611">
        <v>1</v>
      </c>
      <c r="L611">
        <v>1</v>
      </c>
      <c r="M611">
        <v>30</v>
      </c>
      <c r="N611">
        <v>179.08</v>
      </c>
      <c r="O611">
        <v>0</v>
      </c>
      <c r="P6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11" t="str">
        <f>IF(Table1[[#This Row],[Fraud_Score]]&gt;=6, "High Risk",IF(Table1[[#This Row],[Fraud_Score]]&gt;=3, "Medium Risk", "Low Risk"))</f>
        <v>Low Risk</v>
      </c>
      <c r="R611">
        <f>IF(Table1[[#This Row],[Seconds of Use]]=0,0,Table1[[#This Row],[Customer Value]]/Table1[[#This Row],[Seconds of Use]]*100)</f>
        <v>4.07</v>
      </c>
    </row>
    <row r="612" spans="1:18" x14ac:dyDescent="0.35">
      <c r="A612" s="3" t="s">
        <v>633</v>
      </c>
      <c r="B612">
        <v>6</v>
      </c>
      <c r="C612">
        <v>0</v>
      </c>
      <c r="D612">
        <v>37</v>
      </c>
      <c r="E612">
        <v>0</v>
      </c>
      <c r="F612">
        <v>5803</v>
      </c>
      <c r="G612">
        <v>89</v>
      </c>
      <c r="H612">
        <v>0</v>
      </c>
      <c r="I612">
        <v>8</v>
      </c>
      <c r="J612">
        <v>2</v>
      </c>
      <c r="K612">
        <v>1</v>
      </c>
      <c r="L612">
        <v>1</v>
      </c>
      <c r="M612">
        <v>25</v>
      </c>
      <c r="N612">
        <v>265.14</v>
      </c>
      <c r="O612">
        <v>0</v>
      </c>
      <c r="P6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12" t="str">
        <f>IF(Table1[[#This Row],[Fraud_Score]]&gt;=6, "High Risk",IF(Table1[[#This Row],[Fraud_Score]]&gt;=3, "Medium Risk", "Low Risk"))</f>
        <v>Low Risk</v>
      </c>
      <c r="R612">
        <f>IF(Table1[[#This Row],[Seconds of Use]]=0,0,Table1[[#This Row],[Customer Value]]/Table1[[#This Row],[Seconds of Use]]*100)</f>
        <v>4.5690160261933483</v>
      </c>
    </row>
    <row r="613" spans="1:18" x14ac:dyDescent="0.35">
      <c r="A613" s="3" t="s">
        <v>634</v>
      </c>
      <c r="B613">
        <v>9</v>
      </c>
      <c r="C613">
        <v>0</v>
      </c>
      <c r="D613">
        <v>37</v>
      </c>
      <c r="E613">
        <v>0</v>
      </c>
      <c r="F613">
        <v>2123</v>
      </c>
      <c r="G613">
        <v>48</v>
      </c>
      <c r="H613">
        <v>0</v>
      </c>
      <c r="I613">
        <v>13</v>
      </c>
      <c r="J613">
        <v>3</v>
      </c>
      <c r="K613">
        <v>1</v>
      </c>
      <c r="L613">
        <v>2</v>
      </c>
      <c r="M613">
        <v>30</v>
      </c>
      <c r="N613">
        <v>86.84</v>
      </c>
      <c r="O613">
        <v>0</v>
      </c>
      <c r="P6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13" t="str">
        <f>IF(Table1[[#This Row],[Fraud_Score]]&gt;=6, "High Risk",IF(Table1[[#This Row],[Fraud_Score]]&gt;=3, "Medium Risk", "Low Risk"))</f>
        <v>Low Risk</v>
      </c>
      <c r="R613">
        <f>IF(Table1[[#This Row],[Seconds of Use]]=0,0,Table1[[#This Row],[Customer Value]]/Table1[[#This Row],[Seconds of Use]]*100)</f>
        <v>4.0904380593499763</v>
      </c>
    </row>
    <row r="614" spans="1:18" x14ac:dyDescent="0.35">
      <c r="A614" s="3" t="s">
        <v>635</v>
      </c>
      <c r="B614">
        <v>25</v>
      </c>
      <c r="C614">
        <v>0</v>
      </c>
      <c r="D614">
        <v>37</v>
      </c>
      <c r="E614">
        <v>2</v>
      </c>
      <c r="F614">
        <v>15025</v>
      </c>
      <c r="G614">
        <v>219</v>
      </c>
      <c r="H614">
        <v>22</v>
      </c>
      <c r="I614">
        <v>28</v>
      </c>
      <c r="J614">
        <v>3</v>
      </c>
      <c r="K614">
        <v>1</v>
      </c>
      <c r="L614">
        <v>1</v>
      </c>
      <c r="M614">
        <v>30</v>
      </c>
      <c r="N614">
        <v>697.76</v>
      </c>
      <c r="O614">
        <v>0</v>
      </c>
      <c r="P6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614" t="str">
        <f>IF(Table1[[#This Row],[Fraud_Score]]&gt;=6, "High Risk",IF(Table1[[#This Row],[Fraud_Score]]&gt;=3, "Medium Risk", "Low Risk"))</f>
        <v>Medium Risk</v>
      </c>
      <c r="R614">
        <f>IF(Table1[[#This Row],[Seconds of Use]]=0,0,Table1[[#This Row],[Customer Value]]/Table1[[#This Row],[Seconds of Use]]*100)</f>
        <v>4.6439933444259571</v>
      </c>
    </row>
    <row r="615" spans="1:18" x14ac:dyDescent="0.35">
      <c r="A615" s="3" t="s">
        <v>636</v>
      </c>
      <c r="B615">
        <v>4</v>
      </c>
      <c r="C615">
        <v>0</v>
      </c>
      <c r="D615">
        <v>37</v>
      </c>
      <c r="E615">
        <v>0</v>
      </c>
      <c r="F615">
        <v>2980</v>
      </c>
      <c r="G615">
        <v>21</v>
      </c>
      <c r="H615">
        <v>451</v>
      </c>
      <c r="I615">
        <v>4</v>
      </c>
      <c r="J615">
        <v>3</v>
      </c>
      <c r="K615">
        <v>1</v>
      </c>
      <c r="L615">
        <v>1</v>
      </c>
      <c r="M615">
        <v>30</v>
      </c>
      <c r="N615">
        <v>1924.04</v>
      </c>
      <c r="O615">
        <v>0</v>
      </c>
      <c r="P6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15" t="str">
        <f>IF(Table1[[#This Row],[Fraud_Score]]&gt;=6, "High Risk",IF(Table1[[#This Row],[Fraud_Score]]&gt;=3, "Medium Risk", "Low Risk"))</f>
        <v>Low Risk</v>
      </c>
      <c r="R615">
        <f>IF(Table1[[#This Row],[Seconds of Use]]=0,0,Table1[[#This Row],[Customer Value]]/Table1[[#This Row],[Seconds of Use]]*100)</f>
        <v>64.565100671140939</v>
      </c>
    </row>
    <row r="616" spans="1:18" x14ac:dyDescent="0.35">
      <c r="A616" s="3" t="s">
        <v>637</v>
      </c>
      <c r="B616">
        <v>9</v>
      </c>
      <c r="C616">
        <v>0</v>
      </c>
      <c r="D616">
        <v>36</v>
      </c>
      <c r="E616">
        <v>0</v>
      </c>
      <c r="F616">
        <v>15370</v>
      </c>
      <c r="G616">
        <v>176</v>
      </c>
      <c r="H616">
        <v>118</v>
      </c>
      <c r="I616">
        <v>26</v>
      </c>
      <c r="J616">
        <v>2</v>
      </c>
      <c r="K616">
        <v>1</v>
      </c>
      <c r="L616">
        <v>1</v>
      </c>
      <c r="M616">
        <v>25</v>
      </c>
      <c r="N616">
        <v>1230.57</v>
      </c>
      <c r="O616">
        <v>0</v>
      </c>
      <c r="P6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16" t="str">
        <f>IF(Table1[[#This Row],[Fraud_Score]]&gt;=6, "High Risk",IF(Table1[[#This Row],[Fraud_Score]]&gt;=3, "Medium Risk", "Low Risk"))</f>
        <v>Medium Risk</v>
      </c>
      <c r="R616">
        <f>IF(Table1[[#This Row],[Seconds of Use]]=0,0,Table1[[#This Row],[Customer Value]]/Table1[[#This Row],[Seconds of Use]]*100)</f>
        <v>8.0063109954456735</v>
      </c>
    </row>
    <row r="617" spans="1:18" x14ac:dyDescent="0.35">
      <c r="A617" s="3" t="s">
        <v>638</v>
      </c>
      <c r="B617">
        <v>3</v>
      </c>
      <c r="C617">
        <v>0</v>
      </c>
      <c r="D617">
        <v>36</v>
      </c>
      <c r="E617">
        <v>0</v>
      </c>
      <c r="F617">
        <v>6385</v>
      </c>
      <c r="G617">
        <v>80</v>
      </c>
      <c r="H617">
        <v>154</v>
      </c>
      <c r="I617">
        <v>22</v>
      </c>
      <c r="J617">
        <v>3</v>
      </c>
      <c r="K617">
        <v>1</v>
      </c>
      <c r="L617">
        <v>1</v>
      </c>
      <c r="M617">
        <v>30</v>
      </c>
      <c r="N617">
        <v>874.6</v>
      </c>
      <c r="O617">
        <v>0</v>
      </c>
      <c r="P6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17" t="str">
        <f>IF(Table1[[#This Row],[Fraud_Score]]&gt;=6, "High Risk",IF(Table1[[#This Row],[Fraud_Score]]&gt;=3, "Medium Risk", "Low Risk"))</f>
        <v>Low Risk</v>
      </c>
      <c r="R617">
        <f>IF(Table1[[#This Row],[Seconds of Use]]=0,0,Table1[[#This Row],[Customer Value]]/Table1[[#This Row],[Seconds of Use]]*100)</f>
        <v>13.69772905246672</v>
      </c>
    </row>
    <row r="618" spans="1:18" x14ac:dyDescent="0.35">
      <c r="A618" s="3" t="s">
        <v>639</v>
      </c>
      <c r="B618">
        <v>0</v>
      </c>
      <c r="C618">
        <v>0</v>
      </c>
      <c r="D618">
        <v>36</v>
      </c>
      <c r="E618">
        <v>0</v>
      </c>
      <c r="F618">
        <v>760</v>
      </c>
      <c r="G618">
        <v>8</v>
      </c>
      <c r="H618">
        <v>0</v>
      </c>
      <c r="I618">
        <v>7</v>
      </c>
      <c r="J618">
        <v>2</v>
      </c>
      <c r="K618">
        <v>1</v>
      </c>
      <c r="L618">
        <v>2</v>
      </c>
      <c r="M618">
        <v>25</v>
      </c>
      <c r="N618">
        <v>34.56</v>
      </c>
      <c r="O618">
        <v>0</v>
      </c>
      <c r="P6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18" t="str">
        <f>IF(Table1[[#This Row],[Fraud_Score]]&gt;=6, "High Risk",IF(Table1[[#This Row],[Fraud_Score]]&gt;=3, "Medium Risk", "Low Risk"))</f>
        <v>Low Risk</v>
      </c>
      <c r="R618">
        <f>IF(Table1[[#This Row],[Seconds of Use]]=0,0,Table1[[#This Row],[Customer Value]]/Table1[[#This Row],[Seconds of Use]]*100)</f>
        <v>4.5473684210526315</v>
      </c>
    </row>
    <row r="619" spans="1:18" x14ac:dyDescent="0.35">
      <c r="A619" s="3" t="s">
        <v>640</v>
      </c>
      <c r="B619">
        <v>2</v>
      </c>
      <c r="C619">
        <v>0</v>
      </c>
      <c r="D619">
        <v>37</v>
      </c>
      <c r="E619">
        <v>0</v>
      </c>
      <c r="F619">
        <v>595</v>
      </c>
      <c r="G619">
        <v>8</v>
      </c>
      <c r="H619">
        <v>0</v>
      </c>
      <c r="I619">
        <v>4</v>
      </c>
      <c r="J619">
        <v>2</v>
      </c>
      <c r="K619">
        <v>1</v>
      </c>
      <c r="L619">
        <v>2</v>
      </c>
      <c r="M619">
        <v>25</v>
      </c>
      <c r="N619">
        <v>27.135000000000002</v>
      </c>
      <c r="O619">
        <v>0</v>
      </c>
      <c r="P6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19" t="str">
        <f>IF(Table1[[#This Row],[Fraud_Score]]&gt;=6, "High Risk",IF(Table1[[#This Row],[Fraud_Score]]&gt;=3, "Medium Risk", "Low Risk"))</f>
        <v>Low Risk</v>
      </c>
      <c r="R619">
        <f>IF(Table1[[#This Row],[Seconds of Use]]=0,0,Table1[[#This Row],[Customer Value]]/Table1[[#This Row],[Seconds of Use]]*100)</f>
        <v>4.5605042016806729</v>
      </c>
    </row>
    <row r="620" spans="1:18" x14ac:dyDescent="0.35">
      <c r="A620" s="3" t="s">
        <v>641</v>
      </c>
      <c r="B620">
        <v>0</v>
      </c>
      <c r="C620">
        <v>1</v>
      </c>
      <c r="D620">
        <v>36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</v>
      </c>
      <c r="K620">
        <v>1</v>
      </c>
      <c r="L620">
        <v>2</v>
      </c>
      <c r="M620">
        <v>25</v>
      </c>
      <c r="N620">
        <v>0</v>
      </c>
      <c r="O620">
        <v>1</v>
      </c>
      <c r="P6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20" t="str">
        <f>IF(Table1[[#This Row],[Fraud_Score]]&gt;=6, "High Risk",IF(Table1[[#This Row],[Fraud_Score]]&gt;=3, "Medium Risk", "Low Risk"))</f>
        <v>Medium Risk</v>
      </c>
      <c r="R620">
        <f>IF(Table1[[#This Row],[Seconds of Use]]=0,0,Table1[[#This Row],[Customer Value]]/Table1[[#This Row],[Seconds of Use]]*100)</f>
        <v>0</v>
      </c>
    </row>
    <row r="621" spans="1:18" x14ac:dyDescent="0.35">
      <c r="A621" s="3" t="s">
        <v>642</v>
      </c>
      <c r="B621">
        <v>3</v>
      </c>
      <c r="C621">
        <v>0</v>
      </c>
      <c r="D621">
        <v>36</v>
      </c>
      <c r="E621">
        <v>0</v>
      </c>
      <c r="F621">
        <v>7393</v>
      </c>
      <c r="G621">
        <v>121</v>
      </c>
      <c r="H621">
        <v>352</v>
      </c>
      <c r="I621">
        <v>39</v>
      </c>
      <c r="J621">
        <v>2</v>
      </c>
      <c r="K621">
        <v>1</v>
      </c>
      <c r="L621">
        <v>1</v>
      </c>
      <c r="M621">
        <v>25</v>
      </c>
      <c r="N621">
        <v>1922.13</v>
      </c>
      <c r="O621">
        <v>0</v>
      </c>
      <c r="P6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21" t="str">
        <f>IF(Table1[[#This Row],[Fraud_Score]]&gt;=6, "High Risk",IF(Table1[[#This Row],[Fraud_Score]]&gt;=3, "Medium Risk", "Low Risk"))</f>
        <v>Low Risk</v>
      </c>
      <c r="R621">
        <f>IF(Table1[[#This Row],[Seconds of Use]]=0,0,Table1[[#This Row],[Customer Value]]/Table1[[#This Row],[Seconds of Use]]*100)</f>
        <v>25.999323684566484</v>
      </c>
    </row>
    <row r="622" spans="1:18" x14ac:dyDescent="0.35">
      <c r="A622" s="3" t="s">
        <v>643</v>
      </c>
      <c r="B622">
        <v>7</v>
      </c>
      <c r="C622">
        <v>0</v>
      </c>
      <c r="D622">
        <v>36</v>
      </c>
      <c r="E622">
        <v>0</v>
      </c>
      <c r="F622">
        <v>11350</v>
      </c>
      <c r="G622">
        <v>148</v>
      </c>
      <c r="H622">
        <v>0</v>
      </c>
      <c r="I622">
        <v>43</v>
      </c>
      <c r="J622">
        <v>3</v>
      </c>
      <c r="K622">
        <v>1</v>
      </c>
      <c r="L622">
        <v>1</v>
      </c>
      <c r="M622">
        <v>30</v>
      </c>
      <c r="N622">
        <v>459.92</v>
      </c>
      <c r="O622">
        <v>0</v>
      </c>
      <c r="P6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22" t="str">
        <f>IF(Table1[[#This Row],[Fraud_Score]]&gt;=6, "High Risk",IF(Table1[[#This Row],[Fraud_Score]]&gt;=3, "Medium Risk", "Low Risk"))</f>
        <v>Medium Risk</v>
      </c>
      <c r="R622">
        <f>IF(Table1[[#This Row],[Seconds of Use]]=0,0,Table1[[#This Row],[Customer Value]]/Table1[[#This Row],[Seconds of Use]]*100)</f>
        <v>4.0521585903083706</v>
      </c>
    </row>
    <row r="623" spans="1:18" x14ac:dyDescent="0.35">
      <c r="A623" s="3" t="s">
        <v>644</v>
      </c>
      <c r="B623">
        <v>8</v>
      </c>
      <c r="C623">
        <v>0</v>
      </c>
      <c r="D623">
        <v>36</v>
      </c>
      <c r="E623">
        <v>0</v>
      </c>
      <c r="F623">
        <v>6603</v>
      </c>
      <c r="G623">
        <v>69</v>
      </c>
      <c r="H623">
        <v>76</v>
      </c>
      <c r="I623">
        <v>33</v>
      </c>
      <c r="J623">
        <v>2</v>
      </c>
      <c r="K623">
        <v>1</v>
      </c>
      <c r="L623">
        <v>1</v>
      </c>
      <c r="M623">
        <v>25</v>
      </c>
      <c r="N623">
        <v>642.24</v>
      </c>
      <c r="O623">
        <v>0</v>
      </c>
      <c r="P6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23" t="str">
        <f>IF(Table1[[#This Row],[Fraud_Score]]&gt;=6, "High Risk",IF(Table1[[#This Row],[Fraud_Score]]&gt;=3, "Medium Risk", "Low Risk"))</f>
        <v>Low Risk</v>
      </c>
      <c r="R623">
        <f>IF(Table1[[#This Row],[Seconds of Use]]=0,0,Table1[[#This Row],[Customer Value]]/Table1[[#This Row],[Seconds of Use]]*100)</f>
        <v>9.726487960018174</v>
      </c>
    </row>
    <row r="624" spans="1:18" x14ac:dyDescent="0.35">
      <c r="A624" s="3" t="s">
        <v>645</v>
      </c>
      <c r="B624">
        <v>23</v>
      </c>
      <c r="C624">
        <v>0</v>
      </c>
      <c r="D624">
        <v>32</v>
      </c>
      <c r="E624">
        <v>0</v>
      </c>
      <c r="F624">
        <v>840</v>
      </c>
      <c r="G624">
        <v>41</v>
      </c>
      <c r="H624">
        <v>0</v>
      </c>
      <c r="I624">
        <v>13</v>
      </c>
      <c r="J624">
        <v>2</v>
      </c>
      <c r="K624">
        <v>1</v>
      </c>
      <c r="L624">
        <v>2</v>
      </c>
      <c r="M624">
        <v>25</v>
      </c>
      <c r="N624">
        <v>39.645000000000003</v>
      </c>
      <c r="O624">
        <v>1</v>
      </c>
      <c r="P6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24" t="str">
        <f>IF(Table1[[#This Row],[Fraud_Score]]&gt;=6, "High Risk",IF(Table1[[#This Row],[Fraud_Score]]&gt;=3, "Medium Risk", "Low Risk"))</f>
        <v>Medium Risk</v>
      </c>
      <c r="R624">
        <f>IF(Table1[[#This Row],[Seconds of Use]]=0,0,Table1[[#This Row],[Customer Value]]/Table1[[#This Row],[Seconds of Use]]*100)</f>
        <v>4.7196428571428575</v>
      </c>
    </row>
    <row r="625" spans="1:18" x14ac:dyDescent="0.35">
      <c r="A625" s="3" t="s">
        <v>646</v>
      </c>
      <c r="B625">
        <v>21</v>
      </c>
      <c r="C625">
        <v>0</v>
      </c>
      <c r="D625">
        <v>35</v>
      </c>
      <c r="E625">
        <v>7</v>
      </c>
      <c r="F625">
        <v>10320</v>
      </c>
      <c r="G625">
        <v>87</v>
      </c>
      <c r="H625">
        <v>0</v>
      </c>
      <c r="I625">
        <v>38</v>
      </c>
      <c r="J625">
        <v>4</v>
      </c>
      <c r="K625">
        <v>2</v>
      </c>
      <c r="L625">
        <v>1</v>
      </c>
      <c r="M625">
        <v>45</v>
      </c>
      <c r="N625">
        <v>260.17500000000001</v>
      </c>
      <c r="O625">
        <v>0</v>
      </c>
      <c r="P6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25" t="str">
        <f>IF(Table1[[#This Row],[Fraud_Score]]&gt;=6, "High Risk",IF(Table1[[#This Row],[Fraud_Score]]&gt;=3, "Medium Risk", "Low Risk"))</f>
        <v>Low Risk</v>
      </c>
      <c r="R625">
        <f>IF(Table1[[#This Row],[Seconds of Use]]=0,0,Table1[[#This Row],[Customer Value]]/Table1[[#This Row],[Seconds of Use]]*100)</f>
        <v>2.5210755813953489</v>
      </c>
    </row>
    <row r="626" spans="1:18" x14ac:dyDescent="0.35">
      <c r="A626" s="3" t="s">
        <v>647</v>
      </c>
      <c r="B626">
        <v>13</v>
      </c>
      <c r="C626">
        <v>1</v>
      </c>
      <c r="D626">
        <v>35</v>
      </c>
      <c r="E626">
        <v>0</v>
      </c>
      <c r="F626">
        <v>5703</v>
      </c>
      <c r="G626">
        <v>92</v>
      </c>
      <c r="H626">
        <v>0</v>
      </c>
      <c r="I626">
        <v>20</v>
      </c>
      <c r="J626">
        <v>2</v>
      </c>
      <c r="K626">
        <v>1</v>
      </c>
      <c r="L626">
        <v>1</v>
      </c>
      <c r="M626">
        <v>25</v>
      </c>
      <c r="N626">
        <v>260.77499999999998</v>
      </c>
      <c r="O626">
        <v>1</v>
      </c>
      <c r="P6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26" t="str">
        <f>IF(Table1[[#This Row],[Fraud_Score]]&gt;=6, "High Risk",IF(Table1[[#This Row],[Fraud_Score]]&gt;=3, "Medium Risk", "Low Risk"))</f>
        <v>Medium Risk</v>
      </c>
      <c r="R626">
        <f>IF(Table1[[#This Row],[Seconds of Use]]=0,0,Table1[[#This Row],[Customer Value]]/Table1[[#This Row],[Seconds of Use]]*100)</f>
        <v>4.5725933719095213</v>
      </c>
    </row>
    <row r="627" spans="1:18" x14ac:dyDescent="0.35">
      <c r="A627" s="3" t="s">
        <v>648</v>
      </c>
      <c r="B627">
        <v>1</v>
      </c>
      <c r="C627">
        <v>0</v>
      </c>
      <c r="D627">
        <v>33</v>
      </c>
      <c r="E627">
        <v>0</v>
      </c>
      <c r="F627">
        <v>2725</v>
      </c>
      <c r="G627">
        <v>16</v>
      </c>
      <c r="H627">
        <v>0</v>
      </c>
      <c r="I627">
        <v>10</v>
      </c>
      <c r="J627">
        <v>3</v>
      </c>
      <c r="K627">
        <v>1</v>
      </c>
      <c r="L627">
        <v>1</v>
      </c>
      <c r="M627">
        <v>30</v>
      </c>
      <c r="N627">
        <v>109.64</v>
      </c>
      <c r="O627">
        <v>0</v>
      </c>
      <c r="P6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27" t="str">
        <f>IF(Table1[[#This Row],[Fraud_Score]]&gt;=6, "High Risk",IF(Table1[[#This Row],[Fraud_Score]]&gt;=3, "Medium Risk", "Low Risk"))</f>
        <v>Low Risk</v>
      </c>
      <c r="R627">
        <f>IF(Table1[[#This Row],[Seconds of Use]]=0,0,Table1[[#This Row],[Customer Value]]/Table1[[#This Row],[Seconds of Use]]*100)</f>
        <v>4.0234862385321106</v>
      </c>
    </row>
    <row r="628" spans="1:18" x14ac:dyDescent="0.35">
      <c r="A628" s="3" t="s">
        <v>649</v>
      </c>
      <c r="B628">
        <v>9</v>
      </c>
      <c r="C628">
        <v>1</v>
      </c>
      <c r="D628">
        <v>34</v>
      </c>
      <c r="E628">
        <v>0</v>
      </c>
      <c r="F628">
        <v>2875</v>
      </c>
      <c r="G628">
        <v>35</v>
      </c>
      <c r="H628">
        <v>0</v>
      </c>
      <c r="I628">
        <v>12</v>
      </c>
      <c r="J628">
        <v>2</v>
      </c>
      <c r="K628">
        <v>1</v>
      </c>
      <c r="L628">
        <v>2</v>
      </c>
      <c r="M628">
        <v>25</v>
      </c>
      <c r="N628">
        <v>130.94999999999999</v>
      </c>
      <c r="O628">
        <v>1</v>
      </c>
      <c r="P6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28" t="str">
        <f>IF(Table1[[#This Row],[Fraud_Score]]&gt;=6, "High Risk",IF(Table1[[#This Row],[Fraud_Score]]&gt;=3, "Medium Risk", "Low Risk"))</f>
        <v>Medium Risk</v>
      </c>
      <c r="R628">
        <f>IF(Table1[[#This Row],[Seconds of Use]]=0,0,Table1[[#This Row],[Customer Value]]/Table1[[#This Row],[Seconds of Use]]*100)</f>
        <v>4.5547826086956515</v>
      </c>
    </row>
    <row r="629" spans="1:18" x14ac:dyDescent="0.35">
      <c r="A629" s="3" t="s">
        <v>650</v>
      </c>
      <c r="B629">
        <v>9</v>
      </c>
      <c r="C629">
        <v>0</v>
      </c>
      <c r="D629">
        <v>35</v>
      </c>
      <c r="E629">
        <v>0</v>
      </c>
      <c r="F629">
        <v>2153</v>
      </c>
      <c r="G629">
        <v>38</v>
      </c>
      <c r="H629">
        <v>2</v>
      </c>
      <c r="I629">
        <v>27</v>
      </c>
      <c r="J629">
        <v>3</v>
      </c>
      <c r="K629">
        <v>1</v>
      </c>
      <c r="L629">
        <v>2</v>
      </c>
      <c r="M629">
        <v>30</v>
      </c>
      <c r="N629">
        <v>95.64</v>
      </c>
      <c r="O629">
        <v>1</v>
      </c>
      <c r="P6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29" t="str">
        <f>IF(Table1[[#This Row],[Fraud_Score]]&gt;=6, "High Risk",IF(Table1[[#This Row],[Fraud_Score]]&gt;=3, "Medium Risk", "Low Risk"))</f>
        <v>Low Risk</v>
      </c>
      <c r="R629">
        <f>IF(Table1[[#This Row],[Seconds of Use]]=0,0,Table1[[#This Row],[Customer Value]]/Table1[[#This Row],[Seconds of Use]]*100)</f>
        <v>4.4421737111007893</v>
      </c>
    </row>
    <row r="630" spans="1:18" x14ac:dyDescent="0.35">
      <c r="A630" s="3" t="s">
        <v>651</v>
      </c>
      <c r="B630">
        <v>0</v>
      </c>
      <c r="C630">
        <v>0</v>
      </c>
      <c r="D630">
        <v>35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2</v>
      </c>
      <c r="K630">
        <v>1</v>
      </c>
      <c r="L630">
        <v>2</v>
      </c>
      <c r="M630">
        <v>25</v>
      </c>
      <c r="N630">
        <v>0</v>
      </c>
      <c r="O630">
        <v>1</v>
      </c>
      <c r="P6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0" t="str">
        <f>IF(Table1[[#This Row],[Fraud_Score]]&gt;=6, "High Risk",IF(Table1[[#This Row],[Fraud_Score]]&gt;=3, "Medium Risk", "Low Risk"))</f>
        <v>Low Risk</v>
      </c>
      <c r="R630">
        <f>IF(Table1[[#This Row],[Seconds of Use]]=0,0,Table1[[#This Row],[Customer Value]]/Table1[[#This Row],[Seconds of Use]]*100)</f>
        <v>0</v>
      </c>
    </row>
    <row r="631" spans="1:18" x14ac:dyDescent="0.35">
      <c r="A631" s="3" t="s">
        <v>652</v>
      </c>
      <c r="B631">
        <v>1</v>
      </c>
      <c r="C631">
        <v>0</v>
      </c>
      <c r="D631">
        <v>35</v>
      </c>
      <c r="E631">
        <v>0</v>
      </c>
      <c r="F631">
        <v>1553</v>
      </c>
      <c r="G631">
        <v>19</v>
      </c>
      <c r="H631">
        <v>0</v>
      </c>
      <c r="I631">
        <v>2</v>
      </c>
      <c r="J631">
        <v>3</v>
      </c>
      <c r="K631">
        <v>1</v>
      </c>
      <c r="L631">
        <v>1</v>
      </c>
      <c r="M631">
        <v>30</v>
      </c>
      <c r="N631">
        <v>62.88</v>
      </c>
      <c r="O631">
        <v>0</v>
      </c>
      <c r="P6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1" t="str">
        <f>IF(Table1[[#This Row],[Fraud_Score]]&gt;=6, "High Risk",IF(Table1[[#This Row],[Fraud_Score]]&gt;=3, "Medium Risk", "Low Risk"))</f>
        <v>Low Risk</v>
      </c>
      <c r="R631">
        <f>IF(Table1[[#This Row],[Seconds of Use]]=0,0,Table1[[#This Row],[Customer Value]]/Table1[[#This Row],[Seconds of Use]]*100)</f>
        <v>4.0489375402446877</v>
      </c>
    </row>
    <row r="632" spans="1:18" x14ac:dyDescent="0.35">
      <c r="A632" s="3" t="s">
        <v>653</v>
      </c>
      <c r="B632">
        <v>3</v>
      </c>
      <c r="C632">
        <v>0</v>
      </c>
      <c r="D632">
        <v>32</v>
      </c>
      <c r="E632">
        <v>0</v>
      </c>
      <c r="F632">
        <v>6670</v>
      </c>
      <c r="G632">
        <v>91</v>
      </c>
      <c r="H632">
        <v>0</v>
      </c>
      <c r="I632">
        <v>18</v>
      </c>
      <c r="J632">
        <v>4</v>
      </c>
      <c r="K632">
        <v>1</v>
      </c>
      <c r="L632">
        <v>1</v>
      </c>
      <c r="M632">
        <v>45</v>
      </c>
      <c r="N632">
        <v>169.02500000000001</v>
      </c>
      <c r="O632">
        <v>0</v>
      </c>
      <c r="P6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2" t="str">
        <f>IF(Table1[[#This Row],[Fraud_Score]]&gt;=6, "High Risk",IF(Table1[[#This Row],[Fraud_Score]]&gt;=3, "Medium Risk", "Low Risk"))</f>
        <v>Low Risk</v>
      </c>
      <c r="R632">
        <f>IF(Table1[[#This Row],[Seconds of Use]]=0,0,Table1[[#This Row],[Customer Value]]/Table1[[#This Row],[Seconds of Use]]*100)</f>
        <v>2.5341079460269866</v>
      </c>
    </row>
    <row r="633" spans="1:18" x14ac:dyDescent="0.35">
      <c r="A633" s="3" t="s">
        <v>654</v>
      </c>
      <c r="B633">
        <v>0</v>
      </c>
      <c r="C633">
        <v>0</v>
      </c>
      <c r="D633">
        <v>35</v>
      </c>
      <c r="E633">
        <v>0</v>
      </c>
      <c r="F633">
        <v>513</v>
      </c>
      <c r="G633">
        <v>1</v>
      </c>
      <c r="H633">
        <v>0</v>
      </c>
      <c r="I633">
        <v>3</v>
      </c>
      <c r="J633">
        <v>4</v>
      </c>
      <c r="K633">
        <v>1</v>
      </c>
      <c r="L633">
        <v>2</v>
      </c>
      <c r="M633">
        <v>45</v>
      </c>
      <c r="N633">
        <v>12.85</v>
      </c>
      <c r="O633">
        <v>1</v>
      </c>
      <c r="P6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3" t="str">
        <f>IF(Table1[[#This Row],[Fraud_Score]]&gt;=6, "High Risk",IF(Table1[[#This Row],[Fraud_Score]]&gt;=3, "Medium Risk", "Low Risk"))</f>
        <v>Low Risk</v>
      </c>
      <c r="R633">
        <f>IF(Table1[[#This Row],[Seconds of Use]]=0,0,Table1[[#This Row],[Customer Value]]/Table1[[#This Row],[Seconds of Use]]*100)</f>
        <v>2.5048732943469787</v>
      </c>
    </row>
    <row r="634" spans="1:18" x14ac:dyDescent="0.35">
      <c r="A634" s="3" t="s">
        <v>655</v>
      </c>
      <c r="B634">
        <v>0</v>
      </c>
      <c r="C634">
        <v>0</v>
      </c>
      <c r="D634">
        <v>35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4</v>
      </c>
      <c r="K634">
        <v>1</v>
      </c>
      <c r="L634">
        <v>1</v>
      </c>
      <c r="M634">
        <v>45</v>
      </c>
      <c r="N634">
        <v>0</v>
      </c>
      <c r="O634">
        <v>0</v>
      </c>
      <c r="P6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4" t="str">
        <f>IF(Table1[[#This Row],[Fraud_Score]]&gt;=6, "High Risk",IF(Table1[[#This Row],[Fraud_Score]]&gt;=3, "Medium Risk", "Low Risk"))</f>
        <v>Low Risk</v>
      </c>
      <c r="R634">
        <f>IF(Table1[[#This Row],[Seconds of Use]]=0,0,Table1[[#This Row],[Customer Value]]/Table1[[#This Row],[Seconds of Use]]*100)</f>
        <v>0</v>
      </c>
    </row>
    <row r="635" spans="1:18" x14ac:dyDescent="0.35">
      <c r="A635" s="3" t="s">
        <v>656</v>
      </c>
      <c r="B635">
        <v>25</v>
      </c>
      <c r="C635">
        <v>0</v>
      </c>
      <c r="D635">
        <v>30</v>
      </c>
      <c r="E635">
        <v>2</v>
      </c>
      <c r="F635">
        <v>15960</v>
      </c>
      <c r="G635">
        <v>232</v>
      </c>
      <c r="H635">
        <v>0</v>
      </c>
      <c r="I635">
        <v>76</v>
      </c>
      <c r="J635">
        <v>2</v>
      </c>
      <c r="K635">
        <v>1</v>
      </c>
      <c r="L635">
        <v>1</v>
      </c>
      <c r="M635">
        <v>25</v>
      </c>
      <c r="N635">
        <v>728.64</v>
      </c>
      <c r="O635">
        <v>0</v>
      </c>
      <c r="P6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35" t="str">
        <f>IF(Table1[[#This Row],[Fraud_Score]]&gt;=6, "High Risk",IF(Table1[[#This Row],[Fraud_Score]]&gt;=3, "Medium Risk", "Low Risk"))</f>
        <v>Medium Risk</v>
      </c>
      <c r="R635">
        <f>IF(Table1[[#This Row],[Seconds of Use]]=0,0,Table1[[#This Row],[Customer Value]]/Table1[[#This Row],[Seconds of Use]]*100)</f>
        <v>4.5654135338345867</v>
      </c>
    </row>
    <row r="636" spans="1:18" x14ac:dyDescent="0.35">
      <c r="A636" s="3" t="s">
        <v>657</v>
      </c>
      <c r="B636">
        <v>6</v>
      </c>
      <c r="C636">
        <v>0</v>
      </c>
      <c r="D636">
        <v>33</v>
      </c>
      <c r="E636">
        <v>2</v>
      </c>
      <c r="F636">
        <v>6850</v>
      </c>
      <c r="G636">
        <v>110</v>
      </c>
      <c r="H636">
        <v>239</v>
      </c>
      <c r="I636">
        <v>29</v>
      </c>
      <c r="J636">
        <v>2</v>
      </c>
      <c r="K636">
        <v>2</v>
      </c>
      <c r="L636">
        <v>1</v>
      </c>
      <c r="M636">
        <v>25</v>
      </c>
      <c r="N636">
        <v>1388.7</v>
      </c>
      <c r="O636">
        <v>0</v>
      </c>
      <c r="P6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36" t="str">
        <f>IF(Table1[[#This Row],[Fraud_Score]]&gt;=6, "High Risk",IF(Table1[[#This Row],[Fraud_Score]]&gt;=3, "Medium Risk", "Low Risk"))</f>
        <v>Low Risk</v>
      </c>
      <c r="R636">
        <f>IF(Table1[[#This Row],[Seconds of Use]]=0,0,Table1[[#This Row],[Customer Value]]/Table1[[#This Row],[Seconds of Use]]*100)</f>
        <v>20.272992700729926</v>
      </c>
    </row>
    <row r="637" spans="1:18" x14ac:dyDescent="0.35">
      <c r="A637" s="3" t="s">
        <v>658</v>
      </c>
      <c r="B637">
        <v>2</v>
      </c>
      <c r="C637">
        <v>0</v>
      </c>
      <c r="D637">
        <v>35</v>
      </c>
      <c r="E637">
        <v>0</v>
      </c>
      <c r="F637">
        <v>3603</v>
      </c>
      <c r="G637">
        <v>76</v>
      </c>
      <c r="H637">
        <v>0</v>
      </c>
      <c r="I637">
        <v>24</v>
      </c>
      <c r="J637">
        <v>2</v>
      </c>
      <c r="K637">
        <v>1</v>
      </c>
      <c r="L637">
        <v>1</v>
      </c>
      <c r="M637">
        <v>25</v>
      </c>
      <c r="N637">
        <v>165.55500000000001</v>
      </c>
      <c r="O637">
        <v>0</v>
      </c>
      <c r="P6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7" t="str">
        <f>IF(Table1[[#This Row],[Fraud_Score]]&gt;=6, "High Risk",IF(Table1[[#This Row],[Fraud_Score]]&gt;=3, "Medium Risk", "Low Risk"))</f>
        <v>Low Risk</v>
      </c>
      <c r="R637">
        <f>IF(Table1[[#This Row],[Seconds of Use]]=0,0,Table1[[#This Row],[Customer Value]]/Table1[[#This Row],[Seconds of Use]]*100)</f>
        <v>4.5949208992506252</v>
      </c>
    </row>
    <row r="638" spans="1:18" x14ac:dyDescent="0.35">
      <c r="A638" s="3" t="s">
        <v>659</v>
      </c>
      <c r="B638">
        <v>3</v>
      </c>
      <c r="C638">
        <v>0</v>
      </c>
      <c r="D638">
        <v>34</v>
      </c>
      <c r="E638">
        <v>0</v>
      </c>
      <c r="F638">
        <v>1550</v>
      </c>
      <c r="G638">
        <v>38</v>
      </c>
      <c r="H638">
        <v>6</v>
      </c>
      <c r="I638">
        <v>16</v>
      </c>
      <c r="J638">
        <v>3</v>
      </c>
      <c r="K638">
        <v>1</v>
      </c>
      <c r="L638">
        <v>2</v>
      </c>
      <c r="M638">
        <v>30</v>
      </c>
      <c r="N638">
        <v>87.52</v>
      </c>
      <c r="O638">
        <v>0</v>
      </c>
      <c r="P6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8" t="str">
        <f>IF(Table1[[#This Row],[Fraud_Score]]&gt;=6, "High Risk",IF(Table1[[#This Row],[Fraud_Score]]&gt;=3, "Medium Risk", "Low Risk"))</f>
        <v>Low Risk</v>
      </c>
      <c r="R638">
        <f>IF(Table1[[#This Row],[Seconds of Use]]=0,0,Table1[[#This Row],[Customer Value]]/Table1[[#This Row],[Seconds of Use]]*100)</f>
        <v>5.6464516129032258</v>
      </c>
    </row>
    <row r="639" spans="1:18" x14ac:dyDescent="0.35">
      <c r="A639" s="3" t="s">
        <v>660</v>
      </c>
      <c r="B639">
        <v>6</v>
      </c>
      <c r="C639">
        <v>0</v>
      </c>
      <c r="D639">
        <v>35</v>
      </c>
      <c r="E639">
        <v>0</v>
      </c>
      <c r="F639">
        <v>2665</v>
      </c>
      <c r="G639">
        <v>47</v>
      </c>
      <c r="H639">
        <v>143</v>
      </c>
      <c r="I639">
        <v>19</v>
      </c>
      <c r="J639">
        <v>2</v>
      </c>
      <c r="K639">
        <v>1</v>
      </c>
      <c r="L639">
        <v>1</v>
      </c>
      <c r="M639">
        <v>25</v>
      </c>
      <c r="N639">
        <v>765.54</v>
      </c>
      <c r="O639">
        <v>0</v>
      </c>
      <c r="P6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39" t="str">
        <f>IF(Table1[[#This Row],[Fraud_Score]]&gt;=6, "High Risk",IF(Table1[[#This Row],[Fraud_Score]]&gt;=3, "Medium Risk", "Low Risk"))</f>
        <v>Low Risk</v>
      </c>
      <c r="R639">
        <f>IF(Table1[[#This Row],[Seconds of Use]]=0,0,Table1[[#This Row],[Customer Value]]/Table1[[#This Row],[Seconds of Use]]*100)</f>
        <v>28.725703564727954</v>
      </c>
    </row>
    <row r="640" spans="1:18" x14ac:dyDescent="0.35">
      <c r="A640" s="3" t="s">
        <v>661</v>
      </c>
      <c r="B640">
        <v>4</v>
      </c>
      <c r="C640">
        <v>0</v>
      </c>
      <c r="D640">
        <v>26</v>
      </c>
      <c r="E640">
        <v>0</v>
      </c>
      <c r="F640">
        <v>1200</v>
      </c>
      <c r="G640">
        <v>30</v>
      </c>
      <c r="H640">
        <v>161</v>
      </c>
      <c r="I640">
        <v>7</v>
      </c>
      <c r="J640">
        <v>2</v>
      </c>
      <c r="K640">
        <v>2</v>
      </c>
      <c r="L640">
        <v>1</v>
      </c>
      <c r="M640">
        <v>25</v>
      </c>
      <c r="N640">
        <v>779.85</v>
      </c>
      <c r="O640">
        <v>0</v>
      </c>
      <c r="P6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40" t="str">
        <f>IF(Table1[[#This Row],[Fraud_Score]]&gt;=6, "High Risk",IF(Table1[[#This Row],[Fraud_Score]]&gt;=3, "Medium Risk", "Low Risk"))</f>
        <v>Low Risk</v>
      </c>
      <c r="R640">
        <f>IF(Table1[[#This Row],[Seconds of Use]]=0,0,Table1[[#This Row],[Customer Value]]/Table1[[#This Row],[Seconds of Use]]*100)</f>
        <v>64.987499999999997</v>
      </c>
    </row>
    <row r="641" spans="1:18" x14ac:dyDescent="0.35">
      <c r="A641" s="3" t="s">
        <v>662</v>
      </c>
      <c r="B641">
        <v>4</v>
      </c>
      <c r="C641">
        <v>0</v>
      </c>
      <c r="D641">
        <v>25</v>
      </c>
      <c r="E641">
        <v>0</v>
      </c>
      <c r="F641">
        <v>1453</v>
      </c>
      <c r="G641">
        <v>33</v>
      </c>
      <c r="H641">
        <v>0</v>
      </c>
      <c r="I641">
        <v>64</v>
      </c>
      <c r="J641">
        <v>4</v>
      </c>
      <c r="K641">
        <v>1</v>
      </c>
      <c r="L641">
        <v>1</v>
      </c>
      <c r="M641">
        <v>45</v>
      </c>
      <c r="N641">
        <v>37.15</v>
      </c>
      <c r="O641">
        <v>0</v>
      </c>
      <c r="P6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41" t="str">
        <f>IF(Table1[[#This Row],[Fraud_Score]]&gt;=6, "High Risk",IF(Table1[[#This Row],[Fraud_Score]]&gt;=3, "Medium Risk", "Low Risk"))</f>
        <v>Low Risk</v>
      </c>
      <c r="R641">
        <f>IF(Table1[[#This Row],[Seconds of Use]]=0,0,Table1[[#This Row],[Customer Value]]/Table1[[#This Row],[Seconds of Use]]*100)</f>
        <v>2.5567790777701305</v>
      </c>
    </row>
    <row r="642" spans="1:18" x14ac:dyDescent="0.35">
      <c r="A642" s="3" t="s">
        <v>663</v>
      </c>
      <c r="B642">
        <v>11</v>
      </c>
      <c r="C642">
        <v>0</v>
      </c>
      <c r="D642">
        <v>26</v>
      </c>
      <c r="E642">
        <v>0</v>
      </c>
      <c r="F642">
        <v>585</v>
      </c>
      <c r="G642">
        <v>19</v>
      </c>
      <c r="H642">
        <v>0</v>
      </c>
      <c r="I642">
        <v>3</v>
      </c>
      <c r="J642">
        <v>2</v>
      </c>
      <c r="K642">
        <v>1</v>
      </c>
      <c r="L642">
        <v>2</v>
      </c>
      <c r="M642">
        <v>25</v>
      </c>
      <c r="N642">
        <v>27.18</v>
      </c>
      <c r="O642">
        <v>0</v>
      </c>
      <c r="P6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42" t="str">
        <f>IF(Table1[[#This Row],[Fraud_Score]]&gt;=6, "High Risk",IF(Table1[[#This Row],[Fraud_Score]]&gt;=3, "Medium Risk", "Low Risk"))</f>
        <v>Medium Risk</v>
      </c>
      <c r="R642">
        <f>IF(Table1[[#This Row],[Seconds of Use]]=0,0,Table1[[#This Row],[Customer Value]]/Table1[[#This Row],[Seconds of Use]]*100)</f>
        <v>4.6461538461538465</v>
      </c>
    </row>
    <row r="643" spans="1:18" x14ac:dyDescent="0.35">
      <c r="A643" s="3" t="s">
        <v>664</v>
      </c>
      <c r="B643">
        <v>0</v>
      </c>
      <c r="C643">
        <v>0</v>
      </c>
      <c r="D643">
        <v>25</v>
      </c>
      <c r="E643">
        <v>0</v>
      </c>
      <c r="F643">
        <v>710</v>
      </c>
      <c r="G643">
        <v>4</v>
      </c>
      <c r="H643">
        <v>0</v>
      </c>
      <c r="I643">
        <v>1</v>
      </c>
      <c r="J643">
        <v>4</v>
      </c>
      <c r="K643">
        <v>1</v>
      </c>
      <c r="L643">
        <v>2</v>
      </c>
      <c r="M643">
        <v>45</v>
      </c>
      <c r="N643">
        <v>17.850000000000001</v>
      </c>
      <c r="O643">
        <v>0</v>
      </c>
      <c r="P6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43" t="str">
        <f>IF(Table1[[#This Row],[Fraud_Score]]&gt;=6, "High Risk",IF(Table1[[#This Row],[Fraud_Score]]&gt;=3, "Medium Risk", "Low Risk"))</f>
        <v>Low Risk</v>
      </c>
      <c r="R643">
        <f>IF(Table1[[#This Row],[Seconds of Use]]=0,0,Table1[[#This Row],[Customer Value]]/Table1[[#This Row],[Seconds of Use]]*100)</f>
        <v>2.5140845070422539</v>
      </c>
    </row>
    <row r="644" spans="1:18" x14ac:dyDescent="0.35">
      <c r="A644" s="3" t="s">
        <v>665</v>
      </c>
      <c r="B644">
        <v>10</v>
      </c>
      <c r="C644">
        <v>0</v>
      </c>
      <c r="D644">
        <v>24</v>
      </c>
      <c r="E644">
        <v>0</v>
      </c>
      <c r="F644">
        <v>1110</v>
      </c>
      <c r="G644">
        <v>26</v>
      </c>
      <c r="H644">
        <v>0</v>
      </c>
      <c r="I644">
        <v>9</v>
      </c>
      <c r="J644">
        <v>2</v>
      </c>
      <c r="K644">
        <v>1</v>
      </c>
      <c r="L644">
        <v>1</v>
      </c>
      <c r="M644">
        <v>25</v>
      </c>
      <c r="N644">
        <v>51.12</v>
      </c>
      <c r="O644">
        <v>0</v>
      </c>
      <c r="P6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44" t="str">
        <f>IF(Table1[[#This Row],[Fraud_Score]]&gt;=6, "High Risk",IF(Table1[[#This Row],[Fraud_Score]]&gt;=3, "Medium Risk", "Low Risk"))</f>
        <v>Low Risk</v>
      </c>
      <c r="R644">
        <f>IF(Table1[[#This Row],[Seconds of Use]]=0,0,Table1[[#This Row],[Customer Value]]/Table1[[#This Row],[Seconds of Use]]*100)</f>
        <v>4.6054054054054046</v>
      </c>
    </row>
    <row r="645" spans="1:18" x14ac:dyDescent="0.35">
      <c r="A645" s="3" t="s">
        <v>666</v>
      </c>
      <c r="B645">
        <v>2</v>
      </c>
      <c r="C645">
        <v>0</v>
      </c>
      <c r="D645">
        <v>24</v>
      </c>
      <c r="E645">
        <v>0</v>
      </c>
      <c r="F645">
        <v>3110</v>
      </c>
      <c r="G645">
        <v>55</v>
      </c>
      <c r="H645">
        <v>0</v>
      </c>
      <c r="I645">
        <v>19</v>
      </c>
      <c r="J645">
        <v>3</v>
      </c>
      <c r="K645">
        <v>1</v>
      </c>
      <c r="L645">
        <v>1</v>
      </c>
      <c r="M645">
        <v>30</v>
      </c>
      <c r="N645">
        <v>126.6</v>
      </c>
      <c r="O645">
        <v>0</v>
      </c>
      <c r="P6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45" t="str">
        <f>IF(Table1[[#This Row],[Fraud_Score]]&gt;=6, "High Risk",IF(Table1[[#This Row],[Fraud_Score]]&gt;=3, "Medium Risk", "Low Risk"))</f>
        <v>Low Risk</v>
      </c>
      <c r="R645">
        <f>IF(Table1[[#This Row],[Seconds of Use]]=0,0,Table1[[#This Row],[Customer Value]]/Table1[[#This Row],[Seconds of Use]]*100)</f>
        <v>4.070739549839228</v>
      </c>
    </row>
    <row r="646" spans="1:18" x14ac:dyDescent="0.35">
      <c r="A646" s="3" t="s">
        <v>667</v>
      </c>
      <c r="B646">
        <v>2</v>
      </c>
      <c r="C646">
        <v>0</v>
      </c>
      <c r="D646">
        <v>17</v>
      </c>
      <c r="E646">
        <v>0</v>
      </c>
      <c r="F646">
        <v>1580</v>
      </c>
      <c r="G646">
        <v>20</v>
      </c>
      <c r="H646">
        <v>0</v>
      </c>
      <c r="I646">
        <v>10</v>
      </c>
      <c r="J646">
        <v>2</v>
      </c>
      <c r="K646">
        <v>1</v>
      </c>
      <c r="L646">
        <v>1</v>
      </c>
      <c r="M646">
        <v>25</v>
      </c>
      <c r="N646">
        <v>72</v>
      </c>
      <c r="O646">
        <v>0</v>
      </c>
      <c r="P6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46" t="str">
        <f>IF(Table1[[#This Row],[Fraud_Score]]&gt;=6, "High Risk",IF(Table1[[#This Row],[Fraud_Score]]&gt;=3, "Medium Risk", "Low Risk"))</f>
        <v>Low Risk</v>
      </c>
      <c r="R646">
        <f>IF(Table1[[#This Row],[Seconds of Use]]=0,0,Table1[[#This Row],[Customer Value]]/Table1[[#This Row],[Seconds of Use]]*100)</f>
        <v>4.556962025316456</v>
      </c>
    </row>
    <row r="647" spans="1:18" x14ac:dyDescent="0.35">
      <c r="A647" s="3" t="s">
        <v>668</v>
      </c>
      <c r="B647">
        <v>16</v>
      </c>
      <c r="C647">
        <v>0</v>
      </c>
      <c r="D647">
        <v>16</v>
      </c>
      <c r="E647">
        <v>0</v>
      </c>
      <c r="F647">
        <v>6278</v>
      </c>
      <c r="G647">
        <v>135</v>
      </c>
      <c r="H647">
        <v>53</v>
      </c>
      <c r="I647">
        <v>38</v>
      </c>
      <c r="J647">
        <v>1</v>
      </c>
      <c r="K647">
        <v>2</v>
      </c>
      <c r="L647">
        <v>1</v>
      </c>
      <c r="M647">
        <v>15</v>
      </c>
      <c r="N647">
        <v>644.21500000000003</v>
      </c>
      <c r="O647">
        <v>0</v>
      </c>
      <c r="P6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47" t="str">
        <f>IF(Table1[[#This Row],[Fraud_Score]]&gt;=6, "High Risk",IF(Table1[[#This Row],[Fraud_Score]]&gt;=3, "Medium Risk", "Low Risk"))</f>
        <v>Medium Risk</v>
      </c>
      <c r="R647">
        <f>IF(Table1[[#This Row],[Seconds of Use]]=0,0,Table1[[#This Row],[Customer Value]]/Table1[[#This Row],[Seconds of Use]]*100)</f>
        <v>10.261468620579803</v>
      </c>
    </row>
    <row r="648" spans="1:18" x14ac:dyDescent="0.35">
      <c r="A648" s="3" t="s">
        <v>669</v>
      </c>
      <c r="B648">
        <v>12</v>
      </c>
      <c r="C648">
        <v>0</v>
      </c>
      <c r="D648">
        <v>14</v>
      </c>
      <c r="E648">
        <v>0</v>
      </c>
      <c r="F648">
        <v>8818</v>
      </c>
      <c r="G648">
        <v>165</v>
      </c>
      <c r="H648">
        <v>41</v>
      </c>
      <c r="I648">
        <v>36</v>
      </c>
      <c r="J648">
        <v>4</v>
      </c>
      <c r="K648">
        <v>1</v>
      </c>
      <c r="L648">
        <v>1</v>
      </c>
      <c r="M648">
        <v>45</v>
      </c>
      <c r="N648">
        <v>327.07499999999999</v>
      </c>
      <c r="O648">
        <v>0</v>
      </c>
      <c r="P6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48" t="str">
        <f>IF(Table1[[#This Row],[Fraud_Score]]&gt;=6, "High Risk",IF(Table1[[#This Row],[Fraud_Score]]&gt;=3, "Medium Risk", "Low Risk"))</f>
        <v>Medium Risk</v>
      </c>
      <c r="R648">
        <f>IF(Table1[[#This Row],[Seconds of Use]]=0,0,Table1[[#This Row],[Customer Value]]/Table1[[#This Row],[Seconds of Use]]*100)</f>
        <v>3.7091744159673397</v>
      </c>
    </row>
    <row r="649" spans="1:18" x14ac:dyDescent="0.35">
      <c r="A649" s="3" t="s">
        <v>670</v>
      </c>
      <c r="B649">
        <v>8</v>
      </c>
      <c r="C649">
        <v>0</v>
      </c>
      <c r="D649">
        <v>15</v>
      </c>
      <c r="E649">
        <v>2</v>
      </c>
      <c r="F649">
        <v>2738</v>
      </c>
      <c r="G649">
        <v>39</v>
      </c>
      <c r="H649">
        <v>0</v>
      </c>
      <c r="I649">
        <v>15</v>
      </c>
      <c r="J649">
        <v>3</v>
      </c>
      <c r="K649">
        <v>1</v>
      </c>
      <c r="L649">
        <v>1</v>
      </c>
      <c r="M649">
        <v>30</v>
      </c>
      <c r="N649">
        <v>111.08</v>
      </c>
      <c r="O649">
        <v>0</v>
      </c>
      <c r="P6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49" t="str">
        <f>IF(Table1[[#This Row],[Fraud_Score]]&gt;=6, "High Risk",IF(Table1[[#This Row],[Fraud_Score]]&gt;=3, "Medium Risk", "Low Risk"))</f>
        <v>Low Risk</v>
      </c>
      <c r="R649">
        <f>IF(Table1[[#This Row],[Seconds of Use]]=0,0,Table1[[#This Row],[Customer Value]]/Table1[[#This Row],[Seconds of Use]]*100)</f>
        <v>4.056975894813732</v>
      </c>
    </row>
    <row r="650" spans="1:18" x14ac:dyDescent="0.35">
      <c r="A650" s="3" t="s">
        <v>671</v>
      </c>
      <c r="B650">
        <v>2</v>
      </c>
      <c r="C650">
        <v>0</v>
      </c>
      <c r="D650">
        <v>8</v>
      </c>
      <c r="E650">
        <v>0</v>
      </c>
      <c r="F650">
        <v>4275</v>
      </c>
      <c r="G650">
        <v>34</v>
      </c>
      <c r="H650">
        <v>183</v>
      </c>
      <c r="I650">
        <v>6</v>
      </c>
      <c r="J650">
        <v>3</v>
      </c>
      <c r="K650">
        <v>1</v>
      </c>
      <c r="L650">
        <v>1</v>
      </c>
      <c r="M650">
        <v>30</v>
      </c>
      <c r="N650">
        <v>904.36</v>
      </c>
      <c r="O650">
        <v>0</v>
      </c>
      <c r="P6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50" t="str">
        <f>IF(Table1[[#This Row],[Fraud_Score]]&gt;=6, "High Risk",IF(Table1[[#This Row],[Fraud_Score]]&gt;=3, "Medium Risk", "Low Risk"))</f>
        <v>Low Risk</v>
      </c>
      <c r="R650">
        <f>IF(Table1[[#This Row],[Seconds of Use]]=0,0,Table1[[#This Row],[Customer Value]]/Table1[[#This Row],[Seconds of Use]]*100)</f>
        <v>21.154619883040937</v>
      </c>
    </row>
    <row r="651" spans="1:18" x14ac:dyDescent="0.35">
      <c r="A651" s="3" t="s">
        <v>672</v>
      </c>
      <c r="B651">
        <v>3</v>
      </c>
      <c r="C651">
        <v>1</v>
      </c>
      <c r="D651">
        <v>8</v>
      </c>
      <c r="E651">
        <v>0</v>
      </c>
      <c r="F651">
        <v>1373</v>
      </c>
      <c r="G651">
        <v>13</v>
      </c>
      <c r="H651">
        <v>0</v>
      </c>
      <c r="I651">
        <v>3</v>
      </c>
      <c r="J651">
        <v>2</v>
      </c>
      <c r="K651">
        <v>1</v>
      </c>
      <c r="L651">
        <v>1</v>
      </c>
      <c r="M651">
        <v>25</v>
      </c>
      <c r="N651">
        <v>62.37</v>
      </c>
      <c r="O651">
        <v>1</v>
      </c>
      <c r="P6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51" t="str">
        <f>IF(Table1[[#This Row],[Fraud_Score]]&gt;=6, "High Risk",IF(Table1[[#This Row],[Fraud_Score]]&gt;=3, "Medium Risk", "Low Risk"))</f>
        <v>Medium Risk</v>
      </c>
      <c r="R651">
        <f>IF(Table1[[#This Row],[Seconds of Use]]=0,0,Table1[[#This Row],[Customer Value]]/Table1[[#This Row],[Seconds of Use]]*100)</f>
        <v>4.5426074289876182</v>
      </c>
    </row>
    <row r="652" spans="1:18" x14ac:dyDescent="0.35">
      <c r="A652" s="3" t="s">
        <v>673</v>
      </c>
      <c r="B652">
        <v>10</v>
      </c>
      <c r="C652">
        <v>0</v>
      </c>
      <c r="D652">
        <v>38</v>
      </c>
      <c r="E652">
        <v>0</v>
      </c>
      <c r="F652">
        <v>4560</v>
      </c>
      <c r="G652">
        <v>72</v>
      </c>
      <c r="H652">
        <v>14</v>
      </c>
      <c r="I652">
        <v>20</v>
      </c>
      <c r="J652">
        <v>3</v>
      </c>
      <c r="K652">
        <v>1</v>
      </c>
      <c r="L652">
        <v>1</v>
      </c>
      <c r="M652">
        <v>30</v>
      </c>
      <c r="N652">
        <v>241.28</v>
      </c>
      <c r="O652">
        <v>0</v>
      </c>
      <c r="P6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52" t="str">
        <f>IF(Table1[[#This Row],[Fraud_Score]]&gt;=6, "High Risk",IF(Table1[[#This Row],[Fraud_Score]]&gt;=3, "Medium Risk", "Low Risk"))</f>
        <v>Low Risk</v>
      </c>
      <c r="R652">
        <f>IF(Table1[[#This Row],[Seconds of Use]]=0,0,Table1[[#This Row],[Customer Value]]/Table1[[#This Row],[Seconds of Use]]*100)</f>
        <v>5.2912280701754382</v>
      </c>
    </row>
    <row r="653" spans="1:18" x14ac:dyDescent="0.35">
      <c r="A653" s="3" t="s">
        <v>674</v>
      </c>
      <c r="B653">
        <v>2</v>
      </c>
      <c r="C653">
        <v>0</v>
      </c>
      <c r="D653">
        <v>39</v>
      </c>
      <c r="E653">
        <v>0</v>
      </c>
      <c r="F653">
        <v>508</v>
      </c>
      <c r="G653">
        <v>6</v>
      </c>
      <c r="H653">
        <v>16</v>
      </c>
      <c r="I653">
        <v>7</v>
      </c>
      <c r="J653">
        <v>2</v>
      </c>
      <c r="K653">
        <v>1</v>
      </c>
      <c r="L653">
        <v>2</v>
      </c>
      <c r="M653">
        <v>25</v>
      </c>
      <c r="N653">
        <v>95.13</v>
      </c>
      <c r="O653">
        <v>0</v>
      </c>
      <c r="P6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53" t="str">
        <f>IF(Table1[[#This Row],[Fraud_Score]]&gt;=6, "High Risk",IF(Table1[[#This Row],[Fraud_Score]]&gt;=3, "Medium Risk", "Low Risk"))</f>
        <v>Low Risk</v>
      </c>
      <c r="R653">
        <f>IF(Table1[[#This Row],[Seconds of Use]]=0,0,Table1[[#This Row],[Customer Value]]/Table1[[#This Row],[Seconds of Use]]*100)</f>
        <v>18.726377952755904</v>
      </c>
    </row>
    <row r="654" spans="1:18" x14ac:dyDescent="0.35">
      <c r="A654" s="3" t="s">
        <v>675</v>
      </c>
      <c r="B654">
        <v>12</v>
      </c>
      <c r="C654">
        <v>0</v>
      </c>
      <c r="D654">
        <v>37</v>
      </c>
      <c r="E654">
        <v>0</v>
      </c>
      <c r="F654">
        <v>2643</v>
      </c>
      <c r="G654">
        <v>61</v>
      </c>
      <c r="H654">
        <v>368</v>
      </c>
      <c r="I654">
        <v>27</v>
      </c>
      <c r="J654">
        <v>3</v>
      </c>
      <c r="K654">
        <v>1</v>
      </c>
      <c r="L654">
        <v>1</v>
      </c>
      <c r="M654">
        <v>30</v>
      </c>
      <c r="N654">
        <v>1580.16</v>
      </c>
      <c r="O654">
        <v>0</v>
      </c>
      <c r="P6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54" t="str">
        <f>IF(Table1[[#This Row],[Fraud_Score]]&gt;=6, "High Risk",IF(Table1[[#This Row],[Fraud_Score]]&gt;=3, "Medium Risk", "Low Risk"))</f>
        <v>Medium Risk</v>
      </c>
      <c r="R654">
        <f>IF(Table1[[#This Row],[Seconds of Use]]=0,0,Table1[[#This Row],[Customer Value]]/Table1[[#This Row],[Seconds of Use]]*100)</f>
        <v>59.786606129398415</v>
      </c>
    </row>
    <row r="655" spans="1:18" x14ac:dyDescent="0.35">
      <c r="A655" s="3" t="s">
        <v>676</v>
      </c>
      <c r="B655">
        <v>12</v>
      </c>
      <c r="C655">
        <v>0</v>
      </c>
      <c r="D655">
        <v>38</v>
      </c>
      <c r="E655">
        <v>0</v>
      </c>
      <c r="F655">
        <v>4388</v>
      </c>
      <c r="G655">
        <v>67</v>
      </c>
      <c r="H655">
        <v>10</v>
      </c>
      <c r="I655">
        <v>38</v>
      </c>
      <c r="J655">
        <v>1</v>
      </c>
      <c r="K655">
        <v>1</v>
      </c>
      <c r="L655">
        <v>1</v>
      </c>
      <c r="M655">
        <v>15</v>
      </c>
      <c r="N655">
        <v>300.02499999999998</v>
      </c>
      <c r="O655">
        <v>0</v>
      </c>
      <c r="P6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55" t="str">
        <f>IF(Table1[[#This Row],[Fraud_Score]]&gt;=6, "High Risk",IF(Table1[[#This Row],[Fraud_Score]]&gt;=3, "Medium Risk", "Low Risk"))</f>
        <v>Medium Risk</v>
      </c>
      <c r="R655">
        <f>IF(Table1[[#This Row],[Seconds of Use]]=0,0,Table1[[#This Row],[Customer Value]]/Table1[[#This Row],[Seconds of Use]]*100)</f>
        <v>6.83739744758432</v>
      </c>
    </row>
    <row r="656" spans="1:18" x14ac:dyDescent="0.35">
      <c r="A656" s="3" t="s">
        <v>677</v>
      </c>
      <c r="B656">
        <v>5</v>
      </c>
      <c r="C656">
        <v>0</v>
      </c>
      <c r="D656">
        <v>38</v>
      </c>
      <c r="E656">
        <v>0</v>
      </c>
      <c r="F656">
        <v>2583</v>
      </c>
      <c r="G656">
        <v>59</v>
      </c>
      <c r="H656">
        <v>11</v>
      </c>
      <c r="I656">
        <v>36</v>
      </c>
      <c r="J656">
        <v>1</v>
      </c>
      <c r="K656">
        <v>1</v>
      </c>
      <c r="L656">
        <v>1</v>
      </c>
      <c r="M656">
        <v>15</v>
      </c>
      <c r="N656">
        <v>205.81</v>
      </c>
      <c r="O656">
        <v>0</v>
      </c>
      <c r="P6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56" t="str">
        <f>IF(Table1[[#This Row],[Fraud_Score]]&gt;=6, "High Risk",IF(Table1[[#This Row],[Fraud_Score]]&gt;=3, "Medium Risk", "Low Risk"))</f>
        <v>Low Risk</v>
      </c>
      <c r="R656">
        <f>IF(Table1[[#This Row],[Seconds of Use]]=0,0,Table1[[#This Row],[Customer Value]]/Table1[[#This Row],[Seconds of Use]]*100)</f>
        <v>7.9678668215253587</v>
      </c>
    </row>
    <row r="657" spans="1:18" x14ac:dyDescent="0.35">
      <c r="A657" s="3" t="s">
        <v>678</v>
      </c>
      <c r="B657">
        <v>13</v>
      </c>
      <c r="C657">
        <v>0</v>
      </c>
      <c r="D657">
        <v>38</v>
      </c>
      <c r="E657">
        <v>1</v>
      </c>
      <c r="F657">
        <v>3965</v>
      </c>
      <c r="G657">
        <v>83</v>
      </c>
      <c r="H657">
        <v>41</v>
      </c>
      <c r="I657">
        <v>31</v>
      </c>
      <c r="J657">
        <v>3</v>
      </c>
      <c r="K657">
        <v>1</v>
      </c>
      <c r="L657">
        <v>1</v>
      </c>
      <c r="M657">
        <v>30</v>
      </c>
      <c r="N657">
        <v>325.92</v>
      </c>
      <c r="O657">
        <v>0</v>
      </c>
      <c r="P6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57" t="str">
        <f>IF(Table1[[#This Row],[Fraud_Score]]&gt;=6, "High Risk",IF(Table1[[#This Row],[Fraud_Score]]&gt;=3, "Medium Risk", "Low Risk"))</f>
        <v>Low Risk</v>
      </c>
      <c r="R657">
        <f>IF(Table1[[#This Row],[Seconds of Use]]=0,0,Table1[[#This Row],[Customer Value]]/Table1[[#This Row],[Seconds of Use]]*100)</f>
        <v>8.2199243379571261</v>
      </c>
    </row>
    <row r="658" spans="1:18" x14ac:dyDescent="0.35">
      <c r="A658" s="3" t="s">
        <v>679</v>
      </c>
      <c r="B658">
        <v>6</v>
      </c>
      <c r="C658">
        <v>0</v>
      </c>
      <c r="D658">
        <v>38</v>
      </c>
      <c r="E658">
        <v>0</v>
      </c>
      <c r="F658">
        <v>2550</v>
      </c>
      <c r="G658">
        <v>40</v>
      </c>
      <c r="H658">
        <v>294</v>
      </c>
      <c r="I658">
        <v>21</v>
      </c>
      <c r="J658">
        <v>3</v>
      </c>
      <c r="K658">
        <v>1</v>
      </c>
      <c r="L658">
        <v>1</v>
      </c>
      <c r="M658">
        <v>30</v>
      </c>
      <c r="N658">
        <v>1279.5999999999999</v>
      </c>
      <c r="O658">
        <v>0</v>
      </c>
      <c r="P6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58" t="str">
        <f>IF(Table1[[#This Row],[Fraud_Score]]&gt;=6, "High Risk",IF(Table1[[#This Row],[Fraud_Score]]&gt;=3, "Medium Risk", "Low Risk"))</f>
        <v>Low Risk</v>
      </c>
      <c r="R658">
        <f>IF(Table1[[#This Row],[Seconds of Use]]=0,0,Table1[[#This Row],[Customer Value]]/Table1[[#This Row],[Seconds of Use]]*100)</f>
        <v>50.180392156862737</v>
      </c>
    </row>
    <row r="659" spans="1:18" x14ac:dyDescent="0.35">
      <c r="A659" s="3" t="s">
        <v>680</v>
      </c>
      <c r="B659">
        <v>15</v>
      </c>
      <c r="C659">
        <v>0</v>
      </c>
      <c r="D659">
        <v>37</v>
      </c>
      <c r="E659">
        <v>2</v>
      </c>
      <c r="F659">
        <v>9305</v>
      </c>
      <c r="G659">
        <v>122</v>
      </c>
      <c r="H659">
        <v>153</v>
      </c>
      <c r="I659">
        <v>46</v>
      </c>
      <c r="J659">
        <v>3</v>
      </c>
      <c r="K659">
        <v>1</v>
      </c>
      <c r="L659">
        <v>1</v>
      </c>
      <c r="M659">
        <v>30</v>
      </c>
      <c r="N659">
        <v>989.08</v>
      </c>
      <c r="O659">
        <v>0</v>
      </c>
      <c r="P6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59" t="str">
        <f>IF(Table1[[#This Row],[Fraud_Score]]&gt;=6, "High Risk",IF(Table1[[#This Row],[Fraud_Score]]&gt;=3, "Medium Risk", "Low Risk"))</f>
        <v>Low Risk</v>
      </c>
      <c r="R659">
        <f>IF(Table1[[#This Row],[Seconds of Use]]=0,0,Table1[[#This Row],[Customer Value]]/Table1[[#This Row],[Seconds of Use]]*100)</f>
        <v>10.629554003224072</v>
      </c>
    </row>
    <row r="660" spans="1:18" x14ac:dyDescent="0.35">
      <c r="A660" s="3" t="s">
        <v>681</v>
      </c>
      <c r="B660">
        <v>9</v>
      </c>
      <c r="C660">
        <v>0</v>
      </c>
      <c r="D660">
        <v>38</v>
      </c>
      <c r="E660">
        <v>0</v>
      </c>
      <c r="F660">
        <v>13963</v>
      </c>
      <c r="G660">
        <v>170</v>
      </c>
      <c r="H660">
        <v>9</v>
      </c>
      <c r="I660">
        <v>47</v>
      </c>
      <c r="J660">
        <v>3</v>
      </c>
      <c r="K660">
        <v>1</v>
      </c>
      <c r="L660">
        <v>1</v>
      </c>
      <c r="M660">
        <v>30</v>
      </c>
      <c r="N660">
        <v>601.32000000000005</v>
      </c>
      <c r="O660">
        <v>0</v>
      </c>
      <c r="P6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60" t="str">
        <f>IF(Table1[[#This Row],[Fraud_Score]]&gt;=6, "High Risk",IF(Table1[[#This Row],[Fraud_Score]]&gt;=3, "Medium Risk", "Low Risk"))</f>
        <v>Medium Risk</v>
      </c>
      <c r="R660">
        <f>IF(Table1[[#This Row],[Seconds of Use]]=0,0,Table1[[#This Row],[Customer Value]]/Table1[[#This Row],[Seconds of Use]]*100)</f>
        <v>4.3065243858769611</v>
      </c>
    </row>
    <row r="661" spans="1:18" x14ac:dyDescent="0.35">
      <c r="A661" s="3" t="s">
        <v>682</v>
      </c>
      <c r="B661">
        <v>9</v>
      </c>
      <c r="C661">
        <v>0</v>
      </c>
      <c r="D661">
        <v>38</v>
      </c>
      <c r="E661">
        <v>1</v>
      </c>
      <c r="F661">
        <v>4705</v>
      </c>
      <c r="G661">
        <v>84</v>
      </c>
      <c r="H661">
        <v>11</v>
      </c>
      <c r="I661">
        <v>28</v>
      </c>
      <c r="J661">
        <v>3</v>
      </c>
      <c r="K661">
        <v>1</v>
      </c>
      <c r="L661">
        <v>1</v>
      </c>
      <c r="M661">
        <v>30</v>
      </c>
      <c r="N661">
        <v>235.56</v>
      </c>
      <c r="O661">
        <v>0</v>
      </c>
      <c r="P6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61" t="str">
        <f>IF(Table1[[#This Row],[Fraud_Score]]&gt;=6, "High Risk",IF(Table1[[#This Row],[Fraud_Score]]&gt;=3, "Medium Risk", "Low Risk"))</f>
        <v>Low Risk</v>
      </c>
      <c r="R661">
        <f>IF(Table1[[#This Row],[Seconds of Use]]=0,0,Table1[[#This Row],[Customer Value]]/Table1[[#This Row],[Seconds of Use]]*100)</f>
        <v>5.0065887353878855</v>
      </c>
    </row>
    <row r="662" spans="1:18" x14ac:dyDescent="0.35">
      <c r="A662" s="3" t="s">
        <v>683</v>
      </c>
      <c r="B662">
        <v>8</v>
      </c>
      <c r="C662">
        <v>0</v>
      </c>
      <c r="D662">
        <v>38</v>
      </c>
      <c r="E662">
        <v>0</v>
      </c>
      <c r="F662">
        <v>6108</v>
      </c>
      <c r="G662">
        <v>96</v>
      </c>
      <c r="H662">
        <v>16</v>
      </c>
      <c r="I662">
        <v>15</v>
      </c>
      <c r="J662">
        <v>3</v>
      </c>
      <c r="K662">
        <v>1</v>
      </c>
      <c r="L662">
        <v>1</v>
      </c>
      <c r="M662">
        <v>30</v>
      </c>
      <c r="N662">
        <v>312.16000000000003</v>
      </c>
      <c r="O662">
        <v>0</v>
      </c>
      <c r="P6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62" t="str">
        <f>IF(Table1[[#This Row],[Fraud_Score]]&gt;=6, "High Risk",IF(Table1[[#This Row],[Fraud_Score]]&gt;=3, "Medium Risk", "Low Risk"))</f>
        <v>Low Risk</v>
      </c>
      <c r="R662">
        <f>IF(Table1[[#This Row],[Seconds of Use]]=0,0,Table1[[#This Row],[Customer Value]]/Table1[[#This Row],[Seconds of Use]]*100)</f>
        <v>5.1106745252128363</v>
      </c>
    </row>
    <row r="663" spans="1:18" x14ac:dyDescent="0.35">
      <c r="A663" s="3" t="s">
        <v>684</v>
      </c>
      <c r="B663">
        <v>11</v>
      </c>
      <c r="C663">
        <v>1</v>
      </c>
      <c r="D663">
        <v>38</v>
      </c>
      <c r="E663">
        <v>0</v>
      </c>
      <c r="F663">
        <v>2428</v>
      </c>
      <c r="G663">
        <v>55</v>
      </c>
      <c r="H663">
        <v>17</v>
      </c>
      <c r="I663">
        <v>20</v>
      </c>
      <c r="J663">
        <v>3</v>
      </c>
      <c r="K663">
        <v>1</v>
      </c>
      <c r="L663">
        <v>2</v>
      </c>
      <c r="M663">
        <v>30</v>
      </c>
      <c r="N663">
        <v>167.32</v>
      </c>
      <c r="O663">
        <v>0</v>
      </c>
      <c r="P6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63" t="str">
        <f>IF(Table1[[#This Row],[Fraud_Score]]&gt;=6, "High Risk",IF(Table1[[#This Row],[Fraud_Score]]&gt;=3, "Medium Risk", "Low Risk"))</f>
        <v>Medium Risk</v>
      </c>
      <c r="R663">
        <f>IF(Table1[[#This Row],[Seconds of Use]]=0,0,Table1[[#This Row],[Customer Value]]/Table1[[#This Row],[Seconds of Use]]*100)</f>
        <v>6.8912685337726511</v>
      </c>
    </row>
    <row r="664" spans="1:18" x14ac:dyDescent="0.35">
      <c r="A664" s="3" t="s">
        <v>685</v>
      </c>
      <c r="B664">
        <v>27</v>
      </c>
      <c r="C664">
        <v>0</v>
      </c>
      <c r="D664">
        <v>38</v>
      </c>
      <c r="E664">
        <v>3</v>
      </c>
      <c r="F664">
        <v>15330</v>
      </c>
      <c r="G664">
        <v>226</v>
      </c>
      <c r="H664">
        <v>63</v>
      </c>
      <c r="I664">
        <v>35</v>
      </c>
      <c r="J664">
        <v>3</v>
      </c>
      <c r="K664">
        <v>1</v>
      </c>
      <c r="L664">
        <v>1</v>
      </c>
      <c r="M664">
        <v>30</v>
      </c>
      <c r="N664">
        <v>874.24</v>
      </c>
      <c r="O664">
        <v>0</v>
      </c>
      <c r="P6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664" t="str">
        <f>IF(Table1[[#This Row],[Fraud_Score]]&gt;=6, "High Risk",IF(Table1[[#This Row],[Fraud_Score]]&gt;=3, "Medium Risk", "Low Risk"))</f>
        <v>Medium Risk</v>
      </c>
      <c r="R664">
        <f>IF(Table1[[#This Row],[Seconds of Use]]=0,0,Table1[[#This Row],[Customer Value]]/Table1[[#This Row],[Seconds of Use]]*100)</f>
        <v>5.7028049575994784</v>
      </c>
    </row>
    <row r="665" spans="1:18" x14ac:dyDescent="0.35">
      <c r="A665" s="3" t="s">
        <v>686</v>
      </c>
      <c r="B665">
        <v>6</v>
      </c>
      <c r="C665">
        <v>0</v>
      </c>
      <c r="D665">
        <v>38</v>
      </c>
      <c r="E665">
        <v>1</v>
      </c>
      <c r="F665">
        <v>3285</v>
      </c>
      <c r="G665">
        <v>28</v>
      </c>
      <c r="H665">
        <v>492</v>
      </c>
      <c r="I665">
        <v>11</v>
      </c>
      <c r="J665">
        <v>3</v>
      </c>
      <c r="K665">
        <v>1</v>
      </c>
      <c r="L665">
        <v>1</v>
      </c>
      <c r="M665">
        <v>30</v>
      </c>
      <c r="N665">
        <v>2100.52</v>
      </c>
      <c r="O665">
        <v>0</v>
      </c>
      <c r="P6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65" t="str">
        <f>IF(Table1[[#This Row],[Fraud_Score]]&gt;=6, "High Risk",IF(Table1[[#This Row],[Fraud_Score]]&gt;=3, "Medium Risk", "Low Risk"))</f>
        <v>Low Risk</v>
      </c>
      <c r="R665">
        <f>IF(Table1[[#This Row],[Seconds of Use]]=0,0,Table1[[#This Row],[Customer Value]]/Table1[[#This Row],[Seconds of Use]]*100)</f>
        <v>63.942770167427696</v>
      </c>
    </row>
    <row r="666" spans="1:18" x14ac:dyDescent="0.35">
      <c r="A666" s="3" t="s">
        <v>687</v>
      </c>
      <c r="B666">
        <v>11</v>
      </c>
      <c r="C666">
        <v>0</v>
      </c>
      <c r="D666">
        <v>37</v>
      </c>
      <c r="E666">
        <v>0</v>
      </c>
      <c r="F666">
        <v>15675</v>
      </c>
      <c r="G666">
        <v>183</v>
      </c>
      <c r="H666">
        <v>159</v>
      </c>
      <c r="I666">
        <v>33</v>
      </c>
      <c r="J666">
        <v>2</v>
      </c>
      <c r="K666">
        <v>1</v>
      </c>
      <c r="L666">
        <v>1</v>
      </c>
      <c r="M666">
        <v>25</v>
      </c>
      <c r="N666">
        <v>1429.11</v>
      </c>
      <c r="O666">
        <v>0</v>
      </c>
      <c r="P6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66" t="str">
        <f>IF(Table1[[#This Row],[Fraud_Score]]&gt;=6, "High Risk",IF(Table1[[#This Row],[Fraud_Score]]&gt;=3, "Medium Risk", "Low Risk"))</f>
        <v>Medium Risk</v>
      </c>
      <c r="R666">
        <f>IF(Table1[[#This Row],[Seconds of Use]]=0,0,Table1[[#This Row],[Customer Value]]/Table1[[#This Row],[Seconds of Use]]*100)</f>
        <v>9.1171291866028703</v>
      </c>
    </row>
    <row r="667" spans="1:18" x14ac:dyDescent="0.35">
      <c r="A667" s="3" t="s">
        <v>688</v>
      </c>
      <c r="B667">
        <v>5</v>
      </c>
      <c r="C667">
        <v>0</v>
      </c>
      <c r="D667">
        <v>37</v>
      </c>
      <c r="E667">
        <v>1</v>
      </c>
      <c r="F667">
        <v>6690</v>
      </c>
      <c r="G667">
        <v>87</v>
      </c>
      <c r="H667">
        <v>195</v>
      </c>
      <c r="I667">
        <v>29</v>
      </c>
      <c r="J667">
        <v>3</v>
      </c>
      <c r="K667">
        <v>1</v>
      </c>
      <c r="L667">
        <v>1</v>
      </c>
      <c r="M667">
        <v>30</v>
      </c>
      <c r="N667">
        <v>1051.08</v>
      </c>
      <c r="O667">
        <v>0</v>
      </c>
      <c r="P6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67" t="str">
        <f>IF(Table1[[#This Row],[Fraud_Score]]&gt;=6, "High Risk",IF(Table1[[#This Row],[Fraud_Score]]&gt;=3, "Medium Risk", "Low Risk"))</f>
        <v>Low Risk</v>
      </c>
      <c r="R667">
        <f>IF(Table1[[#This Row],[Seconds of Use]]=0,0,Table1[[#This Row],[Customer Value]]/Table1[[#This Row],[Seconds of Use]]*100)</f>
        <v>15.711210762331836</v>
      </c>
    </row>
    <row r="668" spans="1:18" x14ac:dyDescent="0.35">
      <c r="A668" s="3" t="s">
        <v>689</v>
      </c>
      <c r="B668">
        <v>2</v>
      </c>
      <c r="C668">
        <v>0</v>
      </c>
      <c r="D668">
        <v>37</v>
      </c>
      <c r="E668">
        <v>0</v>
      </c>
      <c r="F668">
        <v>1065</v>
      </c>
      <c r="G668">
        <v>15</v>
      </c>
      <c r="H668">
        <v>9</v>
      </c>
      <c r="I668">
        <v>14</v>
      </c>
      <c r="J668">
        <v>2</v>
      </c>
      <c r="K668">
        <v>1</v>
      </c>
      <c r="L668">
        <v>2</v>
      </c>
      <c r="M668">
        <v>25</v>
      </c>
      <c r="N668">
        <v>89.1</v>
      </c>
      <c r="O668">
        <v>0</v>
      </c>
      <c r="P6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68" t="str">
        <f>IF(Table1[[#This Row],[Fraud_Score]]&gt;=6, "High Risk",IF(Table1[[#This Row],[Fraud_Score]]&gt;=3, "Medium Risk", "Low Risk"))</f>
        <v>Low Risk</v>
      </c>
      <c r="R668">
        <f>IF(Table1[[#This Row],[Seconds of Use]]=0,0,Table1[[#This Row],[Customer Value]]/Table1[[#This Row],[Seconds of Use]]*100)</f>
        <v>8.3661971830985902</v>
      </c>
    </row>
    <row r="669" spans="1:18" x14ac:dyDescent="0.35">
      <c r="A669" s="3" t="s">
        <v>690</v>
      </c>
      <c r="B669">
        <v>4</v>
      </c>
      <c r="C669">
        <v>0</v>
      </c>
      <c r="D669">
        <v>38</v>
      </c>
      <c r="E669">
        <v>0</v>
      </c>
      <c r="F669">
        <v>900</v>
      </c>
      <c r="G669">
        <v>15</v>
      </c>
      <c r="H669">
        <v>22</v>
      </c>
      <c r="I669">
        <v>11</v>
      </c>
      <c r="J669">
        <v>3</v>
      </c>
      <c r="K669">
        <v>1</v>
      </c>
      <c r="L669">
        <v>2</v>
      </c>
      <c r="M669">
        <v>30</v>
      </c>
      <c r="N669">
        <v>124.6</v>
      </c>
      <c r="O669">
        <v>0</v>
      </c>
      <c r="P6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69" t="str">
        <f>IF(Table1[[#This Row],[Fraud_Score]]&gt;=6, "High Risk",IF(Table1[[#This Row],[Fraud_Score]]&gt;=3, "Medium Risk", "Low Risk"))</f>
        <v>Low Risk</v>
      </c>
      <c r="R669">
        <f>IF(Table1[[#This Row],[Seconds of Use]]=0,0,Table1[[#This Row],[Customer Value]]/Table1[[#This Row],[Seconds of Use]]*100)</f>
        <v>13.844444444444443</v>
      </c>
    </row>
    <row r="670" spans="1:18" x14ac:dyDescent="0.35">
      <c r="A670" s="3" t="s">
        <v>691</v>
      </c>
      <c r="B670">
        <v>2</v>
      </c>
      <c r="C670">
        <v>0</v>
      </c>
      <c r="D670">
        <v>37</v>
      </c>
      <c r="E670">
        <v>0</v>
      </c>
      <c r="F670">
        <v>190</v>
      </c>
      <c r="G670">
        <v>1</v>
      </c>
      <c r="H670">
        <v>9</v>
      </c>
      <c r="I670">
        <v>3</v>
      </c>
      <c r="J670">
        <v>2</v>
      </c>
      <c r="K670">
        <v>1</v>
      </c>
      <c r="L670">
        <v>2</v>
      </c>
      <c r="M670">
        <v>25</v>
      </c>
      <c r="N670">
        <v>49.094999999999999</v>
      </c>
      <c r="O670">
        <v>1</v>
      </c>
      <c r="P6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70" t="str">
        <f>IF(Table1[[#This Row],[Fraud_Score]]&gt;=6, "High Risk",IF(Table1[[#This Row],[Fraud_Score]]&gt;=3, "Medium Risk", "Low Risk"))</f>
        <v>Low Risk</v>
      </c>
      <c r="R670">
        <f>IF(Table1[[#This Row],[Seconds of Use]]=0,0,Table1[[#This Row],[Customer Value]]/Table1[[#This Row],[Seconds of Use]]*100)</f>
        <v>25.839473684210525</v>
      </c>
    </row>
    <row r="671" spans="1:18" x14ac:dyDescent="0.35">
      <c r="A671" s="3" t="s">
        <v>692</v>
      </c>
      <c r="B671">
        <v>5</v>
      </c>
      <c r="C671">
        <v>0</v>
      </c>
      <c r="D671">
        <v>37</v>
      </c>
      <c r="E671">
        <v>0</v>
      </c>
      <c r="F671">
        <v>7698</v>
      </c>
      <c r="G671">
        <v>128</v>
      </c>
      <c r="H671">
        <v>393</v>
      </c>
      <c r="I671">
        <v>46</v>
      </c>
      <c r="J671">
        <v>2</v>
      </c>
      <c r="K671">
        <v>1</v>
      </c>
      <c r="L671">
        <v>1</v>
      </c>
      <c r="M671">
        <v>25</v>
      </c>
      <c r="N671">
        <v>2120.67</v>
      </c>
      <c r="O671">
        <v>0</v>
      </c>
      <c r="P6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71" t="str">
        <f>IF(Table1[[#This Row],[Fraud_Score]]&gt;=6, "High Risk",IF(Table1[[#This Row],[Fraud_Score]]&gt;=3, "Medium Risk", "Low Risk"))</f>
        <v>Low Risk</v>
      </c>
      <c r="R671">
        <f>IF(Table1[[#This Row],[Seconds of Use]]=0,0,Table1[[#This Row],[Customer Value]]/Table1[[#This Row],[Seconds of Use]]*100)</f>
        <v>27.548324240062357</v>
      </c>
    </row>
    <row r="672" spans="1:18" x14ac:dyDescent="0.35">
      <c r="A672" s="3" t="s">
        <v>693</v>
      </c>
      <c r="B672">
        <v>9</v>
      </c>
      <c r="C672">
        <v>0</v>
      </c>
      <c r="D672">
        <v>37</v>
      </c>
      <c r="E672">
        <v>1</v>
      </c>
      <c r="F672">
        <v>11655</v>
      </c>
      <c r="G672">
        <v>155</v>
      </c>
      <c r="H672">
        <v>20</v>
      </c>
      <c r="I672">
        <v>50</v>
      </c>
      <c r="J672">
        <v>4</v>
      </c>
      <c r="K672">
        <v>1</v>
      </c>
      <c r="L672">
        <v>1</v>
      </c>
      <c r="M672">
        <v>45</v>
      </c>
      <c r="N672">
        <v>345.25</v>
      </c>
      <c r="O672">
        <v>0</v>
      </c>
      <c r="P6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72" t="str">
        <f>IF(Table1[[#This Row],[Fraud_Score]]&gt;=6, "High Risk",IF(Table1[[#This Row],[Fraud_Score]]&gt;=3, "Medium Risk", "Low Risk"))</f>
        <v>Medium Risk</v>
      </c>
      <c r="R672">
        <f>IF(Table1[[#This Row],[Seconds of Use]]=0,0,Table1[[#This Row],[Customer Value]]/Table1[[#This Row],[Seconds of Use]]*100)</f>
        <v>2.9622479622479623</v>
      </c>
    </row>
    <row r="673" spans="1:18" x14ac:dyDescent="0.35">
      <c r="A673" s="3" t="s">
        <v>694</v>
      </c>
      <c r="B673">
        <v>10</v>
      </c>
      <c r="C673">
        <v>0</v>
      </c>
      <c r="D673">
        <v>37</v>
      </c>
      <c r="E673">
        <v>1</v>
      </c>
      <c r="F673">
        <v>6908</v>
      </c>
      <c r="G673">
        <v>76</v>
      </c>
      <c r="H673">
        <v>117</v>
      </c>
      <c r="I673">
        <v>40</v>
      </c>
      <c r="J673">
        <v>2</v>
      </c>
      <c r="K673">
        <v>1</v>
      </c>
      <c r="L673">
        <v>1</v>
      </c>
      <c r="M673">
        <v>25</v>
      </c>
      <c r="N673">
        <v>840.78</v>
      </c>
      <c r="O673">
        <v>0</v>
      </c>
      <c r="P6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73" t="str">
        <f>IF(Table1[[#This Row],[Fraud_Score]]&gt;=6, "High Risk",IF(Table1[[#This Row],[Fraud_Score]]&gt;=3, "Medium Risk", "Low Risk"))</f>
        <v>Low Risk</v>
      </c>
      <c r="R673">
        <f>IF(Table1[[#This Row],[Seconds of Use]]=0,0,Table1[[#This Row],[Customer Value]]/Table1[[#This Row],[Seconds of Use]]*100)</f>
        <v>12.171105964099596</v>
      </c>
    </row>
    <row r="674" spans="1:18" x14ac:dyDescent="0.35">
      <c r="A674" s="3" t="s">
        <v>695</v>
      </c>
      <c r="B674">
        <v>25</v>
      </c>
      <c r="C674">
        <v>1</v>
      </c>
      <c r="D674">
        <v>33</v>
      </c>
      <c r="E674">
        <v>0</v>
      </c>
      <c r="F674">
        <v>1145</v>
      </c>
      <c r="G674">
        <v>48</v>
      </c>
      <c r="H674">
        <v>25</v>
      </c>
      <c r="I674">
        <v>20</v>
      </c>
      <c r="J674">
        <v>2</v>
      </c>
      <c r="K674">
        <v>1</v>
      </c>
      <c r="L674">
        <v>2</v>
      </c>
      <c r="M674">
        <v>25</v>
      </c>
      <c r="N674">
        <v>166.185</v>
      </c>
      <c r="O674">
        <v>1</v>
      </c>
      <c r="P6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74" t="str">
        <f>IF(Table1[[#This Row],[Fraud_Score]]&gt;=6, "High Risk",IF(Table1[[#This Row],[Fraud_Score]]&gt;=3, "Medium Risk", "Low Risk"))</f>
        <v>Medium Risk</v>
      </c>
      <c r="R674">
        <f>IF(Table1[[#This Row],[Seconds of Use]]=0,0,Table1[[#This Row],[Customer Value]]/Table1[[#This Row],[Seconds of Use]]*100)</f>
        <v>14.513973799126637</v>
      </c>
    </row>
    <row r="675" spans="1:18" x14ac:dyDescent="0.35">
      <c r="A675" s="3" t="s">
        <v>696</v>
      </c>
      <c r="B675">
        <v>23</v>
      </c>
      <c r="C675">
        <v>0</v>
      </c>
      <c r="D675">
        <v>36</v>
      </c>
      <c r="E675">
        <v>8</v>
      </c>
      <c r="F675">
        <v>10625</v>
      </c>
      <c r="G675">
        <v>94</v>
      </c>
      <c r="H675">
        <v>10</v>
      </c>
      <c r="I675">
        <v>45</v>
      </c>
      <c r="J675">
        <v>5</v>
      </c>
      <c r="K675">
        <v>1</v>
      </c>
      <c r="L675">
        <v>1</v>
      </c>
      <c r="M675">
        <v>55</v>
      </c>
      <c r="N675">
        <v>175.785</v>
      </c>
      <c r="O675">
        <v>0</v>
      </c>
      <c r="P6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75" t="str">
        <f>IF(Table1[[#This Row],[Fraud_Score]]&gt;=6, "High Risk",IF(Table1[[#This Row],[Fraud_Score]]&gt;=3, "Medium Risk", "Low Risk"))</f>
        <v>Low Risk</v>
      </c>
      <c r="R675">
        <f>IF(Table1[[#This Row],[Seconds of Use]]=0,0,Table1[[#This Row],[Customer Value]]/Table1[[#This Row],[Seconds of Use]]*100)</f>
        <v>1.6544470588235292</v>
      </c>
    </row>
    <row r="676" spans="1:18" x14ac:dyDescent="0.35">
      <c r="A676" s="3" t="s">
        <v>697</v>
      </c>
      <c r="B676">
        <v>15</v>
      </c>
      <c r="C676">
        <v>0</v>
      </c>
      <c r="D676">
        <v>36</v>
      </c>
      <c r="E676">
        <v>1</v>
      </c>
      <c r="F676">
        <v>6008</v>
      </c>
      <c r="G676">
        <v>99</v>
      </c>
      <c r="H676">
        <v>35</v>
      </c>
      <c r="I676">
        <v>27</v>
      </c>
      <c r="J676">
        <v>2</v>
      </c>
      <c r="K676">
        <v>1</v>
      </c>
      <c r="L676">
        <v>1</v>
      </c>
      <c r="M676">
        <v>25</v>
      </c>
      <c r="N676">
        <v>432.315</v>
      </c>
      <c r="O676">
        <v>1</v>
      </c>
      <c r="P6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76" t="str">
        <f>IF(Table1[[#This Row],[Fraud_Score]]&gt;=6, "High Risk",IF(Table1[[#This Row],[Fraud_Score]]&gt;=3, "Medium Risk", "Low Risk"))</f>
        <v>Low Risk</v>
      </c>
      <c r="R676">
        <f>IF(Table1[[#This Row],[Seconds of Use]]=0,0,Table1[[#This Row],[Customer Value]]/Table1[[#This Row],[Seconds of Use]]*100)</f>
        <v>7.1956557922769644</v>
      </c>
    </row>
    <row r="677" spans="1:18" x14ac:dyDescent="0.35">
      <c r="A677" s="3" t="s">
        <v>698</v>
      </c>
      <c r="B677">
        <v>3</v>
      </c>
      <c r="C677">
        <v>0</v>
      </c>
      <c r="D677">
        <v>34</v>
      </c>
      <c r="E677">
        <v>0</v>
      </c>
      <c r="F677">
        <v>3030</v>
      </c>
      <c r="G677">
        <v>23</v>
      </c>
      <c r="H677">
        <v>9</v>
      </c>
      <c r="I677">
        <v>17</v>
      </c>
      <c r="J677">
        <v>3</v>
      </c>
      <c r="K677">
        <v>1</v>
      </c>
      <c r="L677">
        <v>1</v>
      </c>
      <c r="M677">
        <v>30</v>
      </c>
      <c r="N677">
        <v>158.12</v>
      </c>
      <c r="O677">
        <v>0</v>
      </c>
      <c r="P6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77" t="str">
        <f>IF(Table1[[#This Row],[Fraud_Score]]&gt;=6, "High Risk",IF(Table1[[#This Row],[Fraud_Score]]&gt;=3, "Medium Risk", "Low Risk"))</f>
        <v>Low Risk</v>
      </c>
      <c r="R677">
        <f>IF(Table1[[#This Row],[Seconds of Use]]=0,0,Table1[[#This Row],[Customer Value]]/Table1[[#This Row],[Seconds of Use]]*100)</f>
        <v>5.218481848184819</v>
      </c>
    </row>
    <row r="678" spans="1:18" x14ac:dyDescent="0.35">
      <c r="A678" s="3" t="s">
        <v>699</v>
      </c>
      <c r="B678">
        <v>11</v>
      </c>
      <c r="C678">
        <v>1</v>
      </c>
      <c r="D678">
        <v>35</v>
      </c>
      <c r="E678">
        <v>0</v>
      </c>
      <c r="F678">
        <v>3180</v>
      </c>
      <c r="G678">
        <v>42</v>
      </c>
      <c r="H678">
        <v>18</v>
      </c>
      <c r="I678">
        <v>19</v>
      </c>
      <c r="J678">
        <v>3</v>
      </c>
      <c r="K678">
        <v>1</v>
      </c>
      <c r="L678">
        <v>2</v>
      </c>
      <c r="M678">
        <v>30</v>
      </c>
      <c r="N678">
        <v>200.88</v>
      </c>
      <c r="O678">
        <v>1</v>
      </c>
      <c r="P6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78" t="str">
        <f>IF(Table1[[#This Row],[Fraud_Score]]&gt;=6, "High Risk",IF(Table1[[#This Row],[Fraud_Score]]&gt;=3, "Medium Risk", "Low Risk"))</f>
        <v>Medium Risk</v>
      </c>
      <c r="R678">
        <f>IF(Table1[[#This Row],[Seconds of Use]]=0,0,Table1[[#This Row],[Customer Value]]/Table1[[#This Row],[Seconds of Use]]*100)</f>
        <v>6.3169811320754725</v>
      </c>
    </row>
    <row r="679" spans="1:18" x14ac:dyDescent="0.35">
      <c r="A679" s="3" t="s">
        <v>700</v>
      </c>
      <c r="B679">
        <v>11</v>
      </c>
      <c r="C679">
        <v>1</v>
      </c>
      <c r="D679">
        <v>36</v>
      </c>
      <c r="E679">
        <v>0</v>
      </c>
      <c r="F679">
        <v>2458</v>
      </c>
      <c r="G679">
        <v>45</v>
      </c>
      <c r="H679">
        <v>43</v>
      </c>
      <c r="I679">
        <v>34</v>
      </c>
      <c r="J679">
        <v>3</v>
      </c>
      <c r="K679">
        <v>1</v>
      </c>
      <c r="L679">
        <v>2</v>
      </c>
      <c r="M679">
        <v>30</v>
      </c>
      <c r="N679">
        <v>272.12</v>
      </c>
      <c r="O679">
        <v>1</v>
      </c>
      <c r="P6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79" t="str">
        <f>IF(Table1[[#This Row],[Fraud_Score]]&gt;=6, "High Risk",IF(Table1[[#This Row],[Fraud_Score]]&gt;=3, "Medium Risk", "Low Risk"))</f>
        <v>Medium Risk</v>
      </c>
      <c r="R679">
        <f>IF(Table1[[#This Row],[Seconds of Use]]=0,0,Table1[[#This Row],[Customer Value]]/Table1[[#This Row],[Seconds of Use]]*100)</f>
        <v>11.07078925956062</v>
      </c>
    </row>
    <row r="680" spans="1:18" x14ac:dyDescent="0.35">
      <c r="A680" s="3" t="s">
        <v>701</v>
      </c>
      <c r="B680">
        <v>2</v>
      </c>
      <c r="C680">
        <v>0</v>
      </c>
      <c r="D680">
        <v>36</v>
      </c>
      <c r="E680">
        <v>0</v>
      </c>
      <c r="F680">
        <v>323</v>
      </c>
      <c r="G680">
        <v>3</v>
      </c>
      <c r="H680">
        <v>9</v>
      </c>
      <c r="I680">
        <v>5</v>
      </c>
      <c r="J680">
        <v>3</v>
      </c>
      <c r="K680">
        <v>1</v>
      </c>
      <c r="L680">
        <v>2</v>
      </c>
      <c r="M680">
        <v>30</v>
      </c>
      <c r="N680">
        <v>49.04</v>
      </c>
      <c r="O680">
        <v>1</v>
      </c>
      <c r="P6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80" t="str">
        <f>IF(Table1[[#This Row],[Fraud_Score]]&gt;=6, "High Risk",IF(Table1[[#This Row],[Fraud_Score]]&gt;=3, "Medium Risk", "Low Risk"))</f>
        <v>Low Risk</v>
      </c>
      <c r="R680">
        <f>IF(Table1[[#This Row],[Seconds of Use]]=0,0,Table1[[#This Row],[Customer Value]]/Table1[[#This Row],[Seconds of Use]]*100)</f>
        <v>15.18266253869969</v>
      </c>
    </row>
    <row r="681" spans="1:18" x14ac:dyDescent="0.35">
      <c r="A681" s="3" t="s">
        <v>702</v>
      </c>
      <c r="B681">
        <v>3</v>
      </c>
      <c r="C681">
        <v>0</v>
      </c>
      <c r="D681">
        <v>36</v>
      </c>
      <c r="E681">
        <v>0</v>
      </c>
      <c r="F681">
        <v>1858</v>
      </c>
      <c r="G681">
        <v>26</v>
      </c>
      <c r="H681">
        <v>9</v>
      </c>
      <c r="I681">
        <v>9</v>
      </c>
      <c r="J681">
        <v>3</v>
      </c>
      <c r="K681">
        <v>1</v>
      </c>
      <c r="L681">
        <v>1</v>
      </c>
      <c r="M681">
        <v>30</v>
      </c>
      <c r="N681">
        <v>111.36</v>
      </c>
      <c r="O681">
        <v>0</v>
      </c>
      <c r="P6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81" t="str">
        <f>IF(Table1[[#This Row],[Fraud_Score]]&gt;=6, "High Risk",IF(Table1[[#This Row],[Fraud_Score]]&gt;=3, "Medium Risk", "Low Risk"))</f>
        <v>Low Risk</v>
      </c>
      <c r="R681">
        <f>IF(Table1[[#This Row],[Seconds of Use]]=0,0,Table1[[#This Row],[Customer Value]]/Table1[[#This Row],[Seconds of Use]]*100)</f>
        <v>5.9935414424111944</v>
      </c>
    </row>
    <row r="682" spans="1:18" x14ac:dyDescent="0.35">
      <c r="A682" s="3" t="s">
        <v>703</v>
      </c>
      <c r="B682">
        <v>5</v>
      </c>
      <c r="C682">
        <v>0</v>
      </c>
      <c r="D682">
        <v>33</v>
      </c>
      <c r="E682">
        <v>1</v>
      </c>
      <c r="F682">
        <v>6975</v>
      </c>
      <c r="G682">
        <v>98</v>
      </c>
      <c r="H682">
        <v>23</v>
      </c>
      <c r="I682">
        <v>25</v>
      </c>
      <c r="J682">
        <v>5</v>
      </c>
      <c r="K682">
        <v>1</v>
      </c>
      <c r="L682">
        <v>1</v>
      </c>
      <c r="M682">
        <v>55</v>
      </c>
      <c r="N682">
        <v>140.595</v>
      </c>
      <c r="O682">
        <v>0</v>
      </c>
      <c r="P6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82" t="str">
        <f>IF(Table1[[#This Row],[Fraud_Score]]&gt;=6, "High Risk",IF(Table1[[#This Row],[Fraud_Score]]&gt;=3, "Medium Risk", "Low Risk"))</f>
        <v>Low Risk</v>
      </c>
      <c r="R682">
        <f>IF(Table1[[#This Row],[Seconds of Use]]=0,0,Table1[[#This Row],[Customer Value]]/Table1[[#This Row],[Seconds of Use]]*100)</f>
        <v>2.0156989247311827</v>
      </c>
    </row>
    <row r="683" spans="1:18" x14ac:dyDescent="0.35">
      <c r="A683" s="3" t="s">
        <v>704</v>
      </c>
      <c r="B683">
        <v>2</v>
      </c>
      <c r="C683">
        <v>0</v>
      </c>
      <c r="D683">
        <v>36</v>
      </c>
      <c r="E683">
        <v>0</v>
      </c>
      <c r="F683">
        <v>818</v>
      </c>
      <c r="G683">
        <v>8</v>
      </c>
      <c r="H683">
        <v>18</v>
      </c>
      <c r="I683">
        <v>7</v>
      </c>
      <c r="J683">
        <v>4</v>
      </c>
      <c r="K683">
        <v>1</v>
      </c>
      <c r="L683">
        <v>2</v>
      </c>
      <c r="M683">
        <v>45</v>
      </c>
      <c r="N683">
        <v>65.650000000000006</v>
      </c>
      <c r="O683">
        <v>1</v>
      </c>
      <c r="P6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83" t="str">
        <f>IF(Table1[[#This Row],[Fraud_Score]]&gt;=6, "High Risk",IF(Table1[[#This Row],[Fraud_Score]]&gt;=3, "Medium Risk", "Low Risk"))</f>
        <v>Low Risk</v>
      </c>
      <c r="R683">
        <f>IF(Table1[[#This Row],[Seconds of Use]]=0,0,Table1[[#This Row],[Customer Value]]/Table1[[#This Row],[Seconds of Use]]*100)</f>
        <v>8.0256723716381426</v>
      </c>
    </row>
    <row r="684" spans="1:18" x14ac:dyDescent="0.35">
      <c r="A684" s="3" t="s">
        <v>705</v>
      </c>
      <c r="B684">
        <v>2</v>
      </c>
      <c r="C684">
        <v>0</v>
      </c>
      <c r="D684">
        <v>36</v>
      </c>
      <c r="E684">
        <v>1</v>
      </c>
      <c r="F684">
        <v>528</v>
      </c>
      <c r="G684">
        <v>5</v>
      </c>
      <c r="H684">
        <v>13</v>
      </c>
      <c r="I684">
        <v>5</v>
      </c>
      <c r="J684">
        <v>5</v>
      </c>
      <c r="K684">
        <v>1</v>
      </c>
      <c r="L684">
        <v>1</v>
      </c>
      <c r="M684">
        <v>55</v>
      </c>
      <c r="N684">
        <v>27.495000000000001</v>
      </c>
      <c r="O684">
        <v>0</v>
      </c>
      <c r="P6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84" t="str">
        <f>IF(Table1[[#This Row],[Fraud_Score]]&gt;=6, "High Risk",IF(Table1[[#This Row],[Fraud_Score]]&gt;=3, "Medium Risk", "Low Risk"))</f>
        <v>Low Risk</v>
      </c>
      <c r="R684">
        <f>IF(Table1[[#This Row],[Seconds of Use]]=0,0,Table1[[#This Row],[Customer Value]]/Table1[[#This Row],[Seconds of Use]]*100)</f>
        <v>5.2073863636363642</v>
      </c>
    </row>
    <row r="685" spans="1:18" x14ac:dyDescent="0.35">
      <c r="A685" s="3" t="s">
        <v>706</v>
      </c>
      <c r="B685">
        <v>27</v>
      </c>
      <c r="C685">
        <v>0</v>
      </c>
      <c r="D685">
        <v>31</v>
      </c>
      <c r="E685">
        <v>3</v>
      </c>
      <c r="F685">
        <v>16265</v>
      </c>
      <c r="G685">
        <v>239</v>
      </c>
      <c r="H685">
        <v>9</v>
      </c>
      <c r="I685">
        <v>83</v>
      </c>
      <c r="J685">
        <v>2</v>
      </c>
      <c r="K685">
        <v>1</v>
      </c>
      <c r="L685">
        <v>1</v>
      </c>
      <c r="M685">
        <v>25</v>
      </c>
      <c r="N685">
        <v>783.18</v>
      </c>
      <c r="O685">
        <v>0</v>
      </c>
      <c r="P6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85" t="str">
        <f>IF(Table1[[#This Row],[Fraud_Score]]&gt;=6, "High Risk",IF(Table1[[#This Row],[Fraud_Score]]&gt;=3, "Medium Risk", "Low Risk"))</f>
        <v>Medium Risk</v>
      </c>
      <c r="R685">
        <f>IF(Table1[[#This Row],[Seconds of Use]]=0,0,Table1[[#This Row],[Customer Value]]/Table1[[#This Row],[Seconds of Use]]*100)</f>
        <v>4.8151245004611125</v>
      </c>
    </row>
    <row r="686" spans="1:18" x14ac:dyDescent="0.35">
      <c r="A686" s="3" t="s">
        <v>707</v>
      </c>
      <c r="B686">
        <v>8</v>
      </c>
      <c r="C686">
        <v>0</v>
      </c>
      <c r="D686">
        <v>34</v>
      </c>
      <c r="E686">
        <v>3</v>
      </c>
      <c r="F686">
        <v>7155</v>
      </c>
      <c r="G686">
        <v>117</v>
      </c>
      <c r="H686">
        <v>280</v>
      </c>
      <c r="I686">
        <v>36</v>
      </c>
      <c r="J686">
        <v>2</v>
      </c>
      <c r="K686">
        <v>2</v>
      </c>
      <c r="L686">
        <v>1</v>
      </c>
      <c r="M686">
        <v>25</v>
      </c>
      <c r="N686">
        <v>1587.24</v>
      </c>
      <c r="O686">
        <v>0</v>
      </c>
      <c r="P6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86" t="str">
        <f>IF(Table1[[#This Row],[Fraud_Score]]&gt;=6, "High Risk",IF(Table1[[#This Row],[Fraud_Score]]&gt;=3, "Medium Risk", "Low Risk"))</f>
        <v>Low Risk</v>
      </c>
      <c r="R686">
        <f>IF(Table1[[#This Row],[Seconds of Use]]=0,0,Table1[[#This Row],[Customer Value]]/Table1[[#This Row],[Seconds of Use]]*100)</f>
        <v>22.18364779874214</v>
      </c>
    </row>
    <row r="687" spans="1:18" x14ac:dyDescent="0.35">
      <c r="A687" s="3" t="s">
        <v>708</v>
      </c>
      <c r="B687">
        <v>4</v>
      </c>
      <c r="C687">
        <v>0</v>
      </c>
      <c r="D687">
        <v>36</v>
      </c>
      <c r="E687">
        <v>0</v>
      </c>
      <c r="F687">
        <v>3908</v>
      </c>
      <c r="G687">
        <v>83</v>
      </c>
      <c r="H687">
        <v>11</v>
      </c>
      <c r="I687">
        <v>31</v>
      </c>
      <c r="J687">
        <v>2</v>
      </c>
      <c r="K687">
        <v>1</v>
      </c>
      <c r="L687">
        <v>1</v>
      </c>
      <c r="M687">
        <v>25</v>
      </c>
      <c r="N687">
        <v>229.095</v>
      </c>
      <c r="O687">
        <v>0</v>
      </c>
      <c r="P6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87" t="str">
        <f>IF(Table1[[#This Row],[Fraud_Score]]&gt;=6, "High Risk",IF(Table1[[#This Row],[Fraud_Score]]&gt;=3, "Medium Risk", "Low Risk"))</f>
        <v>Low Risk</v>
      </c>
      <c r="R687">
        <f>IF(Table1[[#This Row],[Seconds of Use]]=0,0,Table1[[#This Row],[Customer Value]]/Table1[[#This Row],[Seconds of Use]]*100)</f>
        <v>5.8622057318321392</v>
      </c>
    </row>
    <row r="688" spans="1:18" x14ac:dyDescent="0.35">
      <c r="A688" s="3" t="s">
        <v>709</v>
      </c>
      <c r="B688">
        <v>5</v>
      </c>
      <c r="C688">
        <v>0</v>
      </c>
      <c r="D688">
        <v>35</v>
      </c>
      <c r="E688">
        <v>0</v>
      </c>
      <c r="F688">
        <v>1855</v>
      </c>
      <c r="G688">
        <v>45</v>
      </c>
      <c r="H688">
        <v>47</v>
      </c>
      <c r="I688">
        <v>23</v>
      </c>
      <c r="J688">
        <v>3</v>
      </c>
      <c r="K688">
        <v>1</v>
      </c>
      <c r="L688">
        <v>2</v>
      </c>
      <c r="M688">
        <v>30</v>
      </c>
      <c r="N688">
        <v>264</v>
      </c>
      <c r="O688">
        <v>0</v>
      </c>
      <c r="P6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88" t="str">
        <f>IF(Table1[[#This Row],[Fraud_Score]]&gt;=6, "High Risk",IF(Table1[[#This Row],[Fraud_Score]]&gt;=3, "Medium Risk", "Low Risk"))</f>
        <v>Low Risk</v>
      </c>
      <c r="R688">
        <f>IF(Table1[[#This Row],[Seconds of Use]]=0,0,Table1[[#This Row],[Customer Value]]/Table1[[#This Row],[Seconds of Use]]*100)</f>
        <v>14.231805929919137</v>
      </c>
    </row>
    <row r="689" spans="1:18" x14ac:dyDescent="0.35">
      <c r="A689" s="3" t="s">
        <v>710</v>
      </c>
      <c r="B689">
        <v>8</v>
      </c>
      <c r="C689">
        <v>0</v>
      </c>
      <c r="D689">
        <v>36</v>
      </c>
      <c r="E689">
        <v>0</v>
      </c>
      <c r="F689">
        <v>2970</v>
      </c>
      <c r="G689">
        <v>54</v>
      </c>
      <c r="H689">
        <v>184</v>
      </c>
      <c r="I689">
        <v>26</v>
      </c>
      <c r="J689">
        <v>2</v>
      </c>
      <c r="K689">
        <v>1</v>
      </c>
      <c r="L689">
        <v>1</v>
      </c>
      <c r="M689">
        <v>25</v>
      </c>
      <c r="N689">
        <v>964.08</v>
      </c>
      <c r="O689">
        <v>0</v>
      </c>
      <c r="P6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89" t="str">
        <f>IF(Table1[[#This Row],[Fraud_Score]]&gt;=6, "High Risk",IF(Table1[[#This Row],[Fraud_Score]]&gt;=3, "Medium Risk", "Low Risk"))</f>
        <v>Low Risk</v>
      </c>
      <c r="R689">
        <f>IF(Table1[[#This Row],[Seconds of Use]]=0,0,Table1[[#This Row],[Customer Value]]/Table1[[#This Row],[Seconds of Use]]*100)</f>
        <v>32.460606060606061</v>
      </c>
    </row>
    <row r="690" spans="1:18" x14ac:dyDescent="0.35">
      <c r="A690" s="3" t="s">
        <v>711</v>
      </c>
      <c r="B690">
        <v>6</v>
      </c>
      <c r="C690">
        <v>1</v>
      </c>
      <c r="D690">
        <v>27</v>
      </c>
      <c r="E690">
        <v>1</v>
      </c>
      <c r="F690">
        <v>1505</v>
      </c>
      <c r="G690">
        <v>37</v>
      </c>
      <c r="H690">
        <v>202</v>
      </c>
      <c r="I690">
        <v>14</v>
      </c>
      <c r="J690">
        <v>2</v>
      </c>
      <c r="K690">
        <v>2</v>
      </c>
      <c r="L690">
        <v>1</v>
      </c>
      <c r="M690">
        <v>25</v>
      </c>
      <c r="N690">
        <v>978.39</v>
      </c>
      <c r="O690">
        <v>1</v>
      </c>
      <c r="P6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90" t="str">
        <f>IF(Table1[[#This Row],[Fraud_Score]]&gt;=6, "High Risk",IF(Table1[[#This Row],[Fraud_Score]]&gt;=3, "Medium Risk", "Low Risk"))</f>
        <v>Low Risk</v>
      </c>
      <c r="R690">
        <f>IF(Table1[[#This Row],[Seconds of Use]]=0,0,Table1[[#This Row],[Customer Value]]/Table1[[#This Row],[Seconds of Use]]*100)</f>
        <v>65.009302325581402</v>
      </c>
    </row>
    <row r="691" spans="1:18" x14ac:dyDescent="0.35">
      <c r="A691" s="3" t="s">
        <v>712</v>
      </c>
      <c r="B691">
        <v>6</v>
      </c>
      <c r="C691">
        <v>0</v>
      </c>
      <c r="D691">
        <v>26</v>
      </c>
      <c r="E691">
        <v>0</v>
      </c>
      <c r="F691">
        <v>1758</v>
      </c>
      <c r="G691">
        <v>40</v>
      </c>
      <c r="H691">
        <v>39</v>
      </c>
      <c r="I691">
        <v>71</v>
      </c>
      <c r="J691">
        <v>4</v>
      </c>
      <c r="K691">
        <v>1</v>
      </c>
      <c r="L691">
        <v>1</v>
      </c>
      <c r="M691">
        <v>45</v>
      </c>
      <c r="N691">
        <v>142.44999999999999</v>
      </c>
      <c r="O691">
        <v>0</v>
      </c>
      <c r="P6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691" t="str">
        <f>IF(Table1[[#This Row],[Fraud_Score]]&gt;=6, "High Risk",IF(Table1[[#This Row],[Fraud_Score]]&gt;=3, "Medium Risk", "Low Risk"))</f>
        <v>Low Risk</v>
      </c>
      <c r="R691">
        <f>IF(Table1[[#This Row],[Seconds of Use]]=0,0,Table1[[#This Row],[Customer Value]]/Table1[[#This Row],[Seconds of Use]]*100)</f>
        <v>8.1029579067121738</v>
      </c>
    </row>
    <row r="692" spans="1:18" x14ac:dyDescent="0.35">
      <c r="A692" s="3" t="s">
        <v>713</v>
      </c>
      <c r="B692">
        <v>13</v>
      </c>
      <c r="C692">
        <v>0</v>
      </c>
      <c r="D692">
        <v>27</v>
      </c>
      <c r="E692">
        <v>0</v>
      </c>
      <c r="F692">
        <v>890</v>
      </c>
      <c r="G692">
        <v>26</v>
      </c>
      <c r="H692">
        <v>19</v>
      </c>
      <c r="I692">
        <v>10</v>
      </c>
      <c r="J692">
        <v>2</v>
      </c>
      <c r="K692">
        <v>1</v>
      </c>
      <c r="L692">
        <v>2</v>
      </c>
      <c r="M692">
        <v>25</v>
      </c>
      <c r="N692">
        <v>126.72</v>
      </c>
      <c r="O692">
        <v>0</v>
      </c>
      <c r="P6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92" t="str">
        <f>IF(Table1[[#This Row],[Fraud_Score]]&gt;=6, "High Risk",IF(Table1[[#This Row],[Fraud_Score]]&gt;=3, "Medium Risk", "Low Risk"))</f>
        <v>Medium Risk</v>
      </c>
      <c r="R692">
        <f>IF(Table1[[#This Row],[Seconds of Use]]=0,0,Table1[[#This Row],[Customer Value]]/Table1[[#This Row],[Seconds of Use]]*100)</f>
        <v>14.238202247191012</v>
      </c>
    </row>
    <row r="693" spans="1:18" x14ac:dyDescent="0.35">
      <c r="A693" s="3" t="s">
        <v>714</v>
      </c>
      <c r="B693">
        <v>2</v>
      </c>
      <c r="C693">
        <v>0</v>
      </c>
      <c r="D693">
        <v>26</v>
      </c>
      <c r="E693">
        <v>0</v>
      </c>
      <c r="F693">
        <v>1015</v>
      </c>
      <c r="G693">
        <v>11</v>
      </c>
      <c r="H693">
        <v>30</v>
      </c>
      <c r="I693">
        <v>6</v>
      </c>
      <c r="J693">
        <v>4</v>
      </c>
      <c r="K693">
        <v>1</v>
      </c>
      <c r="L693">
        <v>2</v>
      </c>
      <c r="M693">
        <v>45</v>
      </c>
      <c r="N693">
        <v>100.65</v>
      </c>
      <c r="O693">
        <v>0</v>
      </c>
      <c r="P6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93" t="str">
        <f>IF(Table1[[#This Row],[Fraud_Score]]&gt;=6, "High Risk",IF(Table1[[#This Row],[Fraud_Score]]&gt;=3, "Medium Risk", "Low Risk"))</f>
        <v>Low Risk</v>
      </c>
      <c r="R693">
        <f>IF(Table1[[#This Row],[Seconds of Use]]=0,0,Table1[[#This Row],[Customer Value]]/Table1[[#This Row],[Seconds of Use]]*100)</f>
        <v>9.916256157635468</v>
      </c>
    </row>
    <row r="694" spans="1:18" x14ac:dyDescent="0.35">
      <c r="A694" s="3" t="s">
        <v>715</v>
      </c>
      <c r="B694">
        <v>12</v>
      </c>
      <c r="C694">
        <v>0</v>
      </c>
      <c r="D694">
        <v>25</v>
      </c>
      <c r="E694">
        <v>0</v>
      </c>
      <c r="F694">
        <v>1415</v>
      </c>
      <c r="G694">
        <v>33</v>
      </c>
      <c r="H694">
        <v>28</v>
      </c>
      <c r="I694">
        <v>16</v>
      </c>
      <c r="J694">
        <v>2</v>
      </c>
      <c r="K694">
        <v>1</v>
      </c>
      <c r="L694">
        <v>1</v>
      </c>
      <c r="M694">
        <v>25</v>
      </c>
      <c r="N694">
        <v>191.16</v>
      </c>
      <c r="O694">
        <v>0</v>
      </c>
      <c r="P6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694" t="str">
        <f>IF(Table1[[#This Row],[Fraud_Score]]&gt;=6, "High Risk",IF(Table1[[#This Row],[Fraud_Score]]&gt;=3, "Medium Risk", "Low Risk"))</f>
        <v>Medium Risk</v>
      </c>
      <c r="R694">
        <f>IF(Table1[[#This Row],[Seconds of Use]]=0,0,Table1[[#This Row],[Customer Value]]/Table1[[#This Row],[Seconds of Use]]*100)</f>
        <v>13.509540636042402</v>
      </c>
    </row>
    <row r="695" spans="1:18" x14ac:dyDescent="0.35">
      <c r="A695" s="3" t="s">
        <v>716</v>
      </c>
      <c r="B695">
        <v>4</v>
      </c>
      <c r="C695">
        <v>0</v>
      </c>
      <c r="D695">
        <v>25</v>
      </c>
      <c r="E695">
        <v>0</v>
      </c>
      <c r="F695">
        <v>3415</v>
      </c>
      <c r="G695">
        <v>62</v>
      </c>
      <c r="H695">
        <v>17</v>
      </c>
      <c r="I695">
        <v>26</v>
      </c>
      <c r="J695">
        <v>3</v>
      </c>
      <c r="K695">
        <v>1</v>
      </c>
      <c r="L695">
        <v>1</v>
      </c>
      <c r="M695">
        <v>30</v>
      </c>
      <c r="N695">
        <v>207.08</v>
      </c>
      <c r="O695">
        <v>0</v>
      </c>
      <c r="P6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95" t="str">
        <f>IF(Table1[[#This Row],[Fraud_Score]]&gt;=6, "High Risk",IF(Table1[[#This Row],[Fraud_Score]]&gt;=3, "Medium Risk", "Low Risk"))</f>
        <v>Low Risk</v>
      </c>
      <c r="R695">
        <f>IF(Table1[[#This Row],[Seconds of Use]]=0,0,Table1[[#This Row],[Customer Value]]/Table1[[#This Row],[Seconds of Use]]*100)</f>
        <v>6.0638360175695469</v>
      </c>
    </row>
    <row r="696" spans="1:18" x14ac:dyDescent="0.35">
      <c r="A696" s="3" t="s">
        <v>717</v>
      </c>
      <c r="B696">
        <v>4</v>
      </c>
      <c r="C696">
        <v>0</v>
      </c>
      <c r="D696">
        <v>18</v>
      </c>
      <c r="E696">
        <v>0</v>
      </c>
      <c r="F696">
        <v>1885</v>
      </c>
      <c r="G696">
        <v>27</v>
      </c>
      <c r="H696">
        <v>37</v>
      </c>
      <c r="I696">
        <v>17</v>
      </c>
      <c r="J696">
        <v>2</v>
      </c>
      <c r="K696">
        <v>1</v>
      </c>
      <c r="L696">
        <v>1</v>
      </c>
      <c r="M696">
        <v>25</v>
      </c>
      <c r="N696">
        <v>252.54</v>
      </c>
      <c r="O696">
        <v>0</v>
      </c>
      <c r="P6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696" t="str">
        <f>IF(Table1[[#This Row],[Fraud_Score]]&gt;=6, "High Risk",IF(Table1[[#This Row],[Fraud_Score]]&gt;=3, "Medium Risk", "Low Risk"))</f>
        <v>Low Risk</v>
      </c>
      <c r="R696">
        <f>IF(Table1[[#This Row],[Seconds of Use]]=0,0,Table1[[#This Row],[Customer Value]]/Table1[[#This Row],[Seconds of Use]]*100)</f>
        <v>13.397347480106101</v>
      </c>
    </row>
    <row r="697" spans="1:18" x14ac:dyDescent="0.35">
      <c r="A697" s="3" t="s">
        <v>718</v>
      </c>
      <c r="B697">
        <v>18</v>
      </c>
      <c r="C697">
        <v>0</v>
      </c>
      <c r="D697">
        <v>17</v>
      </c>
      <c r="E697">
        <v>1</v>
      </c>
      <c r="F697">
        <v>6582</v>
      </c>
      <c r="G697">
        <v>142</v>
      </c>
      <c r="H697">
        <v>94</v>
      </c>
      <c r="I697">
        <v>45</v>
      </c>
      <c r="J697">
        <v>2</v>
      </c>
      <c r="K697">
        <v>2</v>
      </c>
      <c r="L697">
        <v>1</v>
      </c>
      <c r="M697">
        <v>25</v>
      </c>
      <c r="N697">
        <v>725.58</v>
      </c>
      <c r="O697">
        <v>0</v>
      </c>
      <c r="P6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697" t="str">
        <f>IF(Table1[[#This Row],[Fraud_Score]]&gt;=6, "High Risk",IF(Table1[[#This Row],[Fraud_Score]]&gt;=3, "Medium Risk", "Low Risk"))</f>
        <v>Medium Risk</v>
      </c>
      <c r="R697">
        <f>IF(Table1[[#This Row],[Seconds of Use]]=0,0,Table1[[#This Row],[Customer Value]]/Table1[[#This Row],[Seconds of Use]]*100)</f>
        <v>11.023701002734732</v>
      </c>
    </row>
    <row r="698" spans="1:18" x14ac:dyDescent="0.35">
      <c r="A698" s="3" t="s">
        <v>719</v>
      </c>
      <c r="B698">
        <v>14</v>
      </c>
      <c r="C698">
        <v>0</v>
      </c>
      <c r="D698">
        <v>15</v>
      </c>
      <c r="E698">
        <v>0</v>
      </c>
      <c r="F698">
        <v>9122</v>
      </c>
      <c r="G698">
        <v>172</v>
      </c>
      <c r="H698">
        <v>82</v>
      </c>
      <c r="I698">
        <v>43</v>
      </c>
      <c r="J698">
        <v>4</v>
      </c>
      <c r="K698">
        <v>1</v>
      </c>
      <c r="L698">
        <v>1</v>
      </c>
      <c r="M698">
        <v>45</v>
      </c>
      <c r="N698">
        <v>437.35</v>
      </c>
      <c r="O698">
        <v>0</v>
      </c>
      <c r="P6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698" t="str">
        <f>IF(Table1[[#This Row],[Fraud_Score]]&gt;=6, "High Risk",IF(Table1[[#This Row],[Fraud_Score]]&gt;=3, "Medium Risk", "Low Risk"))</f>
        <v>Medium Risk</v>
      </c>
      <c r="R698">
        <f>IF(Table1[[#This Row],[Seconds of Use]]=0,0,Table1[[#This Row],[Customer Value]]/Table1[[#This Row],[Seconds of Use]]*100)</f>
        <v>4.7944529708397283</v>
      </c>
    </row>
    <row r="699" spans="1:18" x14ac:dyDescent="0.35">
      <c r="A699" s="3" t="s">
        <v>720</v>
      </c>
      <c r="B699">
        <v>10</v>
      </c>
      <c r="C699">
        <v>0</v>
      </c>
      <c r="D699">
        <v>16</v>
      </c>
      <c r="E699">
        <v>3</v>
      </c>
      <c r="F699">
        <v>3042</v>
      </c>
      <c r="G699">
        <v>46</v>
      </c>
      <c r="H699">
        <v>40</v>
      </c>
      <c r="I699">
        <v>22</v>
      </c>
      <c r="J699">
        <v>3</v>
      </c>
      <c r="K699">
        <v>1</v>
      </c>
      <c r="L699">
        <v>1</v>
      </c>
      <c r="M699">
        <v>30</v>
      </c>
      <c r="N699">
        <v>283.52</v>
      </c>
      <c r="O699">
        <v>0</v>
      </c>
      <c r="P6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699" t="str">
        <f>IF(Table1[[#This Row],[Fraud_Score]]&gt;=6, "High Risk",IF(Table1[[#This Row],[Fraud_Score]]&gt;=3, "Medium Risk", "Low Risk"))</f>
        <v>Low Risk</v>
      </c>
      <c r="R699">
        <f>IF(Table1[[#This Row],[Seconds of Use]]=0,0,Table1[[#This Row],[Customer Value]]/Table1[[#This Row],[Seconds of Use]]*100)</f>
        <v>9.3201840894148589</v>
      </c>
    </row>
    <row r="700" spans="1:18" x14ac:dyDescent="0.35">
      <c r="A700" s="3" t="s">
        <v>721</v>
      </c>
      <c r="B700">
        <v>4</v>
      </c>
      <c r="C700">
        <v>0</v>
      </c>
      <c r="D700">
        <v>9</v>
      </c>
      <c r="E700">
        <v>1</v>
      </c>
      <c r="F700">
        <v>4580</v>
      </c>
      <c r="G700">
        <v>41</v>
      </c>
      <c r="H700">
        <v>224</v>
      </c>
      <c r="I700">
        <v>13</v>
      </c>
      <c r="J700">
        <v>3</v>
      </c>
      <c r="K700">
        <v>1</v>
      </c>
      <c r="L700">
        <v>1</v>
      </c>
      <c r="M700">
        <v>30</v>
      </c>
      <c r="N700">
        <v>1080.8399999999999</v>
      </c>
      <c r="O700">
        <v>0</v>
      </c>
      <c r="P7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00" t="str">
        <f>IF(Table1[[#This Row],[Fraud_Score]]&gt;=6, "High Risk",IF(Table1[[#This Row],[Fraud_Score]]&gt;=3, "Medium Risk", "Low Risk"))</f>
        <v>Low Risk</v>
      </c>
      <c r="R700">
        <f>IF(Table1[[#This Row],[Seconds of Use]]=0,0,Table1[[#This Row],[Customer Value]]/Table1[[#This Row],[Seconds of Use]]*100)</f>
        <v>23.599126637554583</v>
      </c>
    </row>
    <row r="701" spans="1:18" x14ac:dyDescent="0.35">
      <c r="A701" s="3" t="s">
        <v>722</v>
      </c>
      <c r="B701">
        <v>5</v>
      </c>
      <c r="C701">
        <v>0</v>
      </c>
      <c r="D701">
        <v>9</v>
      </c>
      <c r="E701">
        <v>1</v>
      </c>
      <c r="F701">
        <v>1677</v>
      </c>
      <c r="G701">
        <v>20</v>
      </c>
      <c r="H701">
        <v>9</v>
      </c>
      <c r="I701">
        <v>10</v>
      </c>
      <c r="J701">
        <v>3</v>
      </c>
      <c r="K701">
        <v>1</v>
      </c>
      <c r="L701">
        <v>1</v>
      </c>
      <c r="M701">
        <v>30</v>
      </c>
      <c r="N701">
        <v>103.88</v>
      </c>
      <c r="O701">
        <v>1</v>
      </c>
      <c r="P7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01" t="str">
        <f>IF(Table1[[#This Row],[Fraud_Score]]&gt;=6, "High Risk",IF(Table1[[#This Row],[Fraud_Score]]&gt;=3, "Medium Risk", "Low Risk"))</f>
        <v>Low Risk</v>
      </c>
      <c r="R701">
        <f>IF(Table1[[#This Row],[Seconds of Use]]=0,0,Table1[[#This Row],[Customer Value]]/Table1[[#This Row],[Seconds of Use]]*100)</f>
        <v>6.1943947525342873</v>
      </c>
    </row>
    <row r="702" spans="1:18" x14ac:dyDescent="0.35">
      <c r="A702" s="3" t="s">
        <v>723</v>
      </c>
      <c r="B702">
        <v>6</v>
      </c>
      <c r="C702">
        <v>0</v>
      </c>
      <c r="D702">
        <v>38</v>
      </c>
      <c r="E702">
        <v>0</v>
      </c>
      <c r="F702">
        <v>4180</v>
      </c>
      <c r="G702">
        <v>70</v>
      </c>
      <c r="H702">
        <v>0</v>
      </c>
      <c r="I702">
        <v>14</v>
      </c>
      <c r="J702">
        <v>3</v>
      </c>
      <c r="K702">
        <v>1</v>
      </c>
      <c r="L702">
        <v>1</v>
      </c>
      <c r="M702">
        <v>30</v>
      </c>
      <c r="N702">
        <v>170</v>
      </c>
      <c r="O702">
        <v>0</v>
      </c>
      <c r="P7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02" t="str">
        <f>IF(Table1[[#This Row],[Fraud_Score]]&gt;=6, "High Risk",IF(Table1[[#This Row],[Fraud_Score]]&gt;=3, "Medium Risk", "Low Risk"))</f>
        <v>Low Risk</v>
      </c>
      <c r="R702">
        <f>IF(Table1[[#This Row],[Seconds of Use]]=0,0,Table1[[#This Row],[Customer Value]]/Table1[[#This Row],[Seconds of Use]]*100)</f>
        <v>4.0669856459330145</v>
      </c>
    </row>
    <row r="703" spans="1:18" x14ac:dyDescent="0.35">
      <c r="A703" s="3" t="s">
        <v>724</v>
      </c>
      <c r="B703">
        <v>0</v>
      </c>
      <c r="C703">
        <v>0</v>
      </c>
      <c r="D703">
        <v>39</v>
      </c>
      <c r="E703">
        <v>0</v>
      </c>
      <c r="F703">
        <v>128</v>
      </c>
      <c r="G703">
        <v>4</v>
      </c>
      <c r="H703">
        <v>0</v>
      </c>
      <c r="I703">
        <v>1</v>
      </c>
      <c r="J703">
        <v>2</v>
      </c>
      <c r="K703">
        <v>1</v>
      </c>
      <c r="L703">
        <v>2</v>
      </c>
      <c r="M703">
        <v>25</v>
      </c>
      <c r="N703">
        <v>5.94</v>
      </c>
      <c r="O703">
        <v>0</v>
      </c>
      <c r="P7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03" t="str">
        <f>IF(Table1[[#This Row],[Fraud_Score]]&gt;=6, "High Risk",IF(Table1[[#This Row],[Fraud_Score]]&gt;=3, "Medium Risk", "Low Risk"))</f>
        <v>Low Risk</v>
      </c>
      <c r="R703">
        <f>IF(Table1[[#This Row],[Seconds of Use]]=0,0,Table1[[#This Row],[Customer Value]]/Table1[[#This Row],[Seconds of Use]]*100)</f>
        <v>4.640625</v>
      </c>
    </row>
    <row r="704" spans="1:18" x14ac:dyDescent="0.35">
      <c r="A704" s="3" t="s">
        <v>725</v>
      </c>
      <c r="B704">
        <v>8</v>
      </c>
      <c r="C704">
        <v>0</v>
      </c>
      <c r="D704">
        <v>37</v>
      </c>
      <c r="E704">
        <v>0</v>
      </c>
      <c r="F704">
        <v>2263</v>
      </c>
      <c r="G704">
        <v>59</v>
      </c>
      <c r="H704">
        <v>350</v>
      </c>
      <c r="I704">
        <v>21</v>
      </c>
      <c r="J704">
        <v>3</v>
      </c>
      <c r="K704">
        <v>1</v>
      </c>
      <c r="L704">
        <v>1</v>
      </c>
      <c r="M704">
        <v>30</v>
      </c>
      <c r="N704">
        <v>1492.88</v>
      </c>
      <c r="O704">
        <v>0</v>
      </c>
      <c r="P7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04" t="str">
        <f>IF(Table1[[#This Row],[Fraud_Score]]&gt;=6, "High Risk",IF(Table1[[#This Row],[Fraud_Score]]&gt;=3, "Medium Risk", "Low Risk"))</f>
        <v>Low Risk</v>
      </c>
      <c r="R704">
        <f>IF(Table1[[#This Row],[Seconds of Use]]=0,0,Table1[[#This Row],[Customer Value]]/Table1[[#This Row],[Seconds of Use]]*100)</f>
        <v>65.969067609368111</v>
      </c>
    </row>
    <row r="705" spans="1:18" x14ac:dyDescent="0.35">
      <c r="A705" s="3" t="s">
        <v>726</v>
      </c>
      <c r="B705">
        <v>8</v>
      </c>
      <c r="C705">
        <v>0</v>
      </c>
      <c r="D705">
        <v>38</v>
      </c>
      <c r="E705">
        <v>0</v>
      </c>
      <c r="F705">
        <v>4008</v>
      </c>
      <c r="G705">
        <v>65</v>
      </c>
      <c r="H705">
        <v>0</v>
      </c>
      <c r="I705">
        <v>32</v>
      </c>
      <c r="J705">
        <v>1</v>
      </c>
      <c r="K705">
        <v>1</v>
      </c>
      <c r="L705">
        <v>1</v>
      </c>
      <c r="M705">
        <v>15</v>
      </c>
      <c r="N705">
        <v>224.01499999999999</v>
      </c>
      <c r="O705">
        <v>0</v>
      </c>
      <c r="P7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05" t="str">
        <f>IF(Table1[[#This Row],[Fraud_Score]]&gt;=6, "High Risk",IF(Table1[[#This Row],[Fraud_Score]]&gt;=3, "Medium Risk", "Low Risk"))</f>
        <v>Low Risk</v>
      </c>
      <c r="R705">
        <f>IF(Table1[[#This Row],[Seconds of Use]]=0,0,Table1[[#This Row],[Customer Value]]/Table1[[#This Row],[Seconds of Use]]*100)</f>
        <v>5.5891966067864267</v>
      </c>
    </row>
    <row r="706" spans="1:18" x14ac:dyDescent="0.35">
      <c r="A706" s="3" t="s">
        <v>727</v>
      </c>
      <c r="B706">
        <v>1</v>
      </c>
      <c r="C706">
        <v>0</v>
      </c>
      <c r="D706">
        <v>38</v>
      </c>
      <c r="E706">
        <v>0</v>
      </c>
      <c r="F706">
        <v>2203</v>
      </c>
      <c r="G706">
        <v>57</v>
      </c>
      <c r="H706">
        <v>0</v>
      </c>
      <c r="I706">
        <v>30</v>
      </c>
      <c r="J706">
        <v>1</v>
      </c>
      <c r="K706">
        <v>1</v>
      </c>
      <c r="L706">
        <v>1</v>
      </c>
      <c r="M706">
        <v>15</v>
      </c>
      <c r="N706">
        <v>124.3</v>
      </c>
      <c r="O706">
        <v>0</v>
      </c>
      <c r="P7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06" t="str">
        <f>IF(Table1[[#This Row],[Fraud_Score]]&gt;=6, "High Risk",IF(Table1[[#This Row],[Fraud_Score]]&gt;=3, "Medium Risk", "Low Risk"))</f>
        <v>Low Risk</v>
      </c>
      <c r="R706">
        <f>IF(Table1[[#This Row],[Seconds of Use]]=0,0,Table1[[#This Row],[Customer Value]]/Table1[[#This Row],[Seconds of Use]]*100)</f>
        <v>5.6423059464366769</v>
      </c>
    </row>
    <row r="707" spans="1:18" x14ac:dyDescent="0.35">
      <c r="A707" s="3" t="s">
        <v>728</v>
      </c>
      <c r="B707">
        <v>9</v>
      </c>
      <c r="C707">
        <v>0</v>
      </c>
      <c r="D707">
        <v>38</v>
      </c>
      <c r="E707">
        <v>1</v>
      </c>
      <c r="F707">
        <v>3585</v>
      </c>
      <c r="G707">
        <v>81</v>
      </c>
      <c r="H707">
        <v>23</v>
      </c>
      <c r="I707">
        <v>25</v>
      </c>
      <c r="J707">
        <v>3</v>
      </c>
      <c r="K707">
        <v>1</v>
      </c>
      <c r="L707">
        <v>1</v>
      </c>
      <c r="M707">
        <v>30</v>
      </c>
      <c r="N707">
        <v>238.64</v>
      </c>
      <c r="O707">
        <v>0</v>
      </c>
      <c r="P7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07" t="str">
        <f>IF(Table1[[#This Row],[Fraud_Score]]&gt;=6, "High Risk",IF(Table1[[#This Row],[Fraud_Score]]&gt;=3, "Medium Risk", "Low Risk"))</f>
        <v>Low Risk</v>
      </c>
      <c r="R707">
        <f>IF(Table1[[#This Row],[Seconds of Use]]=0,0,Table1[[#This Row],[Customer Value]]/Table1[[#This Row],[Seconds of Use]]*100)</f>
        <v>6.6566248256624831</v>
      </c>
    </row>
    <row r="708" spans="1:18" x14ac:dyDescent="0.35">
      <c r="A708" s="3" t="s">
        <v>729</v>
      </c>
      <c r="B708">
        <v>2</v>
      </c>
      <c r="C708">
        <v>0</v>
      </c>
      <c r="D708">
        <v>38</v>
      </c>
      <c r="E708">
        <v>0</v>
      </c>
      <c r="F708">
        <v>2170</v>
      </c>
      <c r="G708">
        <v>38</v>
      </c>
      <c r="H708">
        <v>276</v>
      </c>
      <c r="I708">
        <v>15</v>
      </c>
      <c r="J708">
        <v>3</v>
      </c>
      <c r="K708">
        <v>1</v>
      </c>
      <c r="L708">
        <v>1</v>
      </c>
      <c r="M708">
        <v>30</v>
      </c>
      <c r="N708">
        <v>1192.32</v>
      </c>
      <c r="O708">
        <v>0</v>
      </c>
      <c r="P7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08" t="str">
        <f>IF(Table1[[#This Row],[Fraud_Score]]&gt;=6, "High Risk",IF(Table1[[#This Row],[Fraud_Score]]&gt;=3, "Medium Risk", "Low Risk"))</f>
        <v>Low Risk</v>
      </c>
      <c r="R708">
        <f>IF(Table1[[#This Row],[Seconds of Use]]=0,0,Table1[[#This Row],[Customer Value]]/Table1[[#This Row],[Seconds of Use]]*100)</f>
        <v>54.94562211981566</v>
      </c>
    </row>
    <row r="709" spans="1:18" x14ac:dyDescent="0.35">
      <c r="A709" s="3" t="s">
        <v>730</v>
      </c>
      <c r="B709">
        <v>11</v>
      </c>
      <c r="C709">
        <v>0</v>
      </c>
      <c r="D709">
        <v>37</v>
      </c>
      <c r="E709">
        <v>2</v>
      </c>
      <c r="F709">
        <v>8925</v>
      </c>
      <c r="G709">
        <v>120</v>
      </c>
      <c r="H709">
        <v>135</v>
      </c>
      <c r="I709">
        <v>40</v>
      </c>
      <c r="J709">
        <v>3</v>
      </c>
      <c r="K709">
        <v>1</v>
      </c>
      <c r="L709">
        <v>1</v>
      </c>
      <c r="M709">
        <v>30</v>
      </c>
      <c r="N709">
        <v>901.8</v>
      </c>
      <c r="O709">
        <v>0</v>
      </c>
      <c r="P7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09" t="str">
        <f>IF(Table1[[#This Row],[Fraud_Score]]&gt;=6, "High Risk",IF(Table1[[#This Row],[Fraud_Score]]&gt;=3, "Medium Risk", "Low Risk"))</f>
        <v>Low Risk</v>
      </c>
      <c r="R709">
        <f>IF(Table1[[#This Row],[Seconds of Use]]=0,0,Table1[[#This Row],[Customer Value]]/Table1[[#This Row],[Seconds of Use]]*100)</f>
        <v>10.104201680672269</v>
      </c>
    </row>
    <row r="710" spans="1:18" x14ac:dyDescent="0.35">
      <c r="A710" s="3" t="s">
        <v>731</v>
      </c>
      <c r="B710">
        <v>5</v>
      </c>
      <c r="C710">
        <v>0</v>
      </c>
      <c r="D710">
        <v>38</v>
      </c>
      <c r="E710">
        <v>0</v>
      </c>
      <c r="F710">
        <v>13583</v>
      </c>
      <c r="G710">
        <v>168</v>
      </c>
      <c r="H710">
        <v>0</v>
      </c>
      <c r="I710">
        <v>41</v>
      </c>
      <c r="J710">
        <v>3</v>
      </c>
      <c r="K710">
        <v>1</v>
      </c>
      <c r="L710">
        <v>1</v>
      </c>
      <c r="M710">
        <v>30</v>
      </c>
      <c r="N710">
        <v>550.04</v>
      </c>
      <c r="O710">
        <v>0</v>
      </c>
      <c r="P7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10" t="str">
        <f>IF(Table1[[#This Row],[Fraud_Score]]&gt;=6, "High Risk",IF(Table1[[#This Row],[Fraud_Score]]&gt;=3, "Medium Risk", "Low Risk"))</f>
        <v>Medium Risk</v>
      </c>
      <c r="R710">
        <f>IF(Table1[[#This Row],[Seconds of Use]]=0,0,Table1[[#This Row],[Customer Value]]/Table1[[#This Row],[Seconds of Use]]*100)</f>
        <v>4.0494736067142743</v>
      </c>
    </row>
    <row r="711" spans="1:18" x14ac:dyDescent="0.35">
      <c r="A711" s="3" t="s">
        <v>732</v>
      </c>
      <c r="B711">
        <v>5</v>
      </c>
      <c r="C711">
        <v>0</v>
      </c>
      <c r="D711">
        <v>38</v>
      </c>
      <c r="E711">
        <v>1</v>
      </c>
      <c r="F711">
        <v>4325</v>
      </c>
      <c r="G711">
        <v>82</v>
      </c>
      <c r="H711">
        <v>0</v>
      </c>
      <c r="I711">
        <v>22</v>
      </c>
      <c r="J711">
        <v>3</v>
      </c>
      <c r="K711">
        <v>1</v>
      </c>
      <c r="L711">
        <v>1</v>
      </c>
      <c r="M711">
        <v>30</v>
      </c>
      <c r="N711">
        <v>176.28</v>
      </c>
      <c r="O711">
        <v>0</v>
      </c>
      <c r="P7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11" t="str">
        <f>IF(Table1[[#This Row],[Fraud_Score]]&gt;=6, "High Risk",IF(Table1[[#This Row],[Fraud_Score]]&gt;=3, "Medium Risk", "Low Risk"))</f>
        <v>Low Risk</v>
      </c>
      <c r="R711">
        <f>IF(Table1[[#This Row],[Seconds of Use]]=0,0,Table1[[#This Row],[Customer Value]]/Table1[[#This Row],[Seconds of Use]]*100)</f>
        <v>4.0758381502890169</v>
      </c>
    </row>
    <row r="712" spans="1:18" x14ac:dyDescent="0.35">
      <c r="A712" s="3" t="s">
        <v>733</v>
      </c>
      <c r="B712">
        <v>4</v>
      </c>
      <c r="C712">
        <v>0</v>
      </c>
      <c r="D712">
        <v>38</v>
      </c>
      <c r="E712">
        <v>0</v>
      </c>
      <c r="F712">
        <v>5728</v>
      </c>
      <c r="G712">
        <v>94</v>
      </c>
      <c r="H712">
        <v>0</v>
      </c>
      <c r="I712">
        <v>9</v>
      </c>
      <c r="J712">
        <v>3</v>
      </c>
      <c r="K712">
        <v>1</v>
      </c>
      <c r="L712">
        <v>1</v>
      </c>
      <c r="M712">
        <v>30</v>
      </c>
      <c r="N712">
        <v>232.88</v>
      </c>
      <c r="O712">
        <v>0</v>
      </c>
      <c r="P7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12" t="str">
        <f>IF(Table1[[#This Row],[Fraud_Score]]&gt;=6, "High Risk",IF(Table1[[#This Row],[Fraud_Score]]&gt;=3, "Medium Risk", "Low Risk"))</f>
        <v>Low Risk</v>
      </c>
      <c r="R712">
        <f>IF(Table1[[#This Row],[Seconds of Use]]=0,0,Table1[[#This Row],[Customer Value]]/Table1[[#This Row],[Seconds of Use]]*100)</f>
        <v>4.0656424581005588</v>
      </c>
    </row>
    <row r="713" spans="1:18" x14ac:dyDescent="0.35">
      <c r="A713" s="3" t="s">
        <v>734</v>
      </c>
      <c r="B713">
        <v>7</v>
      </c>
      <c r="C713">
        <v>0</v>
      </c>
      <c r="D713">
        <v>38</v>
      </c>
      <c r="E713">
        <v>0</v>
      </c>
      <c r="F713">
        <v>2048</v>
      </c>
      <c r="G713">
        <v>53</v>
      </c>
      <c r="H713">
        <v>0</v>
      </c>
      <c r="I713">
        <v>14</v>
      </c>
      <c r="J713">
        <v>3</v>
      </c>
      <c r="K713">
        <v>1</v>
      </c>
      <c r="L713">
        <v>2</v>
      </c>
      <c r="M713">
        <v>30</v>
      </c>
      <c r="N713">
        <v>84.04</v>
      </c>
      <c r="O713">
        <v>0</v>
      </c>
      <c r="P7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13" t="str">
        <f>IF(Table1[[#This Row],[Fraud_Score]]&gt;=6, "High Risk",IF(Table1[[#This Row],[Fraud_Score]]&gt;=3, "Medium Risk", "Low Risk"))</f>
        <v>Low Risk</v>
      </c>
      <c r="R713">
        <f>IF(Table1[[#This Row],[Seconds of Use]]=0,0,Table1[[#This Row],[Customer Value]]/Table1[[#This Row],[Seconds of Use]]*100)</f>
        <v>4.103515625</v>
      </c>
    </row>
    <row r="714" spans="1:18" x14ac:dyDescent="0.35">
      <c r="A714" s="3" t="s">
        <v>735</v>
      </c>
      <c r="B714">
        <v>23</v>
      </c>
      <c r="C714">
        <v>0</v>
      </c>
      <c r="D714">
        <v>38</v>
      </c>
      <c r="E714">
        <v>3</v>
      </c>
      <c r="F714">
        <v>14950</v>
      </c>
      <c r="G714">
        <v>224</v>
      </c>
      <c r="H714">
        <v>45</v>
      </c>
      <c r="I714">
        <v>29</v>
      </c>
      <c r="J714">
        <v>3</v>
      </c>
      <c r="K714">
        <v>1</v>
      </c>
      <c r="L714">
        <v>1</v>
      </c>
      <c r="M714">
        <v>30</v>
      </c>
      <c r="N714">
        <v>786.96</v>
      </c>
      <c r="O714">
        <v>0</v>
      </c>
      <c r="P7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714" t="str">
        <f>IF(Table1[[#This Row],[Fraud_Score]]&gt;=6, "High Risk",IF(Table1[[#This Row],[Fraud_Score]]&gt;=3, "Medium Risk", "Low Risk"))</f>
        <v>Medium Risk</v>
      </c>
      <c r="R714">
        <f>IF(Table1[[#This Row],[Seconds of Use]]=0,0,Table1[[#This Row],[Customer Value]]/Table1[[#This Row],[Seconds of Use]]*100)</f>
        <v>5.263946488294315</v>
      </c>
    </row>
    <row r="715" spans="1:18" x14ac:dyDescent="0.35">
      <c r="A715" s="3" t="s">
        <v>736</v>
      </c>
      <c r="B715">
        <v>2</v>
      </c>
      <c r="C715">
        <v>0</v>
      </c>
      <c r="D715">
        <v>38</v>
      </c>
      <c r="E715">
        <v>1</v>
      </c>
      <c r="F715">
        <v>2905</v>
      </c>
      <c r="G715">
        <v>26</v>
      </c>
      <c r="H715">
        <v>474</v>
      </c>
      <c r="I715">
        <v>5</v>
      </c>
      <c r="J715">
        <v>3</v>
      </c>
      <c r="K715">
        <v>1</v>
      </c>
      <c r="L715">
        <v>1</v>
      </c>
      <c r="M715">
        <v>30</v>
      </c>
      <c r="N715">
        <v>2013.24</v>
      </c>
      <c r="O715">
        <v>0</v>
      </c>
      <c r="P7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15" t="str">
        <f>IF(Table1[[#This Row],[Fraud_Score]]&gt;=6, "High Risk",IF(Table1[[#This Row],[Fraud_Score]]&gt;=3, "Medium Risk", "Low Risk"))</f>
        <v>Low Risk</v>
      </c>
      <c r="R715">
        <f>IF(Table1[[#This Row],[Seconds of Use]]=0,0,Table1[[#This Row],[Customer Value]]/Table1[[#This Row],[Seconds of Use]]*100)</f>
        <v>69.302581755593806</v>
      </c>
    </row>
    <row r="716" spans="1:18" x14ac:dyDescent="0.35">
      <c r="A716" s="3" t="s">
        <v>737</v>
      </c>
      <c r="B716">
        <v>7</v>
      </c>
      <c r="C716">
        <v>0</v>
      </c>
      <c r="D716">
        <v>37</v>
      </c>
      <c r="E716">
        <v>0</v>
      </c>
      <c r="F716">
        <v>15295</v>
      </c>
      <c r="G716">
        <v>181</v>
      </c>
      <c r="H716">
        <v>141</v>
      </c>
      <c r="I716">
        <v>27</v>
      </c>
      <c r="J716">
        <v>2</v>
      </c>
      <c r="K716">
        <v>1</v>
      </c>
      <c r="L716">
        <v>1</v>
      </c>
      <c r="M716">
        <v>25</v>
      </c>
      <c r="N716">
        <v>1330.92</v>
      </c>
      <c r="O716">
        <v>0</v>
      </c>
      <c r="P7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16" t="str">
        <f>IF(Table1[[#This Row],[Fraud_Score]]&gt;=6, "High Risk",IF(Table1[[#This Row],[Fraud_Score]]&gt;=3, "Medium Risk", "Low Risk"))</f>
        <v>Medium Risk</v>
      </c>
      <c r="R716">
        <f>IF(Table1[[#This Row],[Seconds of Use]]=0,0,Table1[[#This Row],[Customer Value]]/Table1[[#This Row],[Seconds of Use]]*100)</f>
        <v>8.7016672115070293</v>
      </c>
    </row>
    <row r="717" spans="1:18" x14ac:dyDescent="0.35">
      <c r="A717" s="3" t="s">
        <v>738</v>
      </c>
      <c r="B717">
        <v>1</v>
      </c>
      <c r="C717">
        <v>0</v>
      </c>
      <c r="D717">
        <v>37</v>
      </c>
      <c r="E717">
        <v>1</v>
      </c>
      <c r="F717">
        <v>6310</v>
      </c>
      <c r="G717">
        <v>85</v>
      </c>
      <c r="H717">
        <v>177</v>
      </c>
      <c r="I717">
        <v>23</v>
      </c>
      <c r="J717">
        <v>3</v>
      </c>
      <c r="K717">
        <v>1</v>
      </c>
      <c r="L717">
        <v>1</v>
      </c>
      <c r="M717">
        <v>30</v>
      </c>
      <c r="N717">
        <v>963.8</v>
      </c>
      <c r="O717">
        <v>0</v>
      </c>
      <c r="P7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17" t="str">
        <f>IF(Table1[[#This Row],[Fraud_Score]]&gt;=6, "High Risk",IF(Table1[[#This Row],[Fraud_Score]]&gt;=3, "Medium Risk", "Low Risk"))</f>
        <v>Low Risk</v>
      </c>
      <c r="R717">
        <f>IF(Table1[[#This Row],[Seconds of Use]]=0,0,Table1[[#This Row],[Customer Value]]/Table1[[#This Row],[Seconds of Use]]*100)</f>
        <v>15.274167987321711</v>
      </c>
    </row>
    <row r="718" spans="1:18" x14ac:dyDescent="0.35">
      <c r="A718" s="3" t="s">
        <v>739</v>
      </c>
      <c r="B718">
        <v>0</v>
      </c>
      <c r="C718">
        <v>0</v>
      </c>
      <c r="D718">
        <v>37</v>
      </c>
      <c r="E718">
        <v>0</v>
      </c>
      <c r="F718">
        <v>685</v>
      </c>
      <c r="G718">
        <v>13</v>
      </c>
      <c r="H718">
        <v>0</v>
      </c>
      <c r="I718">
        <v>8</v>
      </c>
      <c r="J718">
        <v>2</v>
      </c>
      <c r="K718">
        <v>1</v>
      </c>
      <c r="L718">
        <v>2</v>
      </c>
      <c r="M718">
        <v>25</v>
      </c>
      <c r="N718">
        <v>31.41</v>
      </c>
      <c r="O718">
        <v>0</v>
      </c>
      <c r="P7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18" t="str">
        <f>IF(Table1[[#This Row],[Fraud_Score]]&gt;=6, "High Risk",IF(Table1[[#This Row],[Fraud_Score]]&gt;=3, "Medium Risk", "Low Risk"))</f>
        <v>Low Risk</v>
      </c>
      <c r="R718">
        <f>IF(Table1[[#This Row],[Seconds of Use]]=0,0,Table1[[#This Row],[Customer Value]]/Table1[[#This Row],[Seconds of Use]]*100)</f>
        <v>4.5854014598540145</v>
      </c>
    </row>
    <row r="719" spans="1:18" x14ac:dyDescent="0.35">
      <c r="A719" s="3" t="s">
        <v>740</v>
      </c>
      <c r="B719">
        <v>0</v>
      </c>
      <c r="C719">
        <v>0</v>
      </c>
      <c r="D719">
        <v>38</v>
      </c>
      <c r="E719">
        <v>0</v>
      </c>
      <c r="F719">
        <v>520</v>
      </c>
      <c r="G719">
        <v>13</v>
      </c>
      <c r="H719">
        <v>4</v>
      </c>
      <c r="I719">
        <v>5</v>
      </c>
      <c r="J719">
        <v>3</v>
      </c>
      <c r="K719">
        <v>1</v>
      </c>
      <c r="L719">
        <v>2</v>
      </c>
      <c r="M719">
        <v>30</v>
      </c>
      <c r="N719">
        <v>37.32</v>
      </c>
      <c r="O719">
        <v>0</v>
      </c>
      <c r="P7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19" t="str">
        <f>IF(Table1[[#This Row],[Fraud_Score]]&gt;=6, "High Risk",IF(Table1[[#This Row],[Fraud_Score]]&gt;=3, "Medium Risk", "Low Risk"))</f>
        <v>Low Risk</v>
      </c>
      <c r="R719">
        <f>IF(Table1[[#This Row],[Seconds of Use]]=0,0,Table1[[#This Row],[Customer Value]]/Table1[[#This Row],[Seconds of Use]]*100)</f>
        <v>7.1769230769230763</v>
      </c>
    </row>
    <row r="720" spans="1:18" x14ac:dyDescent="0.35">
      <c r="A720" s="3" t="s">
        <v>741</v>
      </c>
      <c r="B720">
        <v>0</v>
      </c>
      <c r="C720">
        <v>0</v>
      </c>
      <c r="D720">
        <v>37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2</v>
      </c>
      <c r="K720">
        <v>1</v>
      </c>
      <c r="L720">
        <v>2</v>
      </c>
      <c r="M720">
        <v>25</v>
      </c>
      <c r="N720">
        <v>0</v>
      </c>
      <c r="O720">
        <v>1</v>
      </c>
      <c r="P7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20" t="str">
        <f>IF(Table1[[#This Row],[Fraud_Score]]&gt;=6, "High Risk",IF(Table1[[#This Row],[Fraud_Score]]&gt;=3, "Medium Risk", "Low Risk"))</f>
        <v>Low Risk</v>
      </c>
      <c r="R720">
        <f>IF(Table1[[#This Row],[Seconds of Use]]=0,0,Table1[[#This Row],[Customer Value]]/Table1[[#This Row],[Seconds of Use]]*100)</f>
        <v>0</v>
      </c>
    </row>
    <row r="721" spans="1:18" x14ac:dyDescent="0.35">
      <c r="A721" s="3" t="s">
        <v>742</v>
      </c>
      <c r="B721">
        <v>1</v>
      </c>
      <c r="C721">
        <v>0</v>
      </c>
      <c r="D721">
        <v>37</v>
      </c>
      <c r="E721">
        <v>0</v>
      </c>
      <c r="F721">
        <v>7318</v>
      </c>
      <c r="G721">
        <v>126</v>
      </c>
      <c r="H721">
        <v>375</v>
      </c>
      <c r="I721">
        <v>40</v>
      </c>
      <c r="J721">
        <v>2</v>
      </c>
      <c r="K721">
        <v>1</v>
      </c>
      <c r="L721">
        <v>1</v>
      </c>
      <c r="M721">
        <v>25</v>
      </c>
      <c r="N721">
        <v>2022.48</v>
      </c>
      <c r="O721">
        <v>0</v>
      </c>
      <c r="P7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21" t="str">
        <f>IF(Table1[[#This Row],[Fraud_Score]]&gt;=6, "High Risk",IF(Table1[[#This Row],[Fraud_Score]]&gt;=3, "Medium Risk", "Low Risk"))</f>
        <v>Low Risk</v>
      </c>
      <c r="R721">
        <f>IF(Table1[[#This Row],[Seconds of Use]]=0,0,Table1[[#This Row],[Customer Value]]/Table1[[#This Row],[Seconds of Use]]*100)</f>
        <v>27.637059305821264</v>
      </c>
    </row>
    <row r="722" spans="1:18" x14ac:dyDescent="0.35">
      <c r="A722" s="3" t="s">
        <v>743</v>
      </c>
      <c r="B722">
        <v>5</v>
      </c>
      <c r="C722">
        <v>0</v>
      </c>
      <c r="D722">
        <v>37</v>
      </c>
      <c r="E722">
        <v>1</v>
      </c>
      <c r="F722">
        <v>11275</v>
      </c>
      <c r="G722">
        <v>153</v>
      </c>
      <c r="H722">
        <v>2</v>
      </c>
      <c r="I722">
        <v>44</v>
      </c>
      <c r="J722">
        <v>4</v>
      </c>
      <c r="K722">
        <v>1</v>
      </c>
      <c r="L722">
        <v>1</v>
      </c>
      <c r="M722">
        <v>45</v>
      </c>
      <c r="N722">
        <v>290.7</v>
      </c>
      <c r="O722">
        <v>0</v>
      </c>
      <c r="P7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22" t="str">
        <f>IF(Table1[[#This Row],[Fraud_Score]]&gt;=6, "High Risk",IF(Table1[[#This Row],[Fraud_Score]]&gt;=3, "Medium Risk", "Low Risk"))</f>
        <v>Low Risk</v>
      </c>
      <c r="R722">
        <f>IF(Table1[[#This Row],[Seconds of Use]]=0,0,Table1[[#This Row],[Customer Value]]/Table1[[#This Row],[Seconds of Use]]*100)</f>
        <v>2.5782705099778269</v>
      </c>
    </row>
    <row r="723" spans="1:18" x14ac:dyDescent="0.35">
      <c r="A723" s="3" t="s">
        <v>744</v>
      </c>
      <c r="B723">
        <v>6</v>
      </c>
      <c r="C723">
        <v>0</v>
      </c>
      <c r="D723">
        <v>37</v>
      </c>
      <c r="E723">
        <v>1</v>
      </c>
      <c r="F723">
        <v>6528</v>
      </c>
      <c r="G723">
        <v>74</v>
      </c>
      <c r="H723">
        <v>99</v>
      </c>
      <c r="I723">
        <v>34</v>
      </c>
      <c r="J723">
        <v>2</v>
      </c>
      <c r="K723">
        <v>1</v>
      </c>
      <c r="L723">
        <v>1</v>
      </c>
      <c r="M723">
        <v>25</v>
      </c>
      <c r="N723">
        <v>742.59</v>
      </c>
      <c r="O723">
        <v>0</v>
      </c>
      <c r="P7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23" t="str">
        <f>IF(Table1[[#This Row],[Fraud_Score]]&gt;=6, "High Risk",IF(Table1[[#This Row],[Fraud_Score]]&gt;=3, "Medium Risk", "Low Risk"))</f>
        <v>Low Risk</v>
      </c>
      <c r="R723">
        <f>IF(Table1[[#This Row],[Seconds of Use]]=0,0,Table1[[#This Row],[Customer Value]]/Table1[[#This Row],[Seconds of Use]]*100)</f>
        <v>11.375459558823529</v>
      </c>
    </row>
    <row r="724" spans="1:18" x14ac:dyDescent="0.35">
      <c r="A724" s="3" t="s">
        <v>745</v>
      </c>
      <c r="B724">
        <v>21</v>
      </c>
      <c r="C724">
        <v>0</v>
      </c>
      <c r="D724">
        <v>33</v>
      </c>
      <c r="E724">
        <v>0</v>
      </c>
      <c r="F724">
        <v>765</v>
      </c>
      <c r="G724">
        <v>46</v>
      </c>
      <c r="H724">
        <v>7</v>
      </c>
      <c r="I724">
        <v>14</v>
      </c>
      <c r="J724">
        <v>2</v>
      </c>
      <c r="K724">
        <v>1</v>
      </c>
      <c r="L724">
        <v>2</v>
      </c>
      <c r="M724">
        <v>25</v>
      </c>
      <c r="N724">
        <v>67.995000000000005</v>
      </c>
      <c r="O724">
        <v>1</v>
      </c>
      <c r="P7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24" t="str">
        <f>IF(Table1[[#This Row],[Fraud_Score]]&gt;=6, "High Risk",IF(Table1[[#This Row],[Fraud_Score]]&gt;=3, "Medium Risk", "Low Risk"))</f>
        <v>Medium Risk</v>
      </c>
      <c r="R724">
        <f>IF(Table1[[#This Row],[Seconds of Use]]=0,0,Table1[[#This Row],[Customer Value]]/Table1[[#This Row],[Seconds of Use]]*100)</f>
        <v>8.8882352941176475</v>
      </c>
    </row>
    <row r="725" spans="1:18" x14ac:dyDescent="0.35">
      <c r="A725" s="3" t="s">
        <v>746</v>
      </c>
      <c r="B725">
        <v>19</v>
      </c>
      <c r="C725">
        <v>0</v>
      </c>
      <c r="D725">
        <v>36</v>
      </c>
      <c r="E725">
        <v>8</v>
      </c>
      <c r="F725">
        <v>10245</v>
      </c>
      <c r="G725">
        <v>92</v>
      </c>
      <c r="H725">
        <v>0</v>
      </c>
      <c r="I725">
        <v>39</v>
      </c>
      <c r="J725">
        <v>5</v>
      </c>
      <c r="K725">
        <v>2</v>
      </c>
      <c r="L725">
        <v>1</v>
      </c>
      <c r="M725">
        <v>55</v>
      </c>
      <c r="N725">
        <v>155.05500000000001</v>
      </c>
      <c r="O725">
        <v>0</v>
      </c>
      <c r="P7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25" t="str">
        <f>IF(Table1[[#This Row],[Fraud_Score]]&gt;=6, "High Risk",IF(Table1[[#This Row],[Fraud_Score]]&gt;=3, "Medium Risk", "Low Risk"))</f>
        <v>Low Risk</v>
      </c>
      <c r="R725">
        <f>IF(Table1[[#This Row],[Seconds of Use]]=0,0,Table1[[#This Row],[Customer Value]]/Table1[[#This Row],[Seconds of Use]]*100)</f>
        <v>1.5134699853587115</v>
      </c>
    </row>
    <row r="726" spans="1:18" x14ac:dyDescent="0.35">
      <c r="A726" s="3" t="s">
        <v>747</v>
      </c>
      <c r="B726">
        <v>11</v>
      </c>
      <c r="C726">
        <v>0</v>
      </c>
      <c r="D726">
        <v>36</v>
      </c>
      <c r="E726">
        <v>1</v>
      </c>
      <c r="F726">
        <v>5628</v>
      </c>
      <c r="G726">
        <v>97</v>
      </c>
      <c r="H726">
        <v>17</v>
      </c>
      <c r="I726">
        <v>21</v>
      </c>
      <c r="J726">
        <v>2</v>
      </c>
      <c r="K726">
        <v>1</v>
      </c>
      <c r="L726">
        <v>1</v>
      </c>
      <c r="M726">
        <v>25</v>
      </c>
      <c r="N726">
        <v>334.125</v>
      </c>
      <c r="O726">
        <v>1</v>
      </c>
      <c r="P7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26" t="str">
        <f>IF(Table1[[#This Row],[Fraud_Score]]&gt;=6, "High Risk",IF(Table1[[#This Row],[Fraud_Score]]&gt;=3, "Medium Risk", "Low Risk"))</f>
        <v>Low Risk</v>
      </c>
      <c r="R726">
        <f>IF(Table1[[#This Row],[Seconds of Use]]=0,0,Table1[[#This Row],[Customer Value]]/Table1[[#This Row],[Seconds of Use]]*100)</f>
        <v>5.9368336886993607</v>
      </c>
    </row>
    <row r="727" spans="1:18" x14ac:dyDescent="0.35">
      <c r="A727" s="3" t="s">
        <v>748</v>
      </c>
      <c r="B727">
        <v>0</v>
      </c>
      <c r="C727">
        <v>0</v>
      </c>
      <c r="D727">
        <v>34</v>
      </c>
      <c r="E727">
        <v>0</v>
      </c>
      <c r="F727">
        <v>2650</v>
      </c>
      <c r="G727">
        <v>21</v>
      </c>
      <c r="H727">
        <v>0</v>
      </c>
      <c r="I727">
        <v>11</v>
      </c>
      <c r="J727">
        <v>3</v>
      </c>
      <c r="K727">
        <v>1</v>
      </c>
      <c r="L727">
        <v>1</v>
      </c>
      <c r="M727">
        <v>30</v>
      </c>
      <c r="N727">
        <v>106.84</v>
      </c>
      <c r="O727">
        <v>0</v>
      </c>
      <c r="P7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27" t="str">
        <f>IF(Table1[[#This Row],[Fraud_Score]]&gt;=6, "High Risk",IF(Table1[[#This Row],[Fraud_Score]]&gt;=3, "Medium Risk", "Low Risk"))</f>
        <v>Low Risk</v>
      </c>
      <c r="R727">
        <f>IF(Table1[[#This Row],[Seconds of Use]]=0,0,Table1[[#This Row],[Customer Value]]/Table1[[#This Row],[Seconds of Use]]*100)</f>
        <v>4.0316981132075469</v>
      </c>
    </row>
    <row r="728" spans="1:18" x14ac:dyDescent="0.35">
      <c r="A728" s="3" t="s">
        <v>749</v>
      </c>
      <c r="B728">
        <v>7</v>
      </c>
      <c r="C728">
        <v>1</v>
      </c>
      <c r="D728">
        <v>35</v>
      </c>
      <c r="E728">
        <v>0</v>
      </c>
      <c r="F728">
        <v>2800</v>
      </c>
      <c r="G728">
        <v>40</v>
      </c>
      <c r="H728">
        <v>0</v>
      </c>
      <c r="I728">
        <v>13</v>
      </c>
      <c r="J728">
        <v>3</v>
      </c>
      <c r="K728">
        <v>1</v>
      </c>
      <c r="L728">
        <v>2</v>
      </c>
      <c r="M728">
        <v>30</v>
      </c>
      <c r="N728">
        <v>113.6</v>
      </c>
      <c r="O728">
        <v>1</v>
      </c>
      <c r="P7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28" t="str">
        <f>IF(Table1[[#This Row],[Fraud_Score]]&gt;=6, "High Risk",IF(Table1[[#This Row],[Fraud_Score]]&gt;=3, "Medium Risk", "Low Risk"))</f>
        <v>Medium Risk</v>
      </c>
      <c r="R728">
        <f>IF(Table1[[#This Row],[Seconds of Use]]=0,0,Table1[[#This Row],[Customer Value]]/Table1[[#This Row],[Seconds of Use]]*100)</f>
        <v>4.0571428571428569</v>
      </c>
    </row>
    <row r="729" spans="1:18" x14ac:dyDescent="0.35">
      <c r="A729" s="3" t="s">
        <v>750</v>
      </c>
      <c r="B729">
        <v>7</v>
      </c>
      <c r="C729">
        <v>0</v>
      </c>
      <c r="D729">
        <v>36</v>
      </c>
      <c r="E729">
        <v>0</v>
      </c>
      <c r="F729">
        <v>2078</v>
      </c>
      <c r="G729">
        <v>43</v>
      </c>
      <c r="H729">
        <v>25</v>
      </c>
      <c r="I729">
        <v>28</v>
      </c>
      <c r="J729">
        <v>3</v>
      </c>
      <c r="K729">
        <v>1</v>
      </c>
      <c r="L729">
        <v>2</v>
      </c>
      <c r="M729">
        <v>30</v>
      </c>
      <c r="N729">
        <v>184.84</v>
      </c>
      <c r="O729">
        <v>1</v>
      </c>
      <c r="P7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29" t="str">
        <f>IF(Table1[[#This Row],[Fraud_Score]]&gt;=6, "High Risk",IF(Table1[[#This Row],[Fraud_Score]]&gt;=3, "Medium Risk", "Low Risk"))</f>
        <v>Low Risk</v>
      </c>
      <c r="R729">
        <f>IF(Table1[[#This Row],[Seconds of Use]]=0,0,Table1[[#This Row],[Customer Value]]/Table1[[#This Row],[Seconds of Use]]*100)</f>
        <v>8.8950914340712224</v>
      </c>
    </row>
    <row r="730" spans="1:18" x14ac:dyDescent="0.35">
      <c r="A730" s="3" t="s">
        <v>751</v>
      </c>
      <c r="B730">
        <v>0</v>
      </c>
      <c r="C730">
        <v>0</v>
      </c>
      <c r="D730">
        <v>36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3</v>
      </c>
      <c r="K730">
        <v>1</v>
      </c>
      <c r="L730">
        <v>2</v>
      </c>
      <c r="M730">
        <v>30</v>
      </c>
      <c r="N730">
        <v>0</v>
      </c>
      <c r="O730">
        <v>1</v>
      </c>
      <c r="P7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30" t="str">
        <f>IF(Table1[[#This Row],[Fraud_Score]]&gt;=6, "High Risk",IF(Table1[[#This Row],[Fraud_Score]]&gt;=3, "Medium Risk", "Low Risk"))</f>
        <v>Low Risk</v>
      </c>
      <c r="R730">
        <f>IF(Table1[[#This Row],[Seconds of Use]]=0,0,Table1[[#This Row],[Customer Value]]/Table1[[#This Row],[Seconds of Use]]*100)</f>
        <v>0</v>
      </c>
    </row>
    <row r="731" spans="1:18" x14ac:dyDescent="0.35">
      <c r="A731" s="3" t="s">
        <v>752</v>
      </c>
      <c r="B731">
        <v>0</v>
      </c>
      <c r="C731">
        <v>0</v>
      </c>
      <c r="D731">
        <v>36</v>
      </c>
      <c r="E731">
        <v>0</v>
      </c>
      <c r="F731">
        <v>1478</v>
      </c>
      <c r="G731">
        <v>24</v>
      </c>
      <c r="H731">
        <v>0</v>
      </c>
      <c r="I731">
        <v>3</v>
      </c>
      <c r="J731">
        <v>3</v>
      </c>
      <c r="K731">
        <v>1</v>
      </c>
      <c r="L731">
        <v>1</v>
      </c>
      <c r="M731">
        <v>30</v>
      </c>
      <c r="N731">
        <v>60.08</v>
      </c>
      <c r="O731">
        <v>0</v>
      </c>
      <c r="P7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31" t="str">
        <f>IF(Table1[[#This Row],[Fraud_Score]]&gt;=6, "High Risk",IF(Table1[[#This Row],[Fraud_Score]]&gt;=3, "Medium Risk", "Low Risk"))</f>
        <v>Low Risk</v>
      </c>
      <c r="R731">
        <f>IF(Table1[[#This Row],[Seconds of Use]]=0,0,Table1[[#This Row],[Customer Value]]/Table1[[#This Row],[Seconds of Use]]*100)</f>
        <v>4.0649526387009471</v>
      </c>
    </row>
    <row r="732" spans="1:18" x14ac:dyDescent="0.35">
      <c r="A732" s="3" t="s">
        <v>753</v>
      </c>
      <c r="B732">
        <v>1</v>
      </c>
      <c r="C732">
        <v>0</v>
      </c>
      <c r="D732">
        <v>33</v>
      </c>
      <c r="E732">
        <v>1</v>
      </c>
      <c r="F732">
        <v>6595</v>
      </c>
      <c r="G732">
        <v>96</v>
      </c>
      <c r="H732">
        <v>5</v>
      </c>
      <c r="I732">
        <v>19</v>
      </c>
      <c r="J732">
        <v>5</v>
      </c>
      <c r="K732">
        <v>1</v>
      </c>
      <c r="L732">
        <v>1</v>
      </c>
      <c r="M732">
        <v>55</v>
      </c>
      <c r="N732">
        <v>107.86499999999999</v>
      </c>
      <c r="O732">
        <v>0</v>
      </c>
      <c r="P7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32" t="str">
        <f>IF(Table1[[#This Row],[Fraud_Score]]&gt;=6, "High Risk",IF(Table1[[#This Row],[Fraud_Score]]&gt;=3, "Medium Risk", "Low Risk"))</f>
        <v>Low Risk</v>
      </c>
      <c r="R732">
        <f>IF(Table1[[#This Row],[Seconds of Use]]=0,0,Table1[[#This Row],[Customer Value]]/Table1[[#This Row],[Seconds of Use]]*100)</f>
        <v>1.6355572403335861</v>
      </c>
    </row>
    <row r="733" spans="1:18" x14ac:dyDescent="0.35">
      <c r="A733" s="3" t="s">
        <v>754</v>
      </c>
      <c r="B733">
        <v>0</v>
      </c>
      <c r="C733">
        <v>0</v>
      </c>
      <c r="D733">
        <v>36</v>
      </c>
      <c r="E733">
        <v>0</v>
      </c>
      <c r="F733">
        <v>438</v>
      </c>
      <c r="G733">
        <v>6</v>
      </c>
      <c r="H733">
        <v>0</v>
      </c>
      <c r="I733">
        <v>1</v>
      </c>
      <c r="J733">
        <v>4</v>
      </c>
      <c r="K733">
        <v>1</v>
      </c>
      <c r="L733">
        <v>2</v>
      </c>
      <c r="M733">
        <v>45</v>
      </c>
      <c r="N733">
        <v>11.1</v>
      </c>
      <c r="O733">
        <v>1</v>
      </c>
      <c r="P7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33" t="str">
        <f>IF(Table1[[#This Row],[Fraud_Score]]&gt;=6, "High Risk",IF(Table1[[#This Row],[Fraud_Score]]&gt;=3, "Medium Risk", "Low Risk"))</f>
        <v>Low Risk</v>
      </c>
      <c r="R733">
        <f>IF(Table1[[#This Row],[Seconds of Use]]=0,0,Table1[[#This Row],[Customer Value]]/Table1[[#This Row],[Seconds of Use]]*100)</f>
        <v>2.5342465753424657</v>
      </c>
    </row>
    <row r="734" spans="1:18" x14ac:dyDescent="0.35">
      <c r="A734" s="3" t="s">
        <v>755</v>
      </c>
      <c r="B734">
        <v>0</v>
      </c>
      <c r="C734">
        <v>0</v>
      </c>
      <c r="D734">
        <v>36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5</v>
      </c>
      <c r="K734">
        <v>1</v>
      </c>
      <c r="L734">
        <v>1</v>
      </c>
      <c r="M734">
        <v>55</v>
      </c>
      <c r="N734">
        <v>0</v>
      </c>
      <c r="O734">
        <v>0</v>
      </c>
      <c r="P7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34" t="str">
        <f>IF(Table1[[#This Row],[Fraud_Score]]&gt;=6, "High Risk",IF(Table1[[#This Row],[Fraud_Score]]&gt;=3, "Medium Risk", "Low Risk"))</f>
        <v>Low Risk</v>
      </c>
      <c r="R734">
        <f>IF(Table1[[#This Row],[Seconds of Use]]=0,0,Table1[[#This Row],[Customer Value]]/Table1[[#This Row],[Seconds of Use]]*100)</f>
        <v>0</v>
      </c>
    </row>
    <row r="735" spans="1:18" x14ac:dyDescent="0.35">
      <c r="A735" s="3" t="s">
        <v>756</v>
      </c>
      <c r="B735">
        <v>23</v>
      </c>
      <c r="C735">
        <v>0</v>
      </c>
      <c r="D735">
        <v>31</v>
      </c>
      <c r="E735">
        <v>3</v>
      </c>
      <c r="F735">
        <v>15885</v>
      </c>
      <c r="G735">
        <v>237</v>
      </c>
      <c r="H735">
        <v>0</v>
      </c>
      <c r="I735">
        <v>77</v>
      </c>
      <c r="J735">
        <v>2</v>
      </c>
      <c r="K735">
        <v>1</v>
      </c>
      <c r="L735">
        <v>1</v>
      </c>
      <c r="M735">
        <v>25</v>
      </c>
      <c r="N735">
        <v>725.49</v>
      </c>
      <c r="O735">
        <v>0</v>
      </c>
      <c r="P7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735" t="str">
        <f>IF(Table1[[#This Row],[Fraud_Score]]&gt;=6, "High Risk",IF(Table1[[#This Row],[Fraud_Score]]&gt;=3, "Medium Risk", "Low Risk"))</f>
        <v>Medium Risk</v>
      </c>
      <c r="R735">
        <f>IF(Table1[[#This Row],[Seconds of Use]]=0,0,Table1[[#This Row],[Customer Value]]/Table1[[#This Row],[Seconds of Use]]*100)</f>
        <v>4.5671388101983004</v>
      </c>
    </row>
    <row r="736" spans="1:18" x14ac:dyDescent="0.35">
      <c r="A736" s="3" t="s">
        <v>757</v>
      </c>
      <c r="B736">
        <v>4</v>
      </c>
      <c r="C736">
        <v>0</v>
      </c>
      <c r="D736">
        <v>34</v>
      </c>
      <c r="E736">
        <v>3</v>
      </c>
      <c r="F736">
        <v>6775</v>
      </c>
      <c r="G736">
        <v>115</v>
      </c>
      <c r="H736">
        <v>262</v>
      </c>
      <c r="I736">
        <v>30</v>
      </c>
      <c r="J736">
        <v>2</v>
      </c>
      <c r="K736">
        <v>2</v>
      </c>
      <c r="L736">
        <v>1</v>
      </c>
      <c r="M736">
        <v>25</v>
      </c>
      <c r="N736">
        <v>1489.05</v>
      </c>
      <c r="O736">
        <v>0</v>
      </c>
      <c r="P7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36" t="str">
        <f>IF(Table1[[#This Row],[Fraud_Score]]&gt;=6, "High Risk",IF(Table1[[#This Row],[Fraud_Score]]&gt;=3, "Medium Risk", "Low Risk"))</f>
        <v>Low Risk</v>
      </c>
      <c r="R736">
        <f>IF(Table1[[#This Row],[Seconds of Use]]=0,0,Table1[[#This Row],[Customer Value]]/Table1[[#This Row],[Seconds of Use]]*100)</f>
        <v>21.978597785977861</v>
      </c>
    </row>
    <row r="737" spans="1:18" x14ac:dyDescent="0.35">
      <c r="A737" s="3" t="s">
        <v>758</v>
      </c>
      <c r="B737">
        <v>0</v>
      </c>
      <c r="C737">
        <v>0</v>
      </c>
      <c r="D737">
        <v>36</v>
      </c>
      <c r="E737">
        <v>0</v>
      </c>
      <c r="F737">
        <v>3528</v>
      </c>
      <c r="G737">
        <v>81</v>
      </c>
      <c r="H737">
        <v>0</v>
      </c>
      <c r="I737">
        <v>25</v>
      </c>
      <c r="J737">
        <v>2</v>
      </c>
      <c r="K737">
        <v>1</v>
      </c>
      <c r="L737">
        <v>1</v>
      </c>
      <c r="M737">
        <v>25</v>
      </c>
      <c r="N737">
        <v>162.405</v>
      </c>
      <c r="O737">
        <v>0</v>
      </c>
      <c r="P7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37" t="str">
        <f>IF(Table1[[#This Row],[Fraud_Score]]&gt;=6, "High Risk",IF(Table1[[#This Row],[Fraud_Score]]&gt;=3, "Medium Risk", "Low Risk"))</f>
        <v>Low Risk</v>
      </c>
      <c r="R737">
        <f>IF(Table1[[#This Row],[Seconds of Use]]=0,0,Table1[[#This Row],[Customer Value]]/Table1[[#This Row],[Seconds of Use]]*100)</f>
        <v>4.6033163265306127</v>
      </c>
    </row>
    <row r="738" spans="1:18" x14ac:dyDescent="0.35">
      <c r="A738" s="3" t="s">
        <v>759</v>
      </c>
      <c r="B738">
        <v>1</v>
      </c>
      <c r="C738">
        <v>0</v>
      </c>
      <c r="D738">
        <v>35</v>
      </c>
      <c r="E738">
        <v>0</v>
      </c>
      <c r="F738">
        <v>1475</v>
      </c>
      <c r="G738">
        <v>43</v>
      </c>
      <c r="H738">
        <v>29</v>
      </c>
      <c r="I738">
        <v>17</v>
      </c>
      <c r="J738">
        <v>3</v>
      </c>
      <c r="K738">
        <v>1</v>
      </c>
      <c r="L738">
        <v>2</v>
      </c>
      <c r="M738">
        <v>30</v>
      </c>
      <c r="N738">
        <v>176.72</v>
      </c>
      <c r="O738">
        <v>0</v>
      </c>
      <c r="P7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38" t="str">
        <f>IF(Table1[[#This Row],[Fraud_Score]]&gt;=6, "High Risk",IF(Table1[[#This Row],[Fraud_Score]]&gt;=3, "Medium Risk", "Low Risk"))</f>
        <v>Low Risk</v>
      </c>
      <c r="R738">
        <f>IF(Table1[[#This Row],[Seconds of Use]]=0,0,Table1[[#This Row],[Customer Value]]/Table1[[#This Row],[Seconds of Use]]*100)</f>
        <v>11.981016949152542</v>
      </c>
    </row>
    <row r="739" spans="1:18" x14ac:dyDescent="0.35">
      <c r="A739" s="3" t="s">
        <v>760</v>
      </c>
      <c r="B739">
        <v>4</v>
      </c>
      <c r="C739">
        <v>0</v>
      </c>
      <c r="D739">
        <v>36</v>
      </c>
      <c r="E739">
        <v>0</v>
      </c>
      <c r="F739">
        <v>2590</v>
      </c>
      <c r="G739">
        <v>52</v>
      </c>
      <c r="H739">
        <v>166</v>
      </c>
      <c r="I739">
        <v>20</v>
      </c>
      <c r="J739">
        <v>2</v>
      </c>
      <c r="K739">
        <v>1</v>
      </c>
      <c r="L739">
        <v>1</v>
      </c>
      <c r="M739">
        <v>25</v>
      </c>
      <c r="N739">
        <v>865.89</v>
      </c>
      <c r="O739">
        <v>0</v>
      </c>
      <c r="P7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39" t="str">
        <f>IF(Table1[[#This Row],[Fraud_Score]]&gt;=6, "High Risk",IF(Table1[[#This Row],[Fraud_Score]]&gt;=3, "Medium Risk", "Low Risk"))</f>
        <v>Low Risk</v>
      </c>
      <c r="R739">
        <f>IF(Table1[[#This Row],[Seconds of Use]]=0,0,Table1[[#This Row],[Customer Value]]/Table1[[#This Row],[Seconds of Use]]*100)</f>
        <v>33.432046332046333</v>
      </c>
    </row>
    <row r="740" spans="1:18" x14ac:dyDescent="0.35">
      <c r="A740" s="3" t="s">
        <v>761</v>
      </c>
      <c r="B740">
        <v>2</v>
      </c>
      <c r="C740">
        <v>0</v>
      </c>
      <c r="D740">
        <v>27</v>
      </c>
      <c r="E740">
        <v>1</v>
      </c>
      <c r="F740">
        <v>1125</v>
      </c>
      <c r="G740">
        <v>35</v>
      </c>
      <c r="H740">
        <v>184</v>
      </c>
      <c r="I740">
        <v>8</v>
      </c>
      <c r="J740">
        <v>2</v>
      </c>
      <c r="K740">
        <v>2</v>
      </c>
      <c r="L740">
        <v>1</v>
      </c>
      <c r="M740">
        <v>25</v>
      </c>
      <c r="N740">
        <v>880.2</v>
      </c>
      <c r="O740">
        <v>0</v>
      </c>
      <c r="P7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40" t="str">
        <f>IF(Table1[[#This Row],[Fraud_Score]]&gt;=6, "High Risk",IF(Table1[[#This Row],[Fraud_Score]]&gt;=3, "Medium Risk", "Low Risk"))</f>
        <v>Low Risk</v>
      </c>
      <c r="R740">
        <f>IF(Table1[[#This Row],[Seconds of Use]]=0,0,Table1[[#This Row],[Customer Value]]/Table1[[#This Row],[Seconds of Use]]*100)</f>
        <v>78.240000000000009</v>
      </c>
    </row>
    <row r="741" spans="1:18" x14ac:dyDescent="0.35">
      <c r="A741" s="3" t="s">
        <v>762</v>
      </c>
      <c r="B741">
        <v>2</v>
      </c>
      <c r="C741">
        <v>0</v>
      </c>
      <c r="D741">
        <v>26</v>
      </c>
      <c r="E741">
        <v>0</v>
      </c>
      <c r="F741">
        <v>1378</v>
      </c>
      <c r="G741">
        <v>38</v>
      </c>
      <c r="H741">
        <v>21</v>
      </c>
      <c r="I741">
        <v>65</v>
      </c>
      <c r="J741">
        <v>4</v>
      </c>
      <c r="K741">
        <v>1</v>
      </c>
      <c r="L741">
        <v>1</v>
      </c>
      <c r="M741">
        <v>45</v>
      </c>
      <c r="N741">
        <v>87.9</v>
      </c>
      <c r="O741">
        <v>0</v>
      </c>
      <c r="P7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41" t="str">
        <f>IF(Table1[[#This Row],[Fraud_Score]]&gt;=6, "High Risk",IF(Table1[[#This Row],[Fraud_Score]]&gt;=3, "Medium Risk", "Low Risk"))</f>
        <v>Low Risk</v>
      </c>
      <c r="R741">
        <f>IF(Table1[[#This Row],[Seconds of Use]]=0,0,Table1[[#This Row],[Customer Value]]/Table1[[#This Row],[Seconds of Use]]*100)</f>
        <v>6.3788098693759077</v>
      </c>
    </row>
    <row r="742" spans="1:18" x14ac:dyDescent="0.35">
      <c r="A742" s="3" t="s">
        <v>763</v>
      </c>
      <c r="B742">
        <v>9</v>
      </c>
      <c r="C742">
        <v>0</v>
      </c>
      <c r="D742">
        <v>27</v>
      </c>
      <c r="E742">
        <v>0</v>
      </c>
      <c r="F742">
        <v>510</v>
      </c>
      <c r="G742">
        <v>24</v>
      </c>
      <c r="H742">
        <v>1</v>
      </c>
      <c r="I742">
        <v>4</v>
      </c>
      <c r="J742">
        <v>2</v>
      </c>
      <c r="K742">
        <v>1</v>
      </c>
      <c r="L742">
        <v>2</v>
      </c>
      <c r="M742">
        <v>25</v>
      </c>
      <c r="N742">
        <v>28.53</v>
      </c>
      <c r="O742">
        <v>0</v>
      </c>
      <c r="P7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42" t="str">
        <f>IF(Table1[[#This Row],[Fraud_Score]]&gt;=6, "High Risk",IF(Table1[[#This Row],[Fraud_Score]]&gt;=3, "Medium Risk", "Low Risk"))</f>
        <v>Low Risk</v>
      </c>
      <c r="R742">
        <f>IF(Table1[[#This Row],[Seconds of Use]]=0,0,Table1[[#This Row],[Customer Value]]/Table1[[#This Row],[Seconds of Use]]*100)</f>
        <v>5.5941176470588241</v>
      </c>
    </row>
    <row r="743" spans="1:18" x14ac:dyDescent="0.35">
      <c r="A743" s="3" t="s">
        <v>764</v>
      </c>
      <c r="B743">
        <v>0</v>
      </c>
      <c r="C743">
        <v>0</v>
      </c>
      <c r="D743">
        <v>26</v>
      </c>
      <c r="E743">
        <v>0</v>
      </c>
      <c r="F743">
        <v>635</v>
      </c>
      <c r="G743">
        <v>9</v>
      </c>
      <c r="H743">
        <v>12</v>
      </c>
      <c r="I743">
        <v>1</v>
      </c>
      <c r="J743">
        <v>4</v>
      </c>
      <c r="K743">
        <v>1</v>
      </c>
      <c r="L743">
        <v>2</v>
      </c>
      <c r="M743">
        <v>45</v>
      </c>
      <c r="N743">
        <v>46.1</v>
      </c>
      <c r="O743">
        <v>0</v>
      </c>
      <c r="P7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43" t="str">
        <f>IF(Table1[[#This Row],[Fraud_Score]]&gt;=6, "High Risk",IF(Table1[[#This Row],[Fraud_Score]]&gt;=3, "Medium Risk", "Low Risk"))</f>
        <v>Low Risk</v>
      </c>
      <c r="R743">
        <f>IF(Table1[[#This Row],[Seconds of Use]]=0,0,Table1[[#This Row],[Customer Value]]/Table1[[#This Row],[Seconds of Use]]*100)</f>
        <v>7.2598425196850389</v>
      </c>
    </row>
    <row r="744" spans="1:18" x14ac:dyDescent="0.35">
      <c r="A744" s="3" t="s">
        <v>765</v>
      </c>
      <c r="B744">
        <v>8</v>
      </c>
      <c r="C744">
        <v>0</v>
      </c>
      <c r="D744">
        <v>25</v>
      </c>
      <c r="E744">
        <v>0</v>
      </c>
      <c r="F744">
        <v>1035</v>
      </c>
      <c r="G744">
        <v>31</v>
      </c>
      <c r="H744">
        <v>10</v>
      </c>
      <c r="I744">
        <v>10</v>
      </c>
      <c r="J744">
        <v>2</v>
      </c>
      <c r="K744">
        <v>1</v>
      </c>
      <c r="L744">
        <v>1</v>
      </c>
      <c r="M744">
        <v>25</v>
      </c>
      <c r="N744">
        <v>92.97</v>
      </c>
      <c r="O744">
        <v>0</v>
      </c>
      <c r="P7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44" t="str">
        <f>IF(Table1[[#This Row],[Fraud_Score]]&gt;=6, "High Risk",IF(Table1[[#This Row],[Fraud_Score]]&gt;=3, "Medium Risk", "Low Risk"))</f>
        <v>Low Risk</v>
      </c>
      <c r="R744">
        <f>IF(Table1[[#This Row],[Seconds of Use]]=0,0,Table1[[#This Row],[Customer Value]]/Table1[[#This Row],[Seconds of Use]]*100)</f>
        <v>8.9826086956521731</v>
      </c>
    </row>
    <row r="745" spans="1:18" x14ac:dyDescent="0.35">
      <c r="A745" s="3" t="s">
        <v>766</v>
      </c>
      <c r="B745">
        <v>0</v>
      </c>
      <c r="C745">
        <v>0</v>
      </c>
      <c r="D745">
        <v>25</v>
      </c>
      <c r="E745">
        <v>0</v>
      </c>
      <c r="F745">
        <v>3035</v>
      </c>
      <c r="G745">
        <v>60</v>
      </c>
      <c r="H745">
        <v>0</v>
      </c>
      <c r="I745">
        <v>20</v>
      </c>
      <c r="J745">
        <v>3</v>
      </c>
      <c r="K745">
        <v>1</v>
      </c>
      <c r="L745">
        <v>1</v>
      </c>
      <c r="M745">
        <v>30</v>
      </c>
      <c r="N745">
        <v>123.8</v>
      </c>
      <c r="O745">
        <v>0</v>
      </c>
      <c r="P7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45" t="str">
        <f>IF(Table1[[#This Row],[Fraud_Score]]&gt;=6, "High Risk",IF(Table1[[#This Row],[Fraud_Score]]&gt;=3, "Medium Risk", "Low Risk"))</f>
        <v>Low Risk</v>
      </c>
      <c r="R745">
        <f>IF(Table1[[#This Row],[Seconds of Use]]=0,0,Table1[[#This Row],[Customer Value]]/Table1[[#This Row],[Seconds of Use]]*100)</f>
        <v>4.079077429983526</v>
      </c>
    </row>
    <row r="746" spans="1:18" x14ac:dyDescent="0.35">
      <c r="A746" s="3" t="s">
        <v>767</v>
      </c>
      <c r="B746">
        <v>0</v>
      </c>
      <c r="C746">
        <v>0</v>
      </c>
      <c r="D746">
        <v>18</v>
      </c>
      <c r="E746">
        <v>0</v>
      </c>
      <c r="F746">
        <v>1505</v>
      </c>
      <c r="G746">
        <v>25</v>
      </c>
      <c r="H746">
        <v>19</v>
      </c>
      <c r="I746">
        <v>11</v>
      </c>
      <c r="J746">
        <v>2</v>
      </c>
      <c r="K746">
        <v>1</v>
      </c>
      <c r="L746">
        <v>1</v>
      </c>
      <c r="M746">
        <v>25</v>
      </c>
      <c r="N746">
        <v>154.35</v>
      </c>
      <c r="O746">
        <v>0</v>
      </c>
      <c r="P7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46" t="str">
        <f>IF(Table1[[#This Row],[Fraud_Score]]&gt;=6, "High Risk",IF(Table1[[#This Row],[Fraud_Score]]&gt;=3, "Medium Risk", "Low Risk"))</f>
        <v>Low Risk</v>
      </c>
      <c r="R746">
        <f>IF(Table1[[#This Row],[Seconds of Use]]=0,0,Table1[[#This Row],[Customer Value]]/Table1[[#This Row],[Seconds of Use]]*100)</f>
        <v>10.255813953488371</v>
      </c>
    </row>
    <row r="747" spans="1:18" x14ac:dyDescent="0.35">
      <c r="A747" s="3" t="s">
        <v>768</v>
      </c>
      <c r="B747">
        <v>14</v>
      </c>
      <c r="C747">
        <v>0</v>
      </c>
      <c r="D747">
        <v>17</v>
      </c>
      <c r="E747">
        <v>1</v>
      </c>
      <c r="F747">
        <v>6202</v>
      </c>
      <c r="G747">
        <v>140</v>
      </c>
      <c r="H747">
        <v>76</v>
      </c>
      <c r="I747">
        <v>39</v>
      </c>
      <c r="J747">
        <v>2</v>
      </c>
      <c r="K747">
        <v>2</v>
      </c>
      <c r="L747">
        <v>1</v>
      </c>
      <c r="M747">
        <v>25</v>
      </c>
      <c r="N747">
        <v>627.39</v>
      </c>
      <c r="O747">
        <v>0</v>
      </c>
      <c r="P7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747" t="str">
        <f>IF(Table1[[#This Row],[Fraud_Score]]&gt;=6, "High Risk",IF(Table1[[#This Row],[Fraud_Score]]&gt;=3, "Medium Risk", "Low Risk"))</f>
        <v>Medium Risk</v>
      </c>
      <c r="R747">
        <f>IF(Table1[[#This Row],[Seconds of Use]]=0,0,Table1[[#This Row],[Customer Value]]/Table1[[#This Row],[Seconds of Use]]*100)</f>
        <v>10.115930345049984</v>
      </c>
    </row>
    <row r="748" spans="1:18" x14ac:dyDescent="0.35">
      <c r="A748" s="3" t="s">
        <v>769</v>
      </c>
      <c r="B748">
        <v>10</v>
      </c>
      <c r="C748">
        <v>0</v>
      </c>
      <c r="D748">
        <v>15</v>
      </c>
      <c r="E748">
        <v>0</v>
      </c>
      <c r="F748">
        <v>8742</v>
      </c>
      <c r="G748">
        <v>170</v>
      </c>
      <c r="H748">
        <v>64</v>
      </c>
      <c r="I748">
        <v>37</v>
      </c>
      <c r="J748">
        <v>4</v>
      </c>
      <c r="K748">
        <v>1</v>
      </c>
      <c r="L748">
        <v>1</v>
      </c>
      <c r="M748">
        <v>45</v>
      </c>
      <c r="N748">
        <v>382.8</v>
      </c>
      <c r="O748">
        <v>0</v>
      </c>
      <c r="P7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48" t="str">
        <f>IF(Table1[[#This Row],[Fraud_Score]]&gt;=6, "High Risk",IF(Table1[[#This Row],[Fraud_Score]]&gt;=3, "Medium Risk", "Low Risk"))</f>
        <v>Medium Risk</v>
      </c>
      <c r="R748">
        <f>IF(Table1[[#This Row],[Seconds of Use]]=0,0,Table1[[#This Row],[Customer Value]]/Table1[[#This Row],[Seconds of Use]]*100)</f>
        <v>4.3788606726149624</v>
      </c>
    </row>
    <row r="749" spans="1:18" x14ac:dyDescent="0.35">
      <c r="A749" s="3" t="s">
        <v>770</v>
      </c>
      <c r="B749">
        <v>6</v>
      </c>
      <c r="C749">
        <v>0</v>
      </c>
      <c r="D749">
        <v>16</v>
      </c>
      <c r="E749">
        <v>3</v>
      </c>
      <c r="F749">
        <v>2662</v>
      </c>
      <c r="G749">
        <v>44</v>
      </c>
      <c r="H749">
        <v>22</v>
      </c>
      <c r="I749">
        <v>16</v>
      </c>
      <c r="J749">
        <v>3</v>
      </c>
      <c r="K749">
        <v>1</v>
      </c>
      <c r="L749">
        <v>1</v>
      </c>
      <c r="M749">
        <v>30</v>
      </c>
      <c r="N749">
        <v>196.24</v>
      </c>
      <c r="O749">
        <v>0</v>
      </c>
      <c r="P7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49" t="str">
        <f>IF(Table1[[#This Row],[Fraud_Score]]&gt;=6, "High Risk",IF(Table1[[#This Row],[Fraud_Score]]&gt;=3, "Medium Risk", "Low Risk"))</f>
        <v>Low Risk</v>
      </c>
      <c r="R749">
        <f>IF(Table1[[#This Row],[Seconds of Use]]=0,0,Table1[[#This Row],[Customer Value]]/Table1[[#This Row],[Seconds of Use]]*100)</f>
        <v>7.3719008264462813</v>
      </c>
    </row>
    <row r="750" spans="1:18" x14ac:dyDescent="0.35">
      <c r="A750" s="3" t="s">
        <v>771</v>
      </c>
      <c r="B750">
        <v>0</v>
      </c>
      <c r="C750">
        <v>0</v>
      </c>
      <c r="D750">
        <v>9</v>
      </c>
      <c r="E750">
        <v>1</v>
      </c>
      <c r="F750">
        <v>4200</v>
      </c>
      <c r="G750">
        <v>39</v>
      </c>
      <c r="H750">
        <v>206</v>
      </c>
      <c r="I750">
        <v>7</v>
      </c>
      <c r="J750">
        <v>3</v>
      </c>
      <c r="K750">
        <v>1</v>
      </c>
      <c r="L750">
        <v>1</v>
      </c>
      <c r="M750">
        <v>30</v>
      </c>
      <c r="N750">
        <v>993.56</v>
      </c>
      <c r="O750">
        <v>0</v>
      </c>
      <c r="P7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50" t="str">
        <f>IF(Table1[[#This Row],[Fraud_Score]]&gt;=6, "High Risk",IF(Table1[[#This Row],[Fraud_Score]]&gt;=3, "Medium Risk", "Low Risk"))</f>
        <v>Low Risk</v>
      </c>
      <c r="R750">
        <f>IF(Table1[[#This Row],[Seconds of Use]]=0,0,Table1[[#This Row],[Customer Value]]/Table1[[#This Row],[Seconds of Use]]*100)</f>
        <v>23.656190476190474</v>
      </c>
    </row>
    <row r="751" spans="1:18" x14ac:dyDescent="0.35">
      <c r="A751" s="3" t="s">
        <v>772</v>
      </c>
      <c r="B751">
        <v>1</v>
      </c>
      <c r="C751">
        <v>0</v>
      </c>
      <c r="D751">
        <v>9</v>
      </c>
      <c r="E751">
        <v>1</v>
      </c>
      <c r="F751">
        <v>1297</v>
      </c>
      <c r="G751">
        <v>18</v>
      </c>
      <c r="H751">
        <v>0</v>
      </c>
      <c r="I751">
        <v>4</v>
      </c>
      <c r="J751">
        <v>3</v>
      </c>
      <c r="K751">
        <v>1</v>
      </c>
      <c r="L751">
        <v>1</v>
      </c>
      <c r="M751">
        <v>30</v>
      </c>
      <c r="N751">
        <v>52.6</v>
      </c>
      <c r="O751">
        <v>1</v>
      </c>
      <c r="P7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51" t="str">
        <f>IF(Table1[[#This Row],[Fraud_Score]]&gt;=6, "High Risk",IF(Table1[[#This Row],[Fraud_Score]]&gt;=3, "Medium Risk", "Low Risk"))</f>
        <v>Low Risk</v>
      </c>
      <c r="R751">
        <f>IF(Table1[[#This Row],[Seconds of Use]]=0,0,Table1[[#This Row],[Customer Value]]/Table1[[#This Row],[Seconds of Use]]*100)</f>
        <v>4.0555127216653819</v>
      </c>
    </row>
    <row r="752" spans="1:18" x14ac:dyDescent="0.35">
      <c r="A752" s="3" t="s">
        <v>773</v>
      </c>
      <c r="B752">
        <v>6</v>
      </c>
      <c r="C752">
        <v>0</v>
      </c>
      <c r="D752">
        <v>33</v>
      </c>
      <c r="E752">
        <v>0</v>
      </c>
      <c r="F752">
        <v>4370</v>
      </c>
      <c r="G752">
        <v>65</v>
      </c>
      <c r="H752">
        <v>0</v>
      </c>
      <c r="I752">
        <v>16</v>
      </c>
      <c r="J752">
        <v>2</v>
      </c>
      <c r="K752">
        <v>1</v>
      </c>
      <c r="L752">
        <v>1</v>
      </c>
      <c r="M752">
        <v>25</v>
      </c>
      <c r="N752">
        <v>199.57499999999999</v>
      </c>
      <c r="O752">
        <v>0</v>
      </c>
      <c r="P7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52" t="str">
        <f>IF(Table1[[#This Row],[Fraud_Score]]&gt;=6, "High Risk",IF(Table1[[#This Row],[Fraud_Score]]&gt;=3, "Medium Risk", "Low Risk"))</f>
        <v>Low Risk</v>
      </c>
      <c r="R752">
        <f>IF(Table1[[#This Row],[Seconds of Use]]=0,0,Table1[[#This Row],[Customer Value]]/Table1[[#This Row],[Seconds of Use]]*100)</f>
        <v>4.5669336384439356</v>
      </c>
    </row>
    <row r="753" spans="1:18" x14ac:dyDescent="0.35">
      <c r="A753" s="3" t="s">
        <v>774</v>
      </c>
      <c r="B753">
        <v>0</v>
      </c>
      <c r="C753">
        <v>0</v>
      </c>
      <c r="D753">
        <v>34</v>
      </c>
      <c r="E753">
        <v>0</v>
      </c>
      <c r="F753">
        <v>318</v>
      </c>
      <c r="G753">
        <v>4</v>
      </c>
      <c r="H753">
        <v>0</v>
      </c>
      <c r="I753">
        <v>3</v>
      </c>
      <c r="J753">
        <v>2</v>
      </c>
      <c r="K753">
        <v>1</v>
      </c>
      <c r="L753">
        <v>2</v>
      </c>
      <c r="M753">
        <v>25</v>
      </c>
      <c r="N753">
        <v>14.49</v>
      </c>
      <c r="O753">
        <v>0</v>
      </c>
      <c r="P7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53" t="str">
        <f>IF(Table1[[#This Row],[Fraud_Score]]&gt;=6, "High Risk",IF(Table1[[#This Row],[Fraud_Score]]&gt;=3, "Medium Risk", "Low Risk"))</f>
        <v>Low Risk</v>
      </c>
      <c r="R753">
        <f>IF(Table1[[#This Row],[Seconds of Use]]=0,0,Table1[[#This Row],[Customer Value]]/Table1[[#This Row],[Seconds of Use]]*100)</f>
        <v>4.5566037735849063</v>
      </c>
    </row>
    <row r="754" spans="1:18" x14ac:dyDescent="0.35">
      <c r="A754" s="3" t="s">
        <v>775</v>
      </c>
      <c r="B754">
        <v>8</v>
      </c>
      <c r="C754">
        <v>0</v>
      </c>
      <c r="D754">
        <v>32</v>
      </c>
      <c r="E754">
        <v>0</v>
      </c>
      <c r="F754">
        <v>2453</v>
      </c>
      <c r="G754">
        <v>54</v>
      </c>
      <c r="H754">
        <v>351</v>
      </c>
      <c r="I754">
        <v>23</v>
      </c>
      <c r="J754">
        <v>2</v>
      </c>
      <c r="K754">
        <v>1</v>
      </c>
      <c r="L754">
        <v>1</v>
      </c>
      <c r="M754">
        <v>25</v>
      </c>
      <c r="N754">
        <v>1692.3150000000001</v>
      </c>
      <c r="O754">
        <v>0</v>
      </c>
      <c r="P7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54" t="str">
        <f>IF(Table1[[#This Row],[Fraud_Score]]&gt;=6, "High Risk",IF(Table1[[#This Row],[Fraud_Score]]&gt;=3, "Medium Risk", "Low Risk"))</f>
        <v>Low Risk</v>
      </c>
      <c r="R754">
        <f>IF(Table1[[#This Row],[Seconds of Use]]=0,0,Table1[[#This Row],[Customer Value]]/Table1[[#This Row],[Seconds of Use]]*100)</f>
        <v>68.989604565837752</v>
      </c>
    </row>
    <row r="755" spans="1:18" x14ac:dyDescent="0.35">
      <c r="A755" s="3" t="s">
        <v>776</v>
      </c>
      <c r="B755">
        <v>8</v>
      </c>
      <c r="C755">
        <v>0</v>
      </c>
      <c r="D755">
        <v>33</v>
      </c>
      <c r="E755">
        <v>0</v>
      </c>
      <c r="F755">
        <v>4198</v>
      </c>
      <c r="G755">
        <v>60</v>
      </c>
      <c r="H755">
        <v>0</v>
      </c>
      <c r="I755">
        <v>34</v>
      </c>
      <c r="J755">
        <v>1</v>
      </c>
      <c r="K755">
        <v>1</v>
      </c>
      <c r="L755">
        <v>1</v>
      </c>
      <c r="M755">
        <v>15</v>
      </c>
      <c r="N755">
        <v>234.19</v>
      </c>
      <c r="O755">
        <v>0</v>
      </c>
      <c r="P7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55" t="str">
        <f>IF(Table1[[#This Row],[Fraud_Score]]&gt;=6, "High Risk",IF(Table1[[#This Row],[Fraud_Score]]&gt;=3, "Medium Risk", "Low Risk"))</f>
        <v>Low Risk</v>
      </c>
      <c r="R755">
        <f>IF(Table1[[#This Row],[Seconds of Use]]=0,0,Table1[[#This Row],[Customer Value]]/Table1[[#This Row],[Seconds of Use]]*100)</f>
        <v>5.5786088613625537</v>
      </c>
    </row>
    <row r="756" spans="1:18" x14ac:dyDescent="0.35">
      <c r="A756" s="3" t="s">
        <v>777</v>
      </c>
      <c r="B756">
        <v>1</v>
      </c>
      <c r="C756">
        <v>0</v>
      </c>
      <c r="D756">
        <v>33</v>
      </c>
      <c r="E756">
        <v>0</v>
      </c>
      <c r="F756">
        <v>2393</v>
      </c>
      <c r="G756">
        <v>52</v>
      </c>
      <c r="H756">
        <v>0</v>
      </c>
      <c r="I756">
        <v>32</v>
      </c>
      <c r="J756">
        <v>1</v>
      </c>
      <c r="K756">
        <v>1</v>
      </c>
      <c r="L756">
        <v>1</v>
      </c>
      <c r="M756">
        <v>15</v>
      </c>
      <c r="N756">
        <v>134.47499999999999</v>
      </c>
      <c r="O756">
        <v>0</v>
      </c>
      <c r="P7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56" t="str">
        <f>IF(Table1[[#This Row],[Fraud_Score]]&gt;=6, "High Risk",IF(Table1[[#This Row],[Fraud_Score]]&gt;=3, "Medium Risk", "Low Risk"))</f>
        <v>Low Risk</v>
      </c>
      <c r="R756">
        <f>IF(Table1[[#This Row],[Seconds of Use]]=0,0,Table1[[#This Row],[Customer Value]]/Table1[[#This Row],[Seconds of Use]]*100)</f>
        <v>5.6195152528207268</v>
      </c>
    </row>
    <row r="757" spans="1:18" x14ac:dyDescent="0.35">
      <c r="A757" s="3" t="s">
        <v>778</v>
      </c>
      <c r="B757">
        <v>9</v>
      </c>
      <c r="C757">
        <v>0</v>
      </c>
      <c r="D757">
        <v>33</v>
      </c>
      <c r="E757">
        <v>0</v>
      </c>
      <c r="F757">
        <v>3775</v>
      </c>
      <c r="G757">
        <v>76</v>
      </c>
      <c r="H757">
        <v>24</v>
      </c>
      <c r="I757">
        <v>27</v>
      </c>
      <c r="J757">
        <v>2</v>
      </c>
      <c r="K757">
        <v>1</v>
      </c>
      <c r="L757">
        <v>1</v>
      </c>
      <c r="M757">
        <v>25</v>
      </c>
      <c r="N757">
        <v>281.29500000000002</v>
      </c>
      <c r="O757">
        <v>0</v>
      </c>
      <c r="P7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57" t="str">
        <f>IF(Table1[[#This Row],[Fraud_Score]]&gt;=6, "High Risk",IF(Table1[[#This Row],[Fraud_Score]]&gt;=3, "Medium Risk", "Low Risk"))</f>
        <v>Low Risk</v>
      </c>
      <c r="R757">
        <f>IF(Table1[[#This Row],[Seconds of Use]]=0,0,Table1[[#This Row],[Customer Value]]/Table1[[#This Row],[Seconds of Use]]*100)</f>
        <v>7.4515231788079479</v>
      </c>
    </row>
    <row r="758" spans="1:18" x14ac:dyDescent="0.35">
      <c r="A758" s="3" t="s">
        <v>779</v>
      </c>
      <c r="B758">
        <v>2</v>
      </c>
      <c r="C758">
        <v>0</v>
      </c>
      <c r="D758">
        <v>33</v>
      </c>
      <c r="E758">
        <v>0</v>
      </c>
      <c r="F758">
        <v>2360</v>
      </c>
      <c r="G758">
        <v>33</v>
      </c>
      <c r="H758">
        <v>277</v>
      </c>
      <c r="I758">
        <v>17</v>
      </c>
      <c r="J758">
        <v>3</v>
      </c>
      <c r="K758">
        <v>1</v>
      </c>
      <c r="L758">
        <v>1</v>
      </c>
      <c r="M758">
        <v>30</v>
      </c>
      <c r="N758">
        <v>1203.72</v>
      </c>
      <c r="O758">
        <v>0</v>
      </c>
      <c r="P7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58" t="str">
        <f>IF(Table1[[#This Row],[Fraud_Score]]&gt;=6, "High Risk",IF(Table1[[#This Row],[Fraud_Score]]&gt;=3, "Medium Risk", "Low Risk"))</f>
        <v>Low Risk</v>
      </c>
      <c r="R758">
        <f>IF(Table1[[#This Row],[Seconds of Use]]=0,0,Table1[[#This Row],[Customer Value]]/Table1[[#This Row],[Seconds of Use]]*100)</f>
        <v>51.005084745762709</v>
      </c>
    </row>
    <row r="759" spans="1:18" x14ac:dyDescent="0.35">
      <c r="A759" s="3" t="s">
        <v>780</v>
      </c>
      <c r="B759">
        <v>11</v>
      </c>
      <c r="C759">
        <v>0</v>
      </c>
      <c r="D759">
        <v>32</v>
      </c>
      <c r="E759">
        <v>1</v>
      </c>
      <c r="F759">
        <v>9115</v>
      </c>
      <c r="G759">
        <v>115</v>
      </c>
      <c r="H759">
        <v>136</v>
      </c>
      <c r="I759">
        <v>42</v>
      </c>
      <c r="J759">
        <v>3</v>
      </c>
      <c r="K759">
        <v>1</v>
      </c>
      <c r="L759">
        <v>1</v>
      </c>
      <c r="M759">
        <v>30</v>
      </c>
      <c r="N759">
        <v>913.2</v>
      </c>
      <c r="O759">
        <v>0</v>
      </c>
      <c r="P7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59" t="str">
        <f>IF(Table1[[#This Row],[Fraud_Score]]&gt;=6, "High Risk",IF(Table1[[#This Row],[Fraud_Score]]&gt;=3, "Medium Risk", "Low Risk"))</f>
        <v>Low Risk</v>
      </c>
      <c r="R759">
        <f>IF(Table1[[#This Row],[Seconds of Use]]=0,0,Table1[[#This Row],[Customer Value]]/Table1[[#This Row],[Seconds of Use]]*100)</f>
        <v>10.01865057597367</v>
      </c>
    </row>
    <row r="760" spans="1:18" x14ac:dyDescent="0.35">
      <c r="A760" s="3" t="s">
        <v>781</v>
      </c>
      <c r="B760">
        <v>5</v>
      </c>
      <c r="C760">
        <v>0</v>
      </c>
      <c r="D760">
        <v>33</v>
      </c>
      <c r="E760">
        <v>0</v>
      </c>
      <c r="F760">
        <v>13773</v>
      </c>
      <c r="G760">
        <v>163</v>
      </c>
      <c r="H760">
        <v>0</v>
      </c>
      <c r="I760">
        <v>43</v>
      </c>
      <c r="J760">
        <v>3</v>
      </c>
      <c r="K760">
        <v>1</v>
      </c>
      <c r="L760">
        <v>1</v>
      </c>
      <c r="M760">
        <v>30</v>
      </c>
      <c r="N760">
        <v>557.44000000000005</v>
      </c>
      <c r="O760">
        <v>0</v>
      </c>
      <c r="P7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60" t="str">
        <f>IF(Table1[[#This Row],[Fraud_Score]]&gt;=6, "High Risk",IF(Table1[[#This Row],[Fraud_Score]]&gt;=3, "Medium Risk", "Low Risk"))</f>
        <v>Medium Risk</v>
      </c>
      <c r="R760">
        <f>IF(Table1[[#This Row],[Seconds of Use]]=0,0,Table1[[#This Row],[Customer Value]]/Table1[[#This Row],[Seconds of Use]]*100)</f>
        <v>4.047338996587527</v>
      </c>
    </row>
    <row r="761" spans="1:18" x14ac:dyDescent="0.35">
      <c r="A761" s="3" t="s">
        <v>782</v>
      </c>
      <c r="B761">
        <v>5</v>
      </c>
      <c r="C761">
        <v>0</v>
      </c>
      <c r="D761">
        <v>33</v>
      </c>
      <c r="E761">
        <v>0</v>
      </c>
      <c r="F761">
        <v>4515</v>
      </c>
      <c r="G761">
        <v>77</v>
      </c>
      <c r="H761">
        <v>0</v>
      </c>
      <c r="I761">
        <v>24</v>
      </c>
      <c r="J761">
        <v>3</v>
      </c>
      <c r="K761">
        <v>1</v>
      </c>
      <c r="L761">
        <v>1</v>
      </c>
      <c r="M761">
        <v>30</v>
      </c>
      <c r="N761">
        <v>183.68</v>
      </c>
      <c r="O761">
        <v>0</v>
      </c>
      <c r="P7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61" t="str">
        <f>IF(Table1[[#This Row],[Fraud_Score]]&gt;=6, "High Risk",IF(Table1[[#This Row],[Fraud_Score]]&gt;=3, "Medium Risk", "Low Risk"))</f>
        <v>Low Risk</v>
      </c>
      <c r="R761">
        <f>IF(Table1[[#This Row],[Seconds of Use]]=0,0,Table1[[#This Row],[Customer Value]]/Table1[[#This Row],[Seconds of Use]]*100)</f>
        <v>4.0682170542635658</v>
      </c>
    </row>
    <row r="762" spans="1:18" x14ac:dyDescent="0.35">
      <c r="A762" s="3" t="s">
        <v>783</v>
      </c>
      <c r="B762">
        <v>4</v>
      </c>
      <c r="C762">
        <v>0</v>
      </c>
      <c r="D762">
        <v>33</v>
      </c>
      <c r="E762">
        <v>0</v>
      </c>
      <c r="F762">
        <v>5918</v>
      </c>
      <c r="G762">
        <v>89</v>
      </c>
      <c r="H762">
        <v>0</v>
      </c>
      <c r="I762">
        <v>11</v>
      </c>
      <c r="J762">
        <v>2</v>
      </c>
      <c r="K762">
        <v>1</v>
      </c>
      <c r="L762">
        <v>1</v>
      </c>
      <c r="M762">
        <v>25</v>
      </c>
      <c r="N762">
        <v>270.315</v>
      </c>
      <c r="O762">
        <v>0</v>
      </c>
      <c r="P7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62" t="str">
        <f>IF(Table1[[#This Row],[Fraud_Score]]&gt;=6, "High Risk",IF(Table1[[#This Row],[Fraud_Score]]&gt;=3, "Medium Risk", "Low Risk"))</f>
        <v>Low Risk</v>
      </c>
      <c r="R762">
        <f>IF(Table1[[#This Row],[Seconds of Use]]=0,0,Table1[[#This Row],[Customer Value]]/Table1[[#This Row],[Seconds of Use]]*100)</f>
        <v>4.5676748901655966</v>
      </c>
    </row>
    <row r="763" spans="1:18" x14ac:dyDescent="0.35">
      <c r="A763" s="3" t="s">
        <v>784</v>
      </c>
      <c r="B763">
        <v>7</v>
      </c>
      <c r="C763">
        <v>1</v>
      </c>
      <c r="D763">
        <v>33</v>
      </c>
      <c r="E763">
        <v>0</v>
      </c>
      <c r="F763">
        <v>2238</v>
      </c>
      <c r="G763">
        <v>48</v>
      </c>
      <c r="H763">
        <v>0</v>
      </c>
      <c r="I763">
        <v>16</v>
      </c>
      <c r="J763">
        <v>3</v>
      </c>
      <c r="K763">
        <v>1</v>
      </c>
      <c r="L763">
        <v>2</v>
      </c>
      <c r="M763">
        <v>30</v>
      </c>
      <c r="N763">
        <v>91.44</v>
      </c>
      <c r="O763">
        <v>0</v>
      </c>
      <c r="P7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63" t="str">
        <f>IF(Table1[[#This Row],[Fraud_Score]]&gt;=6, "High Risk",IF(Table1[[#This Row],[Fraud_Score]]&gt;=3, "Medium Risk", "Low Risk"))</f>
        <v>Medium Risk</v>
      </c>
      <c r="R763">
        <f>IF(Table1[[#This Row],[Seconds of Use]]=0,0,Table1[[#This Row],[Customer Value]]/Table1[[#This Row],[Seconds of Use]]*100)</f>
        <v>4.0857908847184987</v>
      </c>
    </row>
    <row r="764" spans="1:18" x14ac:dyDescent="0.35">
      <c r="A764" s="3" t="s">
        <v>785</v>
      </c>
      <c r="B764">
        <v>23</v>
      </c>
      <c r="C764">
        <v>0</v>
      </c>
      <c r="D764">
        <v>33</v>
      </c>
      <c r="E764">
        <v>2</v>
      </c>
      <c r="F764">
        <v>15140</v>
      </c>
      <c r="G764">
        <v>219</v>
      </c>
      <c r="H764">
        <v>46</v>
      </c>
      <c r="I764">
        <v>31</v>
      </c>
      <c r="J764">
        <v>3</v>
      </c>
      <c r="K764">
        <v>1</v>
      </c>
      <c r="L764">
        <v>1</v>
      </c>
      <c r="M764">
        <v>30</v>
      </c>
      <c r="N764">
        <v>798.36</v>
      </c>
      <c r="O764">
        <v>0</v>
      </c>
      <c r="P7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764" t="str">
        <f>IF(Table1[[#This Row],[Fraud_Score]]&gt;=6, "High Risk",IF(Table1[[#This Row],[Fraud_Score]]&gt;=3, "Medium Risk", "Low Risk"))</f>
        <v>Medium Risk</v>
      </c>
      <c r="R764">
        <f>IF(Table1[[#This Row],[Seconds of Use]]=0,0,Table1[[#This Row],[Customer Value]]/Table1[[#This Row],[Seconds of Use]]*100)</f>
        <v>5.2731836195508581</v>
      </c>
    </row>
    <row r="765" spans="1:18" x14ac:dyDescent="0.35">
      <c r="A765" s="3" t="s">
        <v>786</v>
      </c>
      <c r="B765">
        <v>2</v>
      </c>
      <c r="C765">
        <v>0</v>
      </c>
      <c r="D765">
        <v>33</v>
      </c>
      <c r="E765">
        <v>0</v>
      </c>
      <c r="F765">
        <v>3095</v>
      </c>
      <c r="G765">
        <v>21</v>
      </c>
      <c r="H765">
        <v>475</v>
      </c>
      <c r="I765">
        <v>7</v>
      </c>
      <c r="J765">
        <v>3</v>
      </c>
      <c r="K765">
        <v>1</v>
      </c>
      <c r="L765">
        <v>1</v>
      </c>
      <c r="M765">
        <v>30</v>
      </c>
      <c r="N765">
        <v>2024.64</v>
      </c>
      <c r="O765">
        <v>0</v>
      </c>
      <c r="P7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65" t="str">
        <f>IF(Table1[[#This Row],[Fraud_Score]]&gt;=6, "High Risk",IF(Table1[[#This Row],[Fraud_Score]]&gt;=3, "Medium Risk", "Low Risk"))</f>
        <v>Low Risk</v>
      </c>
      <c r="R765">
        <f>IF(Table1[[#This Row],[Seconds of Use]]=0,0,Table1[[#This Row],[Customer Value]]/Table1[[#This Row],[Seconds of Use]]*100)</f>
        <v>65.416478190630059</v>
      </c>
    </row>
    <row r="766" spans="1:18" x14ac:dyDescent="0.35">
      <c r="A766" s="3" t="s">
        <v>787</v>
      </c>
      <c r="B766">
        <v>7</v>
      </c>
      <c r="C766">
        <v>0</v>
      </c>
      <c r="D766">
        <v>32</v>
      </c>
      <c r="E766">
        <v>0</v>
      </c>
      <c r="F766">
        <v>15485</v>
      </c>
      <c r="G766">
        <v>176</v>
      </c>
      <c r="H766">
        <v>142</v>
      </c>
      <c r="I766">
        <v>29</v>
      </c>
      <c r="J766">
        <v>2</v>
      </c>
      <c r="K766">
        <v>1</v>
      </c>
      <c r="L766">
        <v>1</v>
      </c>
      <c r="M766">
        <v>25</v>
      </c>
      <c r="N766">
        <v>1343.7449999999999</v>
      </c>
      <c r="O766">
        <v>0</v>
      </c>
      <c r="P7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66" t="str">
        <f>IF(Table1[[#This Row],[Fraud_Score]]&gt;=6, "High Risk",IF(Table1[[#This Row],[Fraud_Score]]&gt;=3, "Medium Risk", "Low Risk"))</f>
        <v>Medium Risk</v>
      </c>
      <c r="R766">
        <f>IF(Table1[[#This Row],[Seconds of Use]]=0,0,Table1[[#This Row],[Customer Value]]/Table1[[#This Row],[Seconds of Use]]*100)</f>
        <v>8.6777203745560207</v>
      </c>
    </row>
    <row r="767" spans="1:18" x14ac:dyDescent="0.35">
      <c r="A767" s="3" t="s">
        <v>788</v>
      </c>
      <c r="B767">
        <v>1</v>
      </c>
      <c r="C767">
        <v>0</v>
      </c>
      <c r="D767">
        <v>32</v>
      </c>
      <c r="E767">
        <v>0</v>
      </c>
      <c r="F767">
        <v>6500</v>
      </c>
      <c r="G767">
        <v>80</v>
      </c>
      <c r="H767">
        <v>178</v>
      </c>
      <c r="I767">
        <v>25</v>
      </c>
      <c r="J767">
        <v>3</v>
      </c>
      <c r="K767">
        <v>1</v>
      </c>
      <c r="L767">
        <v>1</v>
      </c>
      <c r="M767">
        <v>30</v>
      </c>
      <c r="N767">
        <v>975.2</v>
      </c>
      <c r="O767">
        <v>0</v>
      </c>
      <c r="P7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67" t="str">
        <f>IF(Table1[[#This Row],[Fraud_Score]]&gt;=6, "High Risk",IF(Table1[[#This Row],[Fraud_Score]]&gt;=3, "Medium Risk", "Low Risk"))</f>
        <v>Low Risk</v>
      </c>
      <c r="R767">
        <f>IF(Table1[[#This Row],[Seconds of Use]]=0,0,Table1[[#This Row],[Customer Value]]/Table1[[#This Row],[Seconds of Use]]*100)</f>
        <v>15.003076923076925</v>
      </c>
    </row>
    <row r="768" spans="1:18" x14ac:dyDescent="0.35">
      <c r="A768" s="3" t="s">
        <v>789</v>
      </c>
      <c r="B768">
        <v>0</v>
      </c>
      <c r="C768">
        <v>0</v>
      </c>
      <c r="D768">
        <v>32</v>
      </c>
      <c r="E768">
        <v>0</v>
      </c>
      <c r="F768">
        <v>875</v>
      </c>
      <c r="G768">
        <v>8</v>
      </c>
      <c r="H768">
        <v>0</v>
      </c>
      <c r="I768">
        <v>10</v>
      </c>
      <c r="J768">
        <v>2</v>
      </c>
      <c r="K768">
        <v>1</v>
      </c>
      <c r="L768">
        <v>2</v>
      </c>
      <c r="M768">
        <v>25</v>
      </c>
      <c r="N768">
        <v>39.734999999999999</v>
      </c>
      <c r="O768">
        <v>0</v>
      </c>
      <c r="P7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68" t="str">
        <f>IF(Table1[[#This Row],[Fraud_Score]]&gt;=6, "High Risk",IF(Table1[[#This Row],[Fraud_Score]]&gt;=3, "Medium Risk", "Low Risk"))</f>
        <v>Low Risk</v>
      </c>
      <c r="R768">
        <f>IF(Table1[[#This Row],[Seconds of Use]]=0,0,Table1[[#This Row],[Customer Value]]/Table1[[#This Row],[Seconds of Use]]*100)</f>
        <v>4.5411428571428569</v>
      </c>
    </row>
    <row r="769" spans="1:18" x14ac:dyDescent="0.35">
      <c r="A769" s="3" t="s">
        <v>790</v>
      </c>
      <c r="B769">
        <v>0</v>
      </c>
      <c r="C769">
        <v>0</v>
      </c>
      <c r="D769">
        <v>33</v>
      </c>
      <c r="E769">
        <v>0</v>
      </c>
      <c r="F769">
        <v>710</v>
      </c>
      <c r="G769">
        <v>8</v>
      </c>
      <c r="H769">
        <v>5</v>
      </c>
      <c r="I769">
        <v>7</v>
      </c>
      <c r="J769">
        <v>2</v>
      </c>
      <c r="K769">
        <v>1</v>
      </c>
      <c r="L769">
        <v>2</v>
      </c>
      <c r="M769">
        <v>25</v>
      </c>
      <c r="N769">
        <v>54.81</v>
      </c>
      <c r="O769">
        <v>0</v>
      </c>
      <c r="P7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69" t="str">
        <f>IF(Table1[[#This Row],[Fraud_Score]]&gt;=6, "High Risk",IF(Table1[[#This Row],[Fraud_Score]]&gt;=3, "Medium Risk", "Low Risk"))</f>
        <v>Low Risk</v>
      </c>
      <c r="R769">
        <f>IF(Table1[[#This Row],[Seconds of Use]]=0,0,Table1[[#This Row],[Customer Value]]/Table1[[#This Row],[Seconds of Use]]*100)</f>
        <v>7.7197183098591555</v>
      </c>
    </row>
    <row r="770" spans="1:18" x14ac:dyDescent="0.35">
      <c r="A770" s="3" t="s">
        <v>791</v>
      </c>
      <c r="B770">
        <v>0</v>
      </c>
      <c r="C770">
        <v>0</v>
      </c>
      <c r="D770">
        <v>32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2</v>
      </c>
      <c r="K770">
        <v>1</v>
      </c>
      <c r="L770">
        <v>2</v>
      </c>
      <c r="M770">
        <v>25</v>
      </c>
      <c r="N770">
        <v>0</v>
      </c>
      <c r="O770">
        <v>1</v>
      </c>
      <c r="P7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70" t="str">
        <f>IF(Table1[[#This Row],[Fraud_Score]]&gt;=6, "High Risk",IF(Table1[[#This Row],[Fraud_Score]]&gt;=3, "Medium Risk", "Low Risk"))</f>
        <v>Low Risk</v>
      </c>
      <c r="R770">
        <f>IF(Table1[[#This Row],[Seconds of Use]]=0,0,Table1[[#This Row],[Customer Value]]/Table1[[#This Row],[Seconds of Use]]*100)</f>
        <v>0</v>
      </c>
    </row>
    <row r="771" spans="1:18" x14ac:dyDescent="0.35">
      <c r="A771" s="3" t="s">
        <v>792</v>
      </c>
      <c r="B771">
        <v>1</v>
      </c>
      <c r="C771">
        <v>0</v>
      </c>
      <c r="D771">
        <v>32</v>
      </c>
      <c r="E771">
        <v>0</v>
      </c>
      <c r="F771">
        <v>7508</v>
      </c>
      <c r="G771">
        <v>121</v>
      </c>
      <c r="H771">
        <v>376</v>
      </c>
      <c r="I771">
        <v>42</v>
      </c>
      <c r="J771">
        <v>2</v>
      </c>
      <c r="K771">
        <v>1</v>
      </c>
      <c r="L771">
        <v>1</v>
      </c>
      <c r="M771">
        <v>25</v>
      </c>
      <c r="N771">
        <v>2035.3050000000001</v>
      </c>
      <c r="O771">
        <v>0</v>
      </c>
      <c r="P7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71" t="str">
        <f>IF(Table1[[#This Row],[Fraud_Score]]&gt;=6, "High Risk",IF(Table1[[#This Row],[Fraud_Score]]&gt;=3, "Medium Risk", "Low Risk"))</f>
        <v>Low Risk</v>
      </c>
      <c r="R771">
        <f>IF(Table1[[#This Row],[Seconds of Use]]=0,0,Table1[[#This Row],[Customer Value]]/Table1[[#This Row],[Seconds of Use]]*100)</f>
        <v>27.108484283431007</v>
      </c>
    </row>
    <row r="772" spans="1:18" x14ac:dyDescent="0.35">
      <c r="A772" s="3" t="s">
        <v>793</v>
      </c>
      <c r="B772">
        <v>5</v>
      </c>
      <c r="C772">
        <v>0</v>
      </c>
      <c r="D772">
        <v>32</v>
      </c>
      <c r="E772">
        <v>0</v>
      </c>
      <c r="F772">
        <v>11465</v>
      </c>
      <c r="G772">
        <v>148</v>
      </c>
      <c r="H772">
        <v>3</v>
      </c>
      <c r="I772">
        <v>46</v>
      </c>
      <c r="J772">
        <v>3</v>
      </c>
      <c r="K772">
        <v>1</v>
      </c>
      <c r="L772">
        <v>1</v>
      </c>
      <c r="M772">
        <v>30</v>
      </c>
      <c r="N772">
        <v>476.52</v>
      </c>
      <c r="O772">
        <v>0</v>
      </c>
      <c r="P7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72" t="str">
        <f>IF(Table1[[#This Row],[Fraud_Score]]&gt;=6, "High Risk",IF(Table1[[#This Row],[Fraud_Score]]&gt;=3, "Medium Risk", "Low Risk"))</f>
        <v>Medium Risk</v>
      </c>
      <c r="R772">
        <f>IF(Table1[[#This Row],[Seconds of Use]]=0,0,Table1[[#This Row],[Customer Value]]/Table1[[#This Row],[Seconds of Use]]*100)</f>
        <v>4.1563017880505884</v>
      </c>
    </row>
    <row r="773" spans="1:18" x14ac:dyDescent="0.35">
      <c r="A773" s="3" t="s">
        <v>794</v>
      </c>
      <c r="B773">
        <v>6</v>
      </c>
      <c r="C773">
        <v>0</v>
      </c>
      <c r="D773">
        <v>32</v>
      </c>
      <c r="E773">
        <v>0</v>
      </c>
      <c r="F773">
        <v>6718</v>
      </c>
      <c r="G773">
        <v>69</v>
      </c>
      <c r="H773">
        <v>100</v>
      </c>
      <c r="I773">
        <v>36</v>
      </c>
      <c r="J773">
        <v>2</v>
      </c>
      <c r="K773">
        <v>1</v>
      </c>
      <c r="L773">
        <v>1</v>
      </c>
      <c r="M773">
        <v>25</v>
      </c>
      <c r="N773">
        <v>755.41499999999996</v>
      </c>
      <c r="O773">
        <v>0</v>
      </c>
      <c r="P7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73" t="str">
        <f>IF(Table1[[#This Row],[Fraud_Score]]&gt;=6, "High Risk",IF(Table1[[#This Row],[Fraud_Score]]&gt;=3, "Medium Risk", "Low Risk"))</f>
        <v>Low Risk</v>
      </c>
      <c r="R773">
        <f>IF(Table1[[#This Row],[Seconds of Use]]=0,0,Table1[[#This Row],[Customer Value]]/Table1[[#This Row],[Seconds of Use]]*100)</f>
        <v>11.244641262280441</v>
      </c>
    </row>
    <row r="774" spans="1:18" x14ac:dyDescent="0.35">
      <c r="A774" s="3" t="s">
        <v>795</v>
      </c>
      <c r="B774">
        <v>21</v>
      </c>
      <c r="C774">
        <v>1</v>
      </c>
      <c r="D774">
        <v>28</v>
      </c>
      <c r="E774">
        <v>0</v>
      </c>
      <c r="F774">
        <v>955</v>
      </c>
      <c r="G774">
        <v>41</v>
      </c>
      <c r="H774">
        <v>8</v>
      </c>
      <c r="I774">
        <v>16</v>
      </c>
      <c r="J774">
        <v>2</v>
      </c>
      <c r="K774">
        <v>1</v>
      </c>
      <c r="L774">
        <v>2</v>
      </c>
      <c r="M774">
        <v>25</v>
      </c>
      <c r="N774">
        <v>80.819999999999993</v>
      </c>
      <c r="O774">
        <v>1</v>
      </c>
      <c r="P7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774" t="str">
        <f>IF(Table1[[#This Row],[Fraud_Score]]&gt;=6, "High Risk",IF(Table1[[#This Row],[Fraud_Score]]&gt;=3, "Medium Risk", "Low Risk"))</f>
        <v>Medium Risk</v>
      </c>
      <c r="R774">
        <f>IF(Table1[[#This Row],[Seconds of Use]]=0,0,Table1[[#This Row],[Customer Value]]/Table1[[#This Row],[Seconds of Use]]*100)</f>
        <v>8.4628272251308889</v>
      </c>
    </row>
    <row r="775" spans="1:18" x14ac:dyDescent="0.35">
      <c r="A775" s="3" t="s">
        <v>796</v>
      </c>
      <c r="B775">
        <v>19</v>
      </c>
      <c r="C775">
        <v>0</v>
      </c>
      <c r="D775">
        <v>31</v>
      </c>
      <c r="E775">
        <v>7</v>
      </c>
      <c r="F775">
        <v>10435</v>
      </c>
      <c r="G775">
        <v>87</v>
      </c>
      <c r="H775">
        <v>0</v>
      </c>
      <c r="I775">
        <v>41</v>
      </c>
      <c r="J775">
        <v>4</v>
      </c>
      <c r="K775">
        <v>1</v>
      </c>
      <c r="L775">
        <v>1</v>
      </c>
      <c r="M775">
        <v>45</v>
      </c>
      <c r="N775">
        <v>263.05</v>
      </c>
      <c r="O775">
        <v>0</v>
      </c>
      <c r="P7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75" t="str">
        <f>IF(Table1[[#This Row],[Fraud_Score]]&gt;=6, "High Risk",IF(Table1[[#This Row],[Fraud_Score]]&gt;=3, "Medium Risk", "Low Risk"))</f>
        <v>Low Risk</v>
      </c>
      <c r="R775">
        <f>IF(Table1[[#This Row],[Seconds of Use]]=0,0,Table1[[#This Row],[Customer Value]]/Table1[[#This Row],[Seconds of Use]]*100)</f>
        <v>2.5208433157642549</v>
      </c>
    </row>
    <row r="776" spans="1:18" x14ac:dyDescent="0.35">
      <c r="A776" s="3" t="s">
        <v>797</v>
      </c>
      <c r="B776">
        <v>11</v>
      </c>
      <c r="C776">
        <v>0</v>
      </c>
      <c r="D776">
        <v>31</v>
      </c>
      <c r="E776">
        <v>0</v>
      </c>
      <c r="F776">
        <v>5818</v>
      </c>
      <c r="G776">
        <v>92</v>
      </c>
      <c r="H776">
        <v>18</v>
      </c>
      <c r="I776">
        <v>23</v>
      </c>
      <c r="J776">
        <v>2</v>
      </c>
      <c r="K776">
        <v>1</v>
      </c>
      <c r="L776">
        <v>1</v>
      </c>
      <c r="M776">
        <v>25</v>
      </c>
      <c r="N776">
        <v>346.95</v>
      </c>
      <c r="O776">
        <v>1</v>
      </c>
      <c r="P7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76" t="str">
        <f>IF(Table1[[#This Row],[Fraud_Score]]&gt;=6, "High Risk",IF(Table1[[#This Row],[Fraud_Score]]&gt;=3, "Medium Risk", "Low Risk"))</f>
        <v>Medium Risk</v>
      </c>
      <c r="R776">
        <f>IF(Table1[[#This Row],[Seconds of Use]]=0,0,Table1[[#This Row],[Customer Value]]/Table1[[#This Row],[Seconds of Use]]*100)</f>
        <v>5.9633894809212791</v>
      </c>
    </row>
    <row r="777" spans="1:18" x14ac:dyDescent="0.35">
      <c r="A777" s="3" t="s">
        <v>798</v>
      </c>
      <c r="B777">
        <v>0</v>
      </c>
      <c r="C777">
        <v>0</v>
      </c>
      <c r="D777">
        <v>29</v>
      </c>
      <c r="E777">
        <v>0</v>
      </c>
      <c r="F777">
        <v>2840</v>
      </c>
      <c r="G777">
        <v>16</v>
      </c>
      <c r="H777">
        <v>0</v>
      </c>
      <c r="I777">
        <v>13</v>
      </c>
      <c r="J777">
        <v>3</v>
      </c>
      <c r="K777">
        <v>1</v>
      </c>
      <c r="L777">
        <v>1</v>
      </c>
      <c r="M777">
        <v>30</v>
      </c>
      <c r="N777">
        <v>114.24</v>
      </c>
      <c r="O777">
        <v>0</v>
      </c>
      <c r="P7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77" t="str">
        <f>IF(Table1[[#This Row],[Fraud_Score]]&gt;=6, "High Risk",IF(Table1[[#This Row],[Fraud_Score]]&gt;=3, "Medium Risk", "Low Risk"))</f>
        <v>Low Risk</v>
      </c>
      <c r="R777">
        <f>IF(Table1[[#This Row],[Seconds of Use]]=0,0,Table1[[#This Row],[Customer Value]]/Table1[[#This Row],[Seconds of Use]]*100)</f>
        <v>4.0225352112676056</v>
      </c>
    </row>
    <row r="778" spans="1:18" x14ac:dyDescent="0.35">
      <c r="A778" s="3" t="s">
        <v>799</v>
      </c>
      <c r="B778">
        <v>7</v>
      </c>
      <c r="C778">
        <v>1</v>
      </c>
      <c r="D778">
        <v>30</v>
      </c>
      <c r="E778">
        <v>0</v>
      </c>
      <c r="F778">
        <v>2990</v>
      </c>
      <c r="G778">
        <v>35</v>
      </c>
      <c r="H778">
        <v>1</v>
      </c>
      <c r="I778">
        <v>15</v>
      </c>
      <c r="J778">
        <v>2</v>
      </c>
      <c r="K778">
        <v>1</v>
      </c>
      <c r="L778">
        <v>2</v>
      </c>
      <c r="M778">
        <v>25</v>
      </c>
      <c r="N778">
        <v>140.625</v>
      </c>
      <c r="O778">
        <v>1</v>
      </c>
      <c r="P7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78" t="str">
        <f>IF(Table1[[#This Row],[Fraud_Score]]&gt;=6, "High Risk",IF(Table1[[#This Row],[Fraud_Score]]&gt;=3, "Medium Risk", "Low Risk"))</f>
        <v>Medium Risk</v>
      </c>
      <c r="R778">
        <f>IF(Table1[[#This Row],[Seconds of Use]]=0,0,Table1[[#This Row],[Customer Value]]/Table1[[#This Row],[Seconds of Use]]*100)</f>
        <v>4.7031772575250841</v>
      </c>
    </row>
    <row r="779" spans="1:18" x14ac:dyDescent="0.35">
      <c r="A779" s="3" t="s">
        <v>800</v>
      </c>
      <c r="B779">
        <v>7</v>
      </c>
      <c r="C779">
        <v>1</v>
      </c>
      <c r="D779">
        <v>31</v>
      </c>
      <c r="E779">
        <v>0</v>
      </c>
      <c r="F779">
        <v>2268</v>
      </c>
      <c r="G779">
        <v>38</v>
      </c>
      <c r="H779">
        <v>26</v>
      </c>
      <c r="I779">
        <v>30</v>
      </c>
      <c r="J779">
        <v>3</v>
      </c>
      <c r="K779">
        <v>1</v>
      </c>
      <c r="L779">
        <v>2</v>
      </c>
      <c r="M779">
        <v>30</v>
      </c>
      <c r="N779">
        <v>196.24</v>
      </c>
      <c r="O779">
        <v>1</v>
      </c>
      <c r="P7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79" t="str">
        <f>IF(Table1[[#This Row],[Fraud_Score]]&gt;=6, "High Risk",IF(Table1[[#This Row],[Fraud_Score]]&gt;=3, "Medium Risk", "Low Risk"))</f>
        <v>Medium Risk</v>
      </c>
      <c r="R779">
        <f>IF(Table1[[#This Row],[Seconds of Use]]=0,0,Table1[[#This Row],[Customer Value]]/Table1[[#This Row],[Seconds of Use]]*100)</f>
        <v>8.6525573192239857</v>
      </c>
    </row>
    <row r="780" spans="1:18" x14ac:dyDescent="0.35">
      <c r="A780" s="3" t="s">
        <v>801</v>
      </c>
      <c r="B780">
        <v>0</v>
      </c>
      <c r="C780">
        <v>1</v>
      </c>
      <c r="D780">
        <v>31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2</v>
      </c>
      <c r="K780">
        <v>1</v>
      </c>
      <c r="L780">
        <v>2</v>
      </c>
      <c r="M780">
        <v>25</v>
      </c>
      <c r="N780">
        <v>0</v>
      </c>
      <c r="O780">
        <v>1</v>
      </c>
      <c r="P7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80" t="str">
        <f>IF(Table1[[#This Row],[Fraud_Score]]&gt;=6, "High Risk",IF(Table1[[#This Row],[Fraud_Score]]&gt;=3, "Medium Risk", "Low Risk"))</f>
        <v>Medium Risk</v>
      </c>
      <c r="R780">
        <f>IF(Table1[[#This Row],[Seconds of Use]]=0,0,Table1[[#This Row],[Customer Value]]/Table1[[#This Row],[Seconds of Use]]*100)</f>
        <v>0</v>
      </c>
    </row>
    <row r="781" spans="1:18" x14ac:dyDescent="0.35">
      <c r="A781" s="3" t="s">
        <v>802</v>
      </c>
      <c r="B781">
        <v>0</v>
      </c>
      <c r="C781">
        <v>0</v>
      </c>
      <c r="D781">
        <v>31</v>
      </c>
      <c r="E781">
        <v>0</v>
      </c>
      <c r="F781">
        <v>1668</v>
      </c>
      <c r="G781">
        <v>19</v>
      </c>
      <c r="H781">
        <v>0</v>
      </c>
      <c r="I781">
        <v>5</v>
      </c>
      <c r="J781">
        <v>3</v>
      </c>
      <c r="K781">
        <v>1</v>
      </c>
      <c r="L781">
        <v>1</v>
      </c>
      <c r="M781">
        <v>30</v>
      </c>
      <c r="N781">
        <v>67.48</v>
      </c>
      <c r="O781">
        <v>0</v>
      </c>
      <c r="P7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81" t="str">
        <f>IF(Table1[[#This Row],[Fraud_Score]]&gt;=6, "High Risk",IF(Table1[[#This Row],[Fraud_Score]]&gt;=3, "Medium Risk", "Low Risk"))</f>
        <v>Low Risk</v>
      </c>
      <c r="R781">
        <f>IF(Table1[[#This Row],[Seconds of Use]]=0,0,Table1[[#This Row],[Customer Value]]/Table1[[#This Row],[Seconds of Use]]*100)</f>
        <v>4.0455635491606721</v>
      </c>
    </row>
    <row r="782" spans="1:18" x14ac:dyDescent="0.35">
      <c r="A782" s="3" t="s">
        <v>803</v>
      </c>
      <c r="B782">
        <v>1</v>
      </c>
      <c r="C782">
        <v>0</v>
      </c>
      <c r="D782">
        <v>28</v>
      </c>
      <c r="E782">
        <v>0</v>
      </c>
      <c r="F782">
        <v>6785</v>
      </c>
      <c r="G782">
        <v>91</v>
      </c>
      <c r="H782">
        <v>6</v>
      </c>
      <c r="I782">
        <v>21</v>
      </c>
      <c r="J782">
        <v>4</v>
      </c>
      <c r="K782">
        <v>1</v>
      </c>
      <c r="L782">
        <v>1</v>
      </c>
      <c r="M782">
        <v>45</v>
      </c>
      <c r="N782">
        <v>186.9</v>
      </c>
      <c r="O782">
        <v>0</v>
      </c>
      <c r="P7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82" t="str">
        <f>IF(Table1[[#This Row],[Fraud_Score]]&gt;=6, "High Risk",IF(Table1[[#This Row],[Fraud_Score]]&gt;=3, "Medium Risk", "Low Risk"))</f>
        <v>Low Risk</v>
      </c>
      <c r="R782">
        <f>IF(Table1[[#This Row],[Seconds of Use]]=0,0,Table1[[#This Row],[Customer Value]]/Table1[[#This Row],[Seconds of Use]]*100)</f>
        <v>2.7546057479734709</v>
      </c>
    </row>
    <row r="783" spans="1:18" x14ac:dyDescent="0.35">
      <c r="A783" s="3" t="s">
        <v>804</v>
      </c>
      <c r="B783">
        <v>0</v>
      </c>
      <c r="C783">
        <v>0</v>
      </c>
      <c r="D783">
        <v>31</v>
      </c>
      <c r="E783">
        <v>0</v>
      </c>
      <c r="F783">
        <v>628</v>
      </c>
      <c r="G783">
        <v>1</v>
      </c>
      <c r="H783">
        <v>1</v>
      </c>
      <c r="I783">
        <v>3</v>
      </c>
      <c r="J783">
        <v>4</v>
      </c>
      <c r="K783">
        <v>1</v>
      </c>
      <c r="L783">
        <v>2</v>
      </c>
      <c r="M783">
        <v>45</v>
      </c>
      <c r="N783">
        <v>18.225000000000001</v>
      </c>
      <c r="O783">
        <v>1</v>
      </c>
      <c r="P7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83" t="str">
        <f>IF(Table1[[#This Row],[Fraud_Score]]&gt;=6, "High Risk",IF(Table1[[#This Row],[Fraud_Score]]&gt;=3, "Medium Risk", "Low Risk"))</f>
        <v>Low Risk</v>
      </c>
      <c r="R783">
        <f>IF(Table1[[#This Row],[Seconds of Use]]=0,0,Table1[[#This Row],[Customer Value]]/Table1[[#This Row],[Seconds of Use]]*100)</f>
        <v>2.9020700636942678</v>
      </c>
    </row>
    <row r="784" spans="1:18" x14ac:dyDescent="0.35">
      <c r="A784" s="3" t="s">
        <v>805</v>
      </c>
      <c r="B784">
        <v>0</v>
      </c>
      <c r="C784">
        <v>0</v>
      </c>
      <c r="D784">
        <v>31</v>
      </c>
      <c r="E784">
        <v>0</v>
      </c>
      <c r="F784">
        <v>338</v>
      </c>
      <c r="G784">
        <v>5</v>
      </c>
      <c r="H784">
        <v>0</v>
      </c>
      <c r="I784">
        <v>1</v>
      </c>
      <c r="J784">
        <v>4</v>
      </c>
      <c r="K784">
        <v>1</v>
      </c>
      <c r="L784">
        <v>1</v>
      </c>
      <c r="M784">
        <v>45</v>
      </c>
      <c r="N784">
        <v>8.5749999999999993</v>
      </c>
      <c r="O784">
        <v>0</v>
      </c>
      <c r="P7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84" t="str">
        <f>IF(Table1[[#This Row],[Fraud_Score]]&gt;=6, "High Risk",IF(Table1[[#This Row],[Fraud_Score]]&gt;=3, "Medium Risk", "Low Risk"))</f>
        <v>Low Risk</v>
      </c>
      <c r="R784">
        <f>IF(Table1[[#This Row],[Seconds of Use]]=0,0,Table1[[#This Row],[Customer Value]]/Table1[[#This Row],[Seconds of Use]]*100)</f>
        <v>2.5369822485207099</v>
      </c>
    </row>
    <row r="785" spans="1:18" x14ac:dyDescent="0.35">
      <c r="A785" s="3" t="s">
        <v>806</v>
      </c>
      <c r="B785">
        <v>23</v>
      </c>
      <c r="C785">
        <v>0</v>
      </c>
      <c r="D785">
        <v>26</v>
      </c>
      <c r="E785">
        <v>2</v>
      </c>
      <c r="F785">
        <v>16075</v>
      </c>
      <c r="G785">
        <v>232</v>
      </c>
      <c r="H785">
        <v>0</v>
      </c>
      <c r="I785">
        <v>79</v>
      </c>
      <c r="J785">
        <v>2</v>
      </c>
      <c r="K785">
        <v>1</v>
      </c>
      <c r="L785">
        <v>1</v>
      </c>
      <c r="M785">
        <v>25</v>
      </c>
      <c r="N785">
        <v>733.81500000000005</v>
      </c>
      <c r="O785">
        <v>0</v>
      </c>
      <c r="P7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785" t="str">
        <f>IF(Table1[[#This Row],[Fraud_Score]]&gt;=6, "High Risk",IF(Table1[[#This Row],[Fraud_Score]]&gt;=3, "Medium Risk", "Low Risk"))</f>
        <v>Medium Risk</v>
      </c>
      <c r="R785">
        <f>IF(Table1[[#This Row],[Seconds of Use]]=0,0,Table1[[#This Row],[Customer Value]]/Table1[[#This Row],[Seconds of Use]]*100)</f>
        <v>4.5649455676516331</v>
      </c>
    </row>
    <row r="786" spans="1:18" x14ac:dyDescent="0.35">
      <c r="A786" s="3" t="s">
        <v>807</v>
      </c>
      <c r="B786">
        <v>4</v>
      </c>
      <c r="C786">
        <v>0</v>
      </c>
      <c r="D786">
        <v>29</v>
      </c>
      <c r="E786">
        <v>2</v>
      </c>
      <c r="F786">
        <v>6965</v>
      </c>
      <c r="G786">
        <v>110</v>
      </c>
      <c r="H786">
        <v>263</v>
      </c>
      <c r="I786">
        <v>32</v>
      </c>
      <c r="J786">
        <v>2</v>
      </c>
      <c r="K786">
        <v>2</v>
      </c>
      <c r="L786">
        <v>1</v>
      </c>
      <c r="M786">
        <v>25</v>
      </c>
      <c r="N786">
        <v>1501.875</v>
      </c>
      <c r="O786">
        <v>0</v>
      </c>
      <c r="P7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86" t="str">
        <f>IF(Table1[[#This Row],[Fraud_Score]]&gt;=6, "High Risk",IF(Table1[[#This Row],[Fraud_Score]]&gt;=3, "Medium Risk", "Low Risk"))</f>
        <v>Low Risk</v>
      </c>
      <c r="R786">
        <f>IF(Table1[[#This Row],[Seconds of Use]]=0,0,Table1[[#This Row],[Customer Value]]/Table1[[#This Row],[Seconds of Use]]*100)</f>
        <v>21.563173007896626</v>
      </c>
    </row>
    <row r="787" spans="1:18" x14ac:dyDescent="0.35">
      <c r="A787" s="3" t="s">
        <v>808</v>
      </c>
      <c r="B787">
        <v>0</v>
      </c>
      <c r="C787">
        <v>0</v>
      </c>
      <c r="D787">
        <v>31</v>
      </c>
      <c r="E787">
        <v>0</v>
      </c>
      <c r="F787">
        <v>3718</v>
      </c>
      <c r="G787">
        <v>76</v>
      </c>
      <c r="H787">
        <v>0</v>
      </c>
      <c r="I787">
        <v>27</v>
      </c>
      <c r="J787">
        <v>2</v>
      </c>
      <c r="K787">
        <v>1</v>
      </c>
      <c r="L787">
        <v>1</v>
      </c>
      <c r="M787">
        <v>25</v>
      </c>
      <c r="N787">
        <v>170.73</v>
      </c>
      <c r="O787">
        <v>0</v>
      </c>
      <c r="P7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87" t="str">
        <f>IF(Table1[[#This Row],[Fraud_Score]]&gt;=6, "High Risk",IF(Table1[[#This Row],[Fraud_Score]]&gt;=3, "Medium Risk", "Low Risk"))</f>
        <v>Low Risk</v>
      </c>
      <c r="R787">
        <f>IF(Table1[[#This Row],[Seconds of Use]]=0,0,Table1[[#This Row],[Customer Value]]/Table1[[#This Row],[Seconds of Use]]*100)</f>
        <v>4.5919849381387845</v>
      </c>
    </row>
    <row r="788" spans="1:18" x14ac:dyDescent="0.35">
      <c r="A788" s="3" t="s">
        <v>809</v>
      </c>
      <c r="B788">
        <v>1</v>
      </c>
      <c r="C788">
        <v>0</v>
      </c>
      <c r="D788">
        <v>30</v>
      </c>
      <c r="E788">
        <v>0</v>
      </c>
      <c r="F788">
        <v>1665</v>
      </c>
      <c r="G788">
        <v>38</v>
      </c>
      <c r="H788">
        <v>30</v>
      </c>
      <c r="I788">
        <v>19</v>
      </c>
      <c r="J788">
        <v>3</v>
      </c>
      <c r="K788">
        <v>1</v>
      </c>
      <c r="L788">
        <v>2</v>
      </c>
      <c r="M788">
        <v>30</v>
      </c>
      <c r="N788">
        <v>188.12</v>
      </c>
      <c r="O788">
        <v>0</v>
      </c>
      <c r="P7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88" t="str">
        <f>IF(Table1[[#This Row],[Fraud_Score]]&gt;=6, "High Risk",IF(Table1[[#This Row],[Fraud_Score]]&gt;=3, "Medium Risk", "Low Risk"))</f>
        <v>Low Risk</v>
      </c>
      <c r="R788">
        <f>IF(Table1[[#This Row],[Seconds of Use]]=0,0,Table1[[#This Row],[Customer Value]]/Table1[[#This Row],[Seconds of Use]]*100)</f>
        <v>11.2984984984985</v>
      </c>
    </row>
    <row r="789" spans="1:18" x14ac:dyDescent="0.35">
      <c r="A789" s="3" t="s">
        <v>810</v>
      </c>
      <c r="B789">
        <v>4</v>
      </c>
      <c r="C789">
        <v>0</v>
      </c>
      <c r="D789">
        <v>31</v>
      </c>
      <c r="E789">
        <v>0</v>
      </c>
      <c r="F789">
        <v>2780</v>
      </c>
      <c r="G789">
        <v>47</v>
      </c>
      <c r="H789">
        <v>167</v>
      </c>
      <c r="I789">
        <v>22</v>
      </c>
      <c r="J789">
        <v>2</v>
      </c>
      <c r="K789">
        <v>1</v>
      </c>
      <c r="L789">
        <v>1</v>
      </c>
      <c r="M789">
        <v>25</v>
      </c>
      <c r="N789">
        <v>878.71500000000003</v>
      </c>
      <c r="O789">
        <v>0</v>
      </c>
      <c r="P7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89" t="str">
        <f>IF(Table1[[#This Row],[Fraud_Score]]&gt;=6, "High Risk",IF(Table1[[#This Row],[Fraud_Score]]&gt;=3, "Medium Risk", "Low Risk"))</f>
        <v>Low Risk</v>
      </c>
      <c r="R789">
        <f>IF(Table1[[#This Row],[Seconds of Use]]=0,0,Table1[[#This Row],[Customer Value]]/Table1[[#This Row],[Seconds of Use]]*100)</f>
        <v>31.608453237410071</v>
      </c>
    </row>
    <row r="790" spans="1:18" x14ac:dyDescent="0.35">
      <c r="A790" s="3" t="s">
        <v>811</v>
      </c>
      <c r="B790">
        <v>2</v>
      </c>
      <c r="C790">
        <v>0</v>
      </c>
      <c r="D790">
        <v>22</v>
      </c>
      <c r="E790">
        <v>0</v>
      </c>
      <c r="F790">
        <v>1315</v>
      </c>
      <c r="G790">
        <v>30</v>
      </c>
      <c r="H790">
        <v>185</v>
      </c>
      <c r="I790">
        <v>10</v>
      </c>
      <c r="J790">
        <v>2</v>
      </c>
      <c r="K790">
        <v>2</v>
      </c>
      <c r="L790">
        <v>1</v>
      </c>
      <c r="M790">
        <v>25</v>
      </c>
      <c r="N790">
        <v>893.02499999999998</v>
      </c>
      <c r="O790">
        <v>0</v>
      </c>
      <c r="P7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90" t="str">
        <f>IF(Table1[[#This Row],[Fraud_Score]]&gt;=6, "High Risk",IF(Table1[[#This Row],[Fraud_Score]]&gt;=3, "Medium Risk", "Low Risk"))</f>
        <v>Low Risk</v>
      </c>
      <c r="R790">
        <f>IF(Table1[[#This Row],[Seconds of Use]]=0,0,Table1[[#This Row],[Customer Value]]/Table1[[#This Row],[Seconds of Use]]*100)</f>
        <v>67.910646387832699</v>
      </c>
    </row>
    <row r="791" spans="1:18" x14ac:dyDescent="0.35">
      <c r="A791" s="3" t="s">
        <v>812</v>
      </c>
      <c r="B791">
        <v>2</v>
      </c>
      <c r="C791">
        <v>0</v>
      </c>
      <c r="D791">
        <v>21</v>
      </c>
      <c r="E791">
        <v>0</v>
      </c>
      <c r="F791">
        <v>1568</v>
      </c>
      <c r="G791">
        <v>33</v>
      </c>
      <c r="H791">
        <v>22</v>
      </c>
      <c r="I791">
        <v>67</v>
      </c>
      <c r="J791">
        <v>4</v>
      </c>
      <c r="K791">
        <v>1</v>
      </c>
      <c r="L791">
        <v>1</v>
      </c>
      <c r="M791">
        <v>45</v>
      </c>
      <c r="N791">
        <v>95.025000000000006</v>
      </c>
      <c r="O791">
        <v>0</v>
      </c>
      <c r="P7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791" t="str">
        <f>IF(Table1[[#This Row],[Fraud_Score]]&gt;=6, "High Risk",IF(Table1[[#This Row],[Fraud_Score]]&gt;=3, "Medium Risk", "Low Risk"))</f>
        <v>Low Risk</v>
      </c>
      <c r="R791">
        <f>IF(Table1[[#This Row],[Seconds of Use]]=0,0,Table1[[#This Row],[Customer Value]]/Table1[[#This Row],[Seconds of Use]]*100)</f>
        <v>6.0602678571428577</v>
      </c>
    </row>
    <row r="792" spans="1:18" x14ac:dyDescent="0.35">
      <c r="A792" s="3" t="s">
        <v>813</v>
      </c>
      <c r="B792">
        <v>9</v>
      </c>
      <c r="C792">
        <v>0</v>
      </c>
      <c r="D792">
        <v>22</v>
      </c>
      <c r="E792">
        <v>0</v>
      </c>
      <c r="F792">
        <v>700</v>
      </c>
      <c r="G792">
        <v>19</v>
      </c>
      <c r="H792">
        <v>2</v>
      </c>
      <c r="I792">
        <v>6</v>
      </c>
      <c r="J792">
        <v>2</v>
      </c>
      <c r="K792">
        <v>1</v>
      </c>
      <c r="L792">
        <v>2</v>
      </c>
      <c r="M792">
        <v>25</v>
      </c>
      <c r="N792">
        <v>41.354999999999997</v>
      </c>
      <c r="O792">
        <v>0</v>
      </c>
      <c r="P7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92" t="str">
        <f>IF(Table1[[#This Row],[Fraud_Score]]&gt;=6, "High Risk",IF(Table1[[#This Row],[Fraud_Score]]&gt;=3, "Medium Risk", "Low Risk"))</f>
        <v>Low Risk</v>
      </c>
      <c r="R792">
        <f>IF(Table1[[#This Row],[Seconds of Use]]=0,0,Table1[[#This Row],[Customer Value]]/Table1[[#This Row],[Seconds of Use]]*100)</f>
        <v>5.9078571428571429</v>
      </c>
    </row>
    <row r="793" spans="1:18" x14ac:dyDescent="0.35">
      <c r="A793" s="3" t="s">
        <v>814</v>
      </c>
      <c r="B793">
        <v>0</v>
      </c>
      <c r="C793">
        <v>0</v>
      </c>
      <c r="D793">
        <v>21</v>
      </c>
      <c r="E793">
        <v>0</v>
      </c>
      <c r="F793">
        <v>825</v>
      </c>
      <c r="G793">
        <v>4</v>
      </c>
      <c r="H793">
        <v>13</v>
      </c>
      <c r="I793">
        <v>2</v>
      </c>
      <c r="J793">
        <v>4</v>
      </c>
      <c r="K793">
        <v>1</v>
      </c>
      <c r="L793">
        <v>2</v>
      </c>
      <c r="M793">
        <v>45</v>
      </c>
      <c r="N793">
        <v>53.225000000000001</v>
      </c>
      <c r="O793">
        <v>0</v>
      </c>
      <c r="P7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93" t="str">
        <f>IF(Table1[[#This Row],[Fraud_Score]]&gt;=6, "High Risk",IF(Table1[[#This Row],[Fraud_Score]]&gt;=3, "Medium Risk", "Low Risk"))</f>
        <v>Low Risk</v>
      </c>
      <c r="R793">
        <f>IF(Table1[[#This Row],[Seconds of Use]]=0,0,Table1[[#This Row],[Customer Value]]/Table1[[#This Row],[Seconds of Use]]*100)</f>
        <v>6.4515151515151512</v>
      </c>
    </row>
    <row r="794" spans="1:18" x14ac:dyDescent="0.35">
      <c r="A794" s="3" t="s">
        <v>815</v>
      </c>
      <c r="B794">
        <v>8</v>
      </c>
      <c r="C794">
        <v>0</v>
      </c>
      <c r="D794">
        <v>20</v>
      </c>
      <c r="E794">
        <v>0</v>
      </c>
      <c r="F794">
        <v>1225</v>
      </c>
      <c r="G794">
        <v>26</v>
      </c>
      <c r="H794">
        <v>11</v>
      </c>
      <c r="I794">
        <v>12</v>
      </c>
      <c r="J794">
        <v>2</v>
      </c>
      <c r="K794">
        <v>1</v>
      </c>
      <c r="L794">
        <v>1</v>
      </c>
      <c r="M794">
        <v>25</v>
      </c>
      <c r="N794">
        <v>105.795</v>
      </c>
      <c r="O794">
        <v>0</v>
      </c>
      <c r="P7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94" t="str">
        <f>IF(Table1[[#This Row],[Fraud_Score]]&gt;=6, "High Risk",IF(Table1[[#This Row],[Fraud_Score]]&gt;=3, "Medium Risk", "Low Risk"))</f>
        <v>Low Risk</v>
      </c>
      <c r="R794">
        <f>IF(Table1[[#This Row],[Seconds of Use]]=0,0,Table1[[#This Row],[Customer Value]]/Table1[[#This Row],[Seconds of Use]]*100)</f>
        <v>8.6363265306122461</v>
      </c>
    </row>
    <row r="795" spans="1:18" x14ac:dyDescent="0.35">
      <c r="A795" s="3" t="s">
        <v>816</v>
      </c>
      <c r="B795">
        <v>0</v>
      </c>
      <c r="C795">
        <v>0</v>
      </c>
      <c r="D795">
        <v>20</v>
      </c>
      <c r="E795">
        <v>0</v>
      </c>
      <c r="F795">
        <v>3225</v>
      </c>
      <c r="G795">
        <v>55</v>
      </c>
      <c r="H795">
        <v>0</v>
      </c>
      <c r="I795">
        <v>22</v>
      </c>
      <c r="J795">
        <v>3</v>
      </c>
      <c r="K795">
        <v>1</v>
      </c>
      <c r="L795">
        <v>1</v>
      </c>
      <c r="M795">
        <v>30</v>
      </c>
      <c r="N795">
        <v>131.19999999999999</v>
      </c>
      <c r="O795">
        <v>0</v>
      </c>
      <c r="P7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95" t="str">
        <f>IF(Table1[[#This Row],[Fraud_Score]]&gt;=6, "High Risk",IF(Table1[[#This Row],[Fraud_Score]]&gt;=3, "Medium Risk", "Low Risk"))</f>
        <v>Low Risk</v>
      </c>
      <c r="R795">
        <f>IF(Table1[[#This Row],[Seconds of Use]]=0,0,Table1[[#This Row],[Customer Value]]/Table1[[#This Row],[Seconds of Use]]*100)</f>
        <v>4.0682170542635658</v>
      </c>
    </row>
    <row r="796" spans="1:18" x14ac:dyDescent="0.35">
      <c r="A796" s="3" t="s">
        <v>817</v>
      </c>
      <c r="B796">
        <v>0</v>
      </c>
      <c r="C796">
        <v>0</v>
      </c>
      <c r="D796">
        <v>13</v>
      </c>
      <c r="E796">
        <v>0</v>
      </c>
      <c r="F796">
        <v>1695</v>
      </c>
      <c r="G796">
        <v>20</v>
      </c>
      <c r="H796">
        <v>20</v>
      </c>
      <c r="I796">
        <v>13</v>
      </c>
      <c r="J796">
        <v>2</v>
      </c>
      <c r="K796">
        <v>1</v>
      </c>
      <c r="L796">
        <v>1</v>
      </c>
      <c r="M796">
        <v>25</v>
      </c>
      <c r="N796">
        <v>167.17500000000001</v>
      </c>
      <c r="O796">
        <v>0</v>
      </c>
      <c r="P7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796" t="str">
        <f>IF(Table1[[#This Row],[Fraud_Score]]&gt;=6, "High Risk",IF(Table1[[#This Row],[Fraud_Score]]&gt;=3, "Medium Risk", "Low Risk"))</f>
        <v>Low Risk</v>
      </c>
      <c r="R796">
        <f>IF(Table1[[#This Row],[Seconds of Use]]=0,0,Table1[[#This Row],[Customer Value]]/Table1[[#This Row],[Seconds of Use]]*100)</f>
        <v>9.8628318584070804</v>
      </c>
    </row>
    <row r="797" spans="1:18" x14ac:dyDescent="0.35">
      <c r="A797" s="3" t="s">
        <v>818</v>
      </c>
      <c r="B797">
        <v>14</v>
      </c>
      <c r="C797">
        <v>0</v>
      </c>
      <c r="D797">
        <v>12</v>
      </c>
      <c r="E797">
        <v>0</v>
      </c>
      <c r="F797">
        <v>6392</v>
      </c>
      <c r="G797">
        <v>135</v>
      </c>
      <c r="H797">
        <v>77</v>
      </c>
      <c r="I797">
        <v>41</v>
      </c>
      <c r="J797">
        <v>1</v>
      </c>
      <c r="K797">
        <v>2</v>
      </c>
      <c r="L797">
        <v>1</v>
      </c>
      <c r="M797">
        <v>15</v>
      </c>
      <c r="N797">
        <v>782.48500000000001</v>
      </c>
      <c r="O797">
        <v>0</v>
      </c>
      <c r="P7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97" t="str">
        <f>IF(Table1[[#This Row],[Fraud_Score]]&gt;=6, "High Risk",IF(Table1[[#This Row],[Fraud_Score]]&gt;=3, "Medium Risk", "Low Risk"))</f>
        <v>Medium Risk</v>
      </c>
      <c r="R797">
        <f>IF(Table1[[#This Row],[Seconds of Use]]=0,0,Table1[[#This Row],[Customer Value]]/Table1[[#This Row],[Seconds of Use]]*100)</f>
        <v>12.241630162703379</v>
      </c>
    </row>
    <row r="798" spans="1:18" x14ac:dyDescent="0.35">
      <c r="A798" s="3" t="s">
        <v>819</v>
      </c>
      <c r="B798">
        <v>10</v>
      </c>
      <c r="C798">
        <v>0</v>
      </c>
      <c r="D798">
        <v>10</v>
      </c>
      <c r="E798">
        <v>0</v>
      </c>
      <c r="F798">
        <v>8932</v>
      </c>
      <c r="G798">
        <v>165</v>
      </c>
      <c r="H798">
        <v>65</v>
      </c>
      <c r="I798">
        <v>39</v>
      </c>
      <c r="J798">
        <v>4</v>
      </c>
      <c r="K798">
        <v>1</v>
      </c>
      <c r="L798">
        <v>1</v>
      </c>
      <c r="M798">
        <v>45</v>
      </c>
      <c r="N798">
        <v>389.92500000000001</v>
      </c>
      <c r="O798">
        <v>0</v>
      </c>
      <c r="P7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798" t="str">
        <f>IF(Table1[[#This Row],[Fraud_Score]]&gt;=6, "High Risk",IF(Table1[[#This Row],[Fraud_Score]]&gt;=3, "Medium Risk", "Low Risk"))</f>
        <v>Medium Risk</v>
      </c>
      <c r="R798">
        <f>IF(Table1[[#This Row],[Seconds of Use]]=0,0,Table1[[#This Row],[Customer Value]]/Table1[[#This Row],[Seconds of Use]]*100)</f>
        <v>4.3654836542767574</v>
      </c>
    </row>
    <row r="799" spans="1:18" x14ac:dyDescent="0.35">
      <c r="A799" s="3" t="s">
        <v>820</v>
      </c>
      <c r="B799">
        <v>6</v>
      </c>
      <c r="C799">
        <v>0</v>
      </c>
      <c r="D799">
        <v>11</v>
      </c>
      <c r="E799">
        <v>2</v>
      </c>
      <c r="F799">
        <v>2852</v>
      </c>
      <c r="G799">
        <v>39</v>
      </c>
      <c r="H799">
        <v>23</v>
      </c>
      <c r="I799">
        <v>18</v>
      </c>
      <c r="J799">
        <v>3</v>
      </c>
      <c r="K799">
        <v>1</v>
      </c>
      <c r="L799">
        <v>1</v>
      </c>
      <c r="M799">
        <v>30</v>
      </c>
      <c r="N799">
        <v>207.64</v>
      </c>
      <c r="O799">
        <v>0</v>
      </c>
      <c r="P7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799" t="str">
        <f>IF(Table1[[#This Row],[Fraud_Score]]&gt;=6, "High Risk",IF(Table1[[#This Row],[Fraud_Score]]&gt;=3, "Medium Risk", "Low Risk"))</f>
        <v>Low Risk</v>
      </c>
      <c r="R799">
        <f>IF(Table1[[#This Row],[Seconds of Use]]=0,0,Table1[[#This Row],[Customer Value]]/Table1[[#This Row],[Seconds of Use]]*100)</f>
        <v>7.280504908835904</v>
      </c>
    </row>
    <row r="800" spans="1:18" x14ac:dyDescent="0.35">
      <c r="A800" s="3" t="s">
        <v>821</v>
      </c>
      <c r="B800">
        <v>0</v>
      </c>
      <c r="C800">
        <v>0</v>
      </c>
      <c r="D800">
        <v>4</v>
      </c>
      <c r="E800">
        <v>0</v>
      </c>
      <c r="F800">
        <v>4390</v>
      </c>
      <c r="G800">
        <v>34</v>
      </c>
      <c r="H800">
        <v>207</v>
      </c>
      <c r="I800">
        <v>9</v>
      </c>
      <c r="J800">
        <v>3</v>
      </c>
      <c r="K800">
        <v>1</v>
      </c>
      <c r="L800">
        <v>1</v>
      </c>
      <c r="M800">
        <v>30</v>
      </c>
      <c r="N800">
        <v>1004.96</v>
      </c>
      <c r="O800">
        <v>0</v>
      </c>
      <c r="P8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00" t="str">
        <f>IF(Table1[[#This Row],[Fraud_Score]]&gt;=6, "High Risk",IF(Table1[[#This Row],[Fraud_Score]]&gt;=3, "Medium Risk", "Low Risk"))</f>
        <v>Low Risk</v>
      </c>
      <c r="R800">
        <f>IF(Table1[[#This Row],[Seconds of Use]]=0,0,Table1[[#This Row],[Customer Value]]/Table1[[#This Row],[Seconds of Use]]*100)</f>
        <v>22.892027334851935</v>
      </c>
    </row>
    <row r="801" spans="1:18" x14ac:dyDescent="0.35">
      <c r="A801" s="3" t="s">
        <v>822</v>
      </c>
      <c r="B801">
        <v>1</v>
      </c>
      <c r="C801">
        <v>0</v>
      </c>
      <c r="D801">
        <v>4</v>
      </c>
      <c r="E801">
        <v>0</v>
      </c>
      <c r="F801">
        <v>1487</v>
      </c>
      <c r="G801">
        <v>13</v>
      </c>
      <c r="H801">
        <v>0</v>
      </c>
      <c r="I801">
        <v>6</v>
      </c>
      <c r="J801">
        <v>2</v>
      </c>
      <c r="K801">
        <v>1</v>
      </c>
      <c r="L801">
        <v>1</v>
      </c>
      <c r="M801">
        <v>25</v>
      </c>
      <c r="N801">
        <v>67.5</v>
      </c>
      <c r="O801">
        <v>1</v>
      </c>
      <c r="P8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01" t="str">
        <f>IF(Table1[[#This Row],[Fraud_Score]]&gt;=6, "High Risk",IF(Table1[[#This Row],[Fraud_Score]]&gt;=3, "Medium Risk", "Low Risk"))</f>
        <v>Low Risk</v>
      </c>
      <c r="R801">
        <f>IF(Table1[[#This Row],[Seconds of Use]]=0,0,Table1[[#This Row],[Customer Value]]/Table1[[#This Row],[Seconds of Use]]*100)</f>
        <v>4.5393409549428378</v>
      </c>
    </row>
    <row r="802" spans="1:18" x14ac:dyDescent="0.35">
      <c r="A802" s="3" t="s">
        <v>823</v>
      </c>
      <c r="B802">
        <v>10</v>
      </c>
      <c r="C802">
        <v>0</v>
      </c>
      <c r="D802">
        <v>43</v>
      </c>
      <c r="E802">
        <v>1</v>
      </c>
      <c r="F802">
        <v>4370</v>
      </c>
      <c r="G802">
        <v>77</v>
      </c>
      <c r="H802">
        <v>13</v>
      </c>
      <c r="I802">
        <v>18</v>
      </c>
      <c r="J802">
        <v>3</v>
      </c>
      <c r="K802">
        <v>1</v>
      </c>
      <c r="L802">
        <v>1</v>
      </c>
      <c r="M802">
        <v>30</v>
      </c>
      <c r="N802">
        <v>229.88</v>
      </c>
      <c r="O802">
        <v>0</v>
      </c>
      <c r="P8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02" t="str">
        <f>IF(Table1[[#This Row],[Fraud_Score]]&gt;=6, "High Risk",IF(Table1[[#This Row],[Fraud_Score]]&gt;=3, "Medium Risk", "Low Risk"))</f>
        <v>Low Risk</v>
      </c>
      <c r="R802">
        <f>IF(Table1[[#This Row],[Seconds of Use]]=0,0,Table1[[#This Row],[Customer Value]]/Table1[[#This Row],[Seconds of Use]]*100)</f>
        <v>5.2604118993135014</v>
      </c>
    </row>
    <row r="803" spans="1:18" x14ac:dyDescent="0.35">
      <c r="A803" s="3" t="s">
        <v>824</v>
      </c>
      <c r="B803">
        <v>2</v>
      </c>
      <c r="C803">
        <v>0</v>
      </c>
      <c r="D803">
        <v>44</v>
      </c>
      <c r="E803">
        <v>0</v>
      </c>
      <c r="F803">
        <v>318</v>
      </c>
      <c r="G803">
        <v>11</v>
      </c>
      <c r="H803">
        <v>15</v>
      </c>
      <c r="I803">
        <v>5</v>
      </c>
      <c r="J803">
        <v>3</v>
      </c>
      <c r="K803">
        <v>1</v>
      </c>
      <c r="L803">
        <v>2</v>
      </c>
      <c r="M803">
        <v>30</v>
      </c>
      <c r="N803">
        <v>73.16</v>
      </c>
      <c r="O803">
        <v>0</v>
      </c>
      <c r="P8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03" t="str">
        <f>IF(Table1[[#This Row],[Fraud_Score]]&gt;=6, "High Risk",IF(Table1[[#This Row],[Fraud_Score]]&gt;=3, "Medium Risk", "Low Risk"))</f>
        <v>Low Risk</v>
      </c>
      <c r="R803">
        <f>IF(Table1[[#This Row],[Seconds of Use]]=0,0,Table1[[#This Row],[Customer Value]]/Table1[[#This Row],[Seconds of Use]]*100)</f>
        <v>23.0062893081761</v>
      </c>
    </row>
    <row r="804" spans="1:18" x14ac:dyDescent="0.35">
      <c r="A804" s="3" t="s">
        <v>825</v>
      </c>
      <c r="B804">
        <v>12</v>
      </c>
      <c r="C804">
        <v>0</v>
      </c>
      <c r="D804">
        <v>42</v>
      </c>
      <c r="E804">
        <v>1</v>
      </c>
      <c r="F804">
        <v>2453</v>
      </c>
      <c r="G804">
        <v>66</v>
      </c>
      <c r="H804">
        <v>367</v>
      </c>
      <c r="I804">
        <v>25</v>
      </c>
      <c r="J804">
        <v>3</v>
      </c>
      <c r="K804">
        <v>1</v>
      </c>
      <c r="L804">
        <v>1</v>
      </c>
      <c r="M804">
        <v>30</v>
      </c>
      <c r="N804">
        <v>1568.76</v>
      </c>
      <c r="O804">
        <v>0</v>
      </c>
      <c r="P8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04" t="str">
        <f>IF(Table1[[#This Row],[Fraud_Score]]&gt;=6, "High Risk",IF(Table1[[#This Row],[Fraud_Score]]&gt;=3, "Medium Risk", "Low Risk"))</f>
        <v>Low Risk</v>
      </c>
      <c r="R804">
        <f>IF(Table1[[#This Row],[Seconds of Use]]=0,0,Table1[[#This Row],[Customer Value]]/Table1[[#This Row],[Seconds of Use]]*100)</f>
        <v>63.952710966163885</v>
      </c>
    </row>
    <row r="805" spans="1:18" x14ac:dyDescent="0.35">
      <c r="A805" s="3" t="s">
        <v>826</v>
      </c>
      <c r="B805">
        <v>12</v>
      </c>
      <c r="C805">
        <v>0</v>
      </c>
      <c r="D805">
        <v>43</v>
      </c>
      <c r="E805">
        <v>1</v>
      </c>
      <c r="F805">
        <v>4198</v>
      </c>
      <c r="G805">
        <v>72</v>
      </c>
      <c r="H805">
        <v>9</v>
      </c>
      <c r="I805">
        <v>36</v>
      </c>
      <c r="J805">
        <v>1</v>
      </c>
      <c r="K805">
        <v>1</v>
      </c>
      <c r="L805">
        <v>1</v>
      </c>
      <c r="M805">
        <v>15</v>
      </c>
      <c r="N805">
        <v>284.35000000000002</v>
      </c>
      <c r="O805">
        <v>0</v>
      </c>
      <c r="P8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05" t="str">
        <f>IF(Table1[[#This Row],[Fraud_Score]]&gt;=6, "High Risk",IF(Table1[[#This Row],[Fraud_Score]]&gt;=3, "Medium Risk", "Low Risk"))</f>
        <v>Low Risk</v>
      </c>
      <c r="R805">
        <f>IF(Table1[[#This Row],[Seconds of Use]]=0,0,Table1[[#This Row],[Customer Value]]/Table1[[#This Row],[Seconds of Use]]*100)</f>
        <v>6.7734635540733681</v>
      </c>
    </row>
    <row r="806" spans="1:18" x14ac:dyDescent="0.35">
      <c r="A806" s="3" t="s">
        <v>827</v>
      </c>
      <c r="B806">
        <v>5</v>
      </c>
      <c r="C806">
        <v>0</v>
      </c>
      <c r="D806">
        <v>43</v>
      </c>
      <c r="E806">
        <v>1</v>
      </c>
      <c r="F806">
        <v>2393</v>
      </c>
      <c r="G806">
        <v>64</v>
      </c>
      <c r="H806">
        <v>10</v>
      </c>
      <c r="I806">
        <v>34</v>
      </c>
      <c r="J806">
        <v>2</v>
      </c>
      <c r="K806">
        <v>1</v>
      </c>
      <c r="L806">
        <v>1</v>
      </c>
      <c r="M806">
        <v>25</v>
      </c>
      <c r="N806">
        <v>155.565</v>
      </c>
      <c r="O806">
        <v>0</v>
      </c>
      <c r="P8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06" t="str">
        <f>IF(Table1[[#This Row],[Fraud_Score]]&gt;=6, "High Risk",IF(Table1[[#This Row],[Fraud_Score]]&gt;=3, "Medium Risk", "Low Risk"))</f>
        <v>Low Risk</v>
      </c>
      <c r="R806">
        <f>IF(Table1[[#This Row],[Seconds of Use]]=0,0,Table1[[#This Row],[Customer Value]]/Table1[[#This Row],[Seconds of Use]]*100)</f>
        <v>6.5008357709987461</v>
      </c>
    </row>
    <row r="807" spans="1:18" x14ac:dyDescent="0.35">
      <c r="A807" s="3" t="s">
        <v>828</v>
      </c>
      <c r="B807">
        <v>13</v>
      </c>
      <c r="C807">
        <v>0</v>
      </c>
      <c r="D807">
        <v>43</v>
      </c>
      <c r="E807">
        <v>2</v>
      </c>
      <c r="F807">
        <v>3775</v>
      </c>
      <c r="G807">
        <v>88</v>
      </c>
      <c r="H807">
        <v>40</v>
      </c>
      <c r="I807">
        <v>29</v>
      </c>
      <c r="J807">
        <v>3</v>
      </c>
      <c r="K807">
        <v>1</v>
      </c>
      <c r="L807">
        <v>1</v>
      </c>
      <c r="M807">
        <v>30</v>
      </c>
      <c r="N807">
        <v>314.52</v>
      </c>
      <c r="O807">
        <v>0</v>
      </c>
      <c r="P8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07" t="str">
        <f>IF(Table1[[#This Row],[Fraud_Score]]&gt;=6, "High Risk",IF(Table1[[#This Row],[Fraud_Score]]&gt;=3, "Medium Risk", "Low Risk"))</f>
        <v>Low Risk</v>
      </c>
      <c r="R807">
        <f>IF(Table1[[#This Row],[Seconds of Use]]=0,0,Table1[[#This Row],[Customer Value]]/Table1[[#This Row],[Seconds of Use]]*100)</f>
        <v>8.3316556291390711</v>
      </c>
    </row>
    <row r="808" spans="1:18" x14ac:dyDescent="0.35">
      <c r="A808" s="3" t="s">
        <v>829</v>
      </c>
      <c r="B808">
        <v>6</v>
      </c>
      <c r="C808">
        <v>0</v>
      </c>
      <c r="D808">
        <v>43</v>
      </c>
      <c r="E808">
        <v>1</v>
      </c>
      <c r="F808">
        <v>2360</v>
      </c>
      <c r="G808">
        <v>45</v>
      </c>
      <c r="H808">
        <v>293</v>
      </c>
      <c r="I808">
        <v>19</v>
      </c>
      <c r="J808">
        <v>4</v>
      </c>
      <c r="K808">
        <v>1</v>
      </c>
      <c r="L808">
        <v>1</v>
      </c>
      <c r="M808">
        <v>45</v>
      </c>
      <c r="N808">
        <v>792.625</v>
      </c>
      <c r="O808">
        <v>0</v>
      </c>
      <c r="P8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08" t="str">
        <f>IF(Table1[[#This Row],[Fraud_Score]]&gt;=6, "High Risk",IF(Table1[[#This Row],[Fraud_Score]]&gt;=3, "Medium Risk", "Low Risk"))</f>
        <v>Low Risk</v>
      </c>
      <c r="R808">
        <f>IF(Table1[[#This Row],[Seconds of Use]]=0,0,Table1[[#This Row],[Customer Value]]/Table1[[#This Row],[Seconds of Use]]*100)</f>
        <v>33.585805084745765</v>
      </c>
    </row>
    <row r="809" spans="1:18" x14ac:dyDescent="0.35">
      <c r="A809" s="3" t="s">
        <v>830</v>
      </c>
      <c r="B809">
        <v>15</v>
      </c>
      <c r="C809">
        <v>0</v>
      </c>
      <c r="D809">
        <v>42</v>
      </c>
      <c r="E809">
        <v>3</v>
      </c>
      <c r="F809">
        <v>9115</v>
      </c>
      <c r="G809">
        <v>127</v>
      </c>
      <c r="H809">
        <v>152</v>
      </c>
      <c r="I809">
        <v>44</v>
      </c>
      <c r="J809">
        <v>3</v>
      </c>
      <c r="K809">
        <v>1</v>
      </c>
      <c r="L809">
        <v>1</v>
      </c>
      <c r="M809">
        <v>30</v>
      </c>
      <c r="N809">
        <v>977.68</v>
      </c>
      <c r="O809">
        <v>0</v>
      </c>
      <c r="P8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09" t="str">
        <f>IF(Table1[[#This Row],[Fraud_Score]]&gt;=6, "High Risk",IF(Table1[[#This Row],[Fraud_Score]]&gt;=3, "Medium Risk", "Low Risk"))</f>
        <v>Low Risk</v>
      </c>
      <c r="R809">
        <f>IF(Table1[[#This Row],[Seconds of Use]]=0,0,Table1[[#This Row],[Customer Value]]/Table1[[#This Row],[Seconds of Use]]*100)</f>
        <v>10.726055951727922</v>
      </c>
    </row>
    <row r="810" spans="1:18" x14ac:dyDescent="0.35">
      <c r="A810" s="3" t="s">
        <v>831</v>
      </c>
      <c r="B810">
        <v>9</v>
      </c>
      <c r="C810">
        <v>0</v>
      </c>
      <c r="D810">
        <v>43</v>
      </c>
      <c r="E810">
        <v>1</v>
      </c>
      <c r="F810">
        <v>13773</v>
      </c>
      <c r="G810">
        <v>175</v>
      </c>
      <c r="H810">
        <v>8</v>
      </c>
      <c r="I810">
        <v>45</v>
      </c>
      <c r="J810">
        <v>3</v>
      </c>
      <c r="K810">
        <v>1</v>
      </c>
      <c r="L810">
        <v>1</v>
      </c>
      <c r="M810">
        <v>30</v>
      </c>
      <c r="N810">
        <v>589.91999999999996</v>
      </c>
      <c r="O810">
        <v>0</v>
      </c>
      <c r="P8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10" t="str">
        <f>IF(Table1[[#This Row],[Fraud_Score]]&gt;=6, "High Risk",IF(Table1[[#This Row],[Fraud_Score]]&gt;=3, "Medium Risk", "Low Risk"))</f>
        <v>Low Risk</v>
      </c>
      <c r="R810">
        <f>IF(Table1[[#This Row],[Seconds of Use]]=0,0,Table1[[#This Row],[Customer Value]]/Table1[[#This Row],[Seconds of Use]]*100)</f>
        <v>4.2831627096493134</v>
      </c>
    </row>
    <row r="811" spans="1:18" x14ac:dyDescent="0.35">
      <c r="A811" s="3" t="s">
        <v>832</v>
      </c>
      <c r="B811">
        <v>9</v>
      </c>
      <c r="C811">
        <v>0</v>
      </c>
      <c r="D811">
        <v>43</v>
      </c>
      <c r="E811">
        <v>2</v>
      </c>
      <c r="F811">
        <v>4515</v>
      </c>
      <c r="G811">
        <v>89</v>
      </c>
      <c r="H811">
        <v>10</v>
      </c>
      <c r="I811">
        <v>26</v>
      </c>
      <c r="J811">
        <v>3</v>
      </c>
      <c r="K811">
        <v>1</v>
      </c>
      <c r="L811">
        <v>1</v>
      </c>
      <c r="M811">
        <v>30</v>
      </c>
      <c r="N811">
        <v>224.16</v>
      </c>
      <c r="O811">
        <v>0</v>
      </c>
      <c r="P8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11" t="str">
        <f>IF(Table1[[#This Row],[Fraud_Score]]&gt;=6, "High Risk",IF(Table1[[#This Row],[Fraud_Score]]&gt;=3, "Medium Risk", "Low Risk"))</f>
        <v>Low Risk</v>
      </c>
      <c r="R811">
        <f>IF(Table1[[#This Row],[Seconds of Use]]=0,0,Table1[[#This Row],[Customer Value]]/Table1[[#This Row],[Seconds of Use]]*100)</f>
        <v>4.964784053156146</v>
      </c>
    </row>
    <row r="812" spans="1:18" x14ac:dyDescent="0.35">
      <c r="A812" s="3" t="s">
        <v>833</v>
      </c>
      <c r="B812">
        <v>8</v>
      </c>
      <c r="C812">
        <v>0</v>
      </c>
      <c r="D812">
        <v>43</v>
      </c>
      <c r="E812">
        <v>1</v>
      </c>
      <c r="F812">
        <v>5918</v>
      </c>
      <c r="G812">
        <v>101</v>
      </c>
      <c r="H812">
        <v>15</v>
      </c>
      <c r="I812">
        <v>13</v>
      </c>
      <c r="J812">
        <v>3</v>
      </c>
      <c r="K812">
        <v>1</v>
      </c>
      <c r="L812">
        <v>1</v>
      </c>
      <c r="M812">
        <v>30</v>
      </c>
      <c r="N812">
        <v>300.76</v>
      </c>
      <c r="O812">
        <v>0</v>
      </c>
      <c r="P8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12" t="str">
        <f>IF(Table1[[#This Row],[Fraud_Score]]&gt;=6, "High Risk",IF(Table1[[#This Row],[Fraud_Score]]&gt;=3, "Medium Risk", "Low Risk"))</f>
        <v>Low Risk</v>
      </c>
      <c r="R812">
        <f>IF(Table1[[#This Row],[Seconds of Use]]=0,0,Table1[[#This Row],[Customer Value]]/Table1[[#This Row],[Seconds of Use]]*100)</f>
        <v>5.0821223386279151</v>
      </c>
    </row>
    <row r="813" spans="1:18" x14ac:dyDescent="0.35">
      <c r="A813" s="3" t="s">
        <v>834</v>
      </c>
      <c r="B813">
        <v>11</v>
      </c>
      <c r="C813">
        <v>1</v>
      </c>
      <c r="D813">
        <v>43</v>
      </c>
      <c r="E813">
        <v>0</v>
      </c>
      <c r="F813">
        <v>2238</v>
      </c>
      <c r="G813">
        <v>60</v>
      </c>
      <c r="H813">
        <v>16</v>
      </c>
      <c r="I813">
        <v>18</v>
      </c>
      <c r="J813">
        <v>3</v>
      </c>
      <c r="K813">
        <v>1</v>
      </c>
      <c r="L813">
        <v>2</v>
      </c>
      <c r="M813">
        <v>30</v>
      </c>
      <c r="N813">
        <v>155.91999999999999</v>
      </c>
      <c r="O813">
        <v>0</v>
      </c>
      <c r="P8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13" t="str">
        <f>IF(Table1[[#This Row],[Fraud_Score]]&gt;=6, "High Risk",IF(Table1[[#This Row],[Fraud_Score]]&gt;=3, "Medium Risk", "Low Risk"))</f>
        <v>Medium Risk</v>
      </c>
      <c r="R813">
        <f>IF(Table1[[#This Row],[Seconds of Use]]=0,0,Table1[[#This Row],[Customer Value]]/Table1[[#This Row],[Seconds of Use]]*100)</f>
        <v>6.9669347631814107</v>
      </c>
    </row>
    <row r="814" spans="1:18" x14ac:dyDescent="0.35">
      <c r="A814" s="3" t="s">
        <v>835</v>
      </c>
      <c r="B814">
        <v>27</v>
      </c>
      <c r="C814">
        <v>0</v>
      </c>
      <c r="D814">
        <v>43</v>
      </c>
      <c r="E814">
        <v>4</v>
      </c>
      <c r="F814">
        <v>15140</v>
      </c>
      <c r="G814">
        <v>231</v>
      </c>
      <c r="H814">
        <v>62</v>
      </c>
      <c r="I814">
        <v>33</v>
      </c>
      <c r="J814">
        <v>3</v>
      </c>
      <c r="K814">
        <v>1</v>
      </c>
      <c r="L814">
        <v>1</v>
      </c>
      <c r="M814">
        <v>30</v>
      </c>
      <c r="N814">
        <v>862.84</v>
      </c>
      <c r="O814">
        <v>0</v>
      </c>
      <c r="P8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14" t="str">
        <f>IF(Table1[[#This Row],[Fraud_Score]]&gt;=6, "High Risk",IF(Table1[[#This Row],[Fraud_Score]]&gt;=3, "Medium Risk", "Low Risk"))</f>
        <v>Medium Risk</v>
      </c>
      <c r="R814">
        <f>IF(Table1[[#This Row],[Seconds of Use]]=0,0,Table1[[#This Row],[Customer Value]]/Table1[[#This Row],[Seconds of Use]]*100)</f>
        <v>5.6990752972258916</v>
      </c>
    </row>
    <row r="815" spans="1:18" x14ac:dyDescent="0.35">
      <c r="A815" s="3" t="s">
        <v>836</v>
      </c>
      <c r="B815">
        <v>6</v>
      </c>
      <c r="C815">
        <v>0</v>
      </c>
      <c r="D815">
        <v>43</v>
      </c>
      <c r="E815">
        <v>2</v>
      </c>
      <c r="F815">
        <v>3095</v>
      </c>
      <c r="G815">
        <v>33</v>
      </c>
      <c r="H815">
        <v>491</v>
      </c>
      <c r="I815">
        <v>9</v>
      </c>
      <c r="J815">
        <v>4</v>
      </c>
      <c r="K815">
        <v>1</v>
      </c>
      <c r="L815">
        <v>1</v>
      </c>
      <c r="M815">
        <v>45</v>
      </c>
      <c r="N815">
        <v>1305.7</v>
      </c>
      <c r="O815">
        <v>0</v>
      </c>
      <c r="P8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15" t="str">
        <f>IF(Table1[[#This Row],[Fraud_Score]]&gt;=6, "High Risk",IF(Table1[[#This Row],[Fraud_Score]]&gt;=3, "Medium Risk", "Low Risk"))</f>
        <v>Low Risk</v>
      </c>
      <c r="R815">
        <f>IF(Table1[[#This Row],[Seconds of Use]]=0,0,Table1[[#This Row],[Customer Value]]/Table1[[#This Row],[Seconds of Use]]*100)</f>
        <v>42.187399030694671</v>
      </c>
    </row>
    <row r="816" spans="1:18" x14ac:dyDescent="0.35">
      <c r="A816" s="3" t="s">
        <v>837</v>
      </c>
      <c r="B816">
        <v>11</v>
      </c>
      <c r="C816">
        <v>0</v>
      </c>
      <c r="D816">
        <v>42</v>
      </c>
      <c r="E816">
        <v>1</v>
      </c>
      <c r="F816">
        <v>15485</v>
      </c>
      <c r="G816">
        <v>188</v>
      </c>
      <c r="H816">
        <v>158</v>
      </c>
      <c r="I816">
        <v>31</v>
      </c>
      <c r="J816">
        <v>2</v>
      </c>
      <c r="K816">
        <v>1</v>
      </c>
      <c r="L816">
        <v>1</v>
      </c>
      <c r="M816">
        <v>25</v>
      </c>
      <c r="N816">
        <v>1416.2850000000001</v>
      </c>
      <c r="O816">
        <v>0</v>
      </c>
      <c r="P8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16" t="str">
        <f>IF(Table1[[#This Row],[Fraud_Score]]&gt;=6, "High Risk",IF(Table1[[#This Row],[Fraud_Score]]&gt;=3, "Medium Risk", "Low Risk"))</f>
        <v>Medium Risk</v>
      </c>
      <c r="R816">
        <f>IF(Table1[[#This Row],[Seconds of Use]]=0,0,Table1[[#This Row],[Customer Value]]/Table1[[#This Row],[Seconds of Use]]*100)</f>
        <v>9.1461737164998382</v>
      </c>
    </row>
    <row r="817" spans="1:18" x14ac:dyDescent="0.35">
      <c r="A817" s="3" t="s">
        <v>838</v>
      </c>
      <c r="B817">
        <v>5</v>
      </c>
      <c r="C817">
        <v>0</v>
      </c>
      <c r="D817">
        <v>42</v>
      </c>
      <c r="E817">
        <v>2</v>
      </c>
      <c r="F817">
        <v>6500</v>
      </c>
      <c r="G817">
        <v>92</v>
      </c>
      <c r="H817">
        <v>194</v>
      </c>
      <c r="I817">
        <v>27</v>
      </c>
      <c r="J817">
        <v>3</v>
      </c>
      <c r="K817">
        <v>1</v>
      </c>
      <c r="L817">
        <v>1</v>
      </c>
      <c r="M817">
        <v>30</v>
      </c>
      <c r="N817">
        <v>1039.68</v>
      </c>
      <c r="O817">
        <v>0</v>
      </c>
      <c r="P8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17" t="str">
        <f>IF(Table1[[#This Row],[Fraud_Score]]&gt;=6, "High Risk",IF(Table1[[#This Row],[Fraud_Score]]&gt;=3, "Medium Risk", "Low Risk"))</f>
        <v>Low Risk</v>
      </c>
      <c r="R817">
        <f>IF(Table1[[#This Row],[Seconds of Use]]=0,0,Table1[[#This Row],[Customer Value]]/Table1[[#This Row],[Seconds of Use]]*100)</f>
        <v>15.995076923076923</v>
      </c>
    </row>
    <row r="818" spans="1:18" x14ac:dyDescent="0.35">
      <c r="A818" s="3" t="s">
        <v>839</v>
      </c>
      <c r="B818">
        <v>2</v>
      </c>
      <c r="C818">
        <v>0</v>
      </c>
      <c r="D818">
        <v>42</v>
      </c>
      <c r="E818">
        <v>0</v>
      </c>
      <c r="F818">
        <v>875</v>
      </c>
      <c r="G818">
        <v>20</v>
      </c>
      <c r="H818">
        <v>8</v>
      </c>
      <c r="I818">
        <v>12</v>
      </c>
      <c r="J818">
        <v>2</v>
      </c>
      <c r="K818">
        <v>1</v>
      </c>
      <c r="L818">
        <v>2</v>
      </c>
      <c r="M818">
        <v>25</v>
      </c>
      <c r="N818">
        <v>76.275000000000006</v>
      </c>
      <c r="O818">
        <v>0</v>
      </c>
      <c r="P8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18" t="str">
        <f>IF(Table1[[#This Row],[Fraud_Score]]&gt;=6, "High Risk",IF(Table1[[#This Row],[Fraud_Score]]&gt;=3, "Medium Risk", "Low Risk"))</f>
        <v>Low Risk</v>
      </c>
      <c r="R818">
        <f>IF(Table1[[#This Row],[Seconds of Use]]=0,0,Table1[[#This Row],[Customer Value]]/Table1[[#This Row],[Seconds of Use]]*100)</f>
        <v>8.7171428571428589</v>
      </c>
    </row>
    <row r="819" spans="1:18" x14ac:dyDescent="0.35">
      <c r="A819" s="3" t="s">
        <v>840</v>
      </c>
      <c r="B819">
        <v>4</v>
      </c>
      <c r="C819">
        <v>0</v>
      </c>
      <c r="D819">
        <v>43</v>
      </c>
      <c r="E819">
        <v>0</v>
      </c>
      <c r="F819">
        <v>710</v>
      </c>
      <c r="G819">
        <v>20</v>
      </c>
      <c r="H819">
        <v>21</v>
      </c>
      <c r="I819">
        <v>9</v>
      </c>
      <c r="J819">
        <v>3</v>
      </c>
      <c r="K819">
        <v>1</v>
      </c>
      <c r="L819">
        <v>2</v>
      </c>
      <c r="M819">
        <v>30</v>
      </c>
      <c r="N819">
        <v>113.2</v>
      </c>
      <c r="O819">
        <v>0</v>
      </c>
      <c r="P8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19" t="str">
        <f>IF(Table1[[#This Row],[Fraud_Score]]&gt;=6, "High Risk",IF(Table1[[#This Row],[Fraud_Score]]&gt;=3, "Medium Risk", "Low Risk"))</f>
        <v>Low Risk</v>
      </c>
      <c r="R819">
        <f>IF(Table1[[#This Row],[Seconds of Use]]=0,0,Table1[[#This Row],[Customer Value]]/Table1[[#This Row],[Seconds of Use]]*100)</f>
        <v>15.943661971830986</v>
      </c>
    </row>
    <row r="820" spans="1:18" x14ac:dyDescent="0.35">
      <c r="A820" s="3" t="s">
        <v>841</v>
      </c>
      <c r="B820">
        <v>0</v>
      </c>
      <c r="C820">
        <v>0</v>
      </c>
      <c r="D820">
        <v>42</v>
      </c>
      <c r="E820">
        <v>0</v>
      </c>
      <c r="F820">
        <v>0</v>
      </c>
      <c r="G820">
        <v>0</v>
      </c>
      <c r="H820">
        <v>8</v>
      </c>
      <c r="I820">
        <v>0</v>
      </c>
      <c r="J820">
        <v>2</v>
      </c>
      <c r="K820">
        <v>1</v>
      </c>
      <c r="L820">
        <v>2</v>
      </c>
      <c r="M820">
        <v>25</v>
      </c>
      <c r="N820">
        <v>36</v>
      </c>
      <c r="O820">
        <v>1</v>
      </c>
      <c r="P8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20" t="str">
        <f>IF(Table1[[#This Row],[Fraud_Score]]&gt;=6, "High Risk",IF(Table1[[#This Row],[Fraud_Score]]&gt;=3, "Medium Risk", "Low Risk"))</f>
        <v>Low Risk</v>
      </c>
      <c r="R820">
        <f>IF(Table1[[#This Row],[Seconds of Use]]=0,0,Table1[[#This Row],[Customer Value]]/Table1[[#This Row],[Seconds of Use]]*100)</f>
        <v>0</v>
      </c>
    </row>
    <row r="821" spans="1:18" x14ac:dyDescent="0.35">
      <c r="A821" s="3" t="s">
        <v>842</v>
      </c>
      <c r="B821">
        <v>5</v>
      </c>
      <c r="C821">
        <v>0</v>
      </c>
      <c r="D821">
        <v>42</v>
      </c>
      <c r="E821">
        <v>1</v>
      </c>
      <c r="F821">
        <v>7508</v>
      </c>
      <c r="G821">
        <v>133</v>
      </c>
      <c r="H821">
        <v>392</v>
      </c>
      <c r="I821">
        <v>44</v>
      </c>
      <c r="J821">
        <v>3</v>
      </c>
      <c r="K821">
        <v>1</v>
      </c>
      <c r="L821">
        <v>1</v>
      </c>
      <c r="M821">
        <v>30</v>
      </c>
      <c r="N821">
        <v>1873.64</v>
      </c>
      <c r="O821">
        <v>0</v>
      </c>
      <c r="P8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21" t="str">
        <f>IF(Table1[[#This Row],[Fraud_Score]]&gt;=6, "High Risk",IF(Table1[[#This Row],[Fraud_Score]]&gt;=3, "Medium Risk", "Low Risk"))</f>
        <v>Low Risk</v>
      </c>
      <c r="R821">
        <f>IF(Table1[[#This Row],[Seconds of Use]]=0,0,Table1[[#This Row],[Customer Value]]/Table1[[#This Row],[Seconds of Use]]*100)</f>
        <v>24.955247735748536</v>
      </c>
    </row>
    <row r="822" spans="1:18" x14ac:dyDescent="0.35">
      <c r="A822" s="3" t="s">
        <v>843</v>
      </c>
      <c r="B822">
        <v>9</v>
      </c>
      <c r="C822">
        <v>0</v>
      </c>
      <c r="D822">
        <v>42</v>
      </c>
      <c r="E822">
        <v>2</v>
      </c>
      <c r="F822">
        <v>11465</v>
      </c>
      <c r="G822">
        <v>160</v>
      </c>
      <c r="H822">
        <v>19</v>
      </c>
      <c r="I822">
        <v>48</v>
      </c>
      <c r="J822">
        <v>4</v>
      </c>
      <c r="K822">
        <v>1</v>
      </c>
      <c r="L822">
        <v>1</v>
      </c>
      <c r="M822">
        <v>45</v>
      </c>
      <c r="N822">
        <v>338.125</v>
      </c>
      <c r="O822">
        <v>0</v>
      </c>
      <c r="P8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822" t="str">
        <f>IF(Table1[[#This Row],[Fraud_Score]]&gt;=6, "High Risk",IF(Table1[[#This Row],[Fraud_Score]]&gt;=3, "Medium Risk", "Low Risk"))</f>
        <v>Medium Risk</v>
      </c>
      <c r="R822">
        <f>IF(Table1[[#This Row],[Seconds of Use]]=0,0,Table1[[#This Row],[Customer Value]]/Table1[[#This Row],[Seconds of Use]]*100)</f>
        <v>2.9491931966855645</v>
      </c>
    </row>
    <row r="823" spans="1:18" x14ac:dyDescent="0.35">
      <c r="A823" s="3" t="s">
        <v>844</v>
      </c>
      <c r="B823">
        <v>10</v>
      </c>
      <c r="C823">
        <v>0</v>
      </c>
      <c r="D823">
        <v>42</v>
      </c>
      <c r="E823">
        <v>2</v>
      </c>
      <c r="F823">
        <v>6718</v>
      </c>
      <c r="G823">
        <v>81</v>
      </c>
      <c r="H823">
        <v>116</v>
      </c>
      <c r="I823">
        <v>38</v>
      </c>
      <c r="J823">
        <v>2</v>
      </c>
      <c r="K823">
        <v>1</v>
      </c>
      <c r="L823">
        <v>1</v>
      </c>
      <c r="M823">
        <v>25</v>
      </c>
      <c r="N823">
        <v>827.95500000000004</v>
      </c>
      <c r="O823">
        <v>0</v>
      </c>
      <c r="P8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23" t="str">
        <f>IF(Table1[[#This Row],[Fraud_Score]]&gt;=6, "High Risk",IF(Table1[[#This Row],[Fraud_Score]]&gt;=3, "Medium Risk", "Low Risk"))</f>
        <v>Low Risk</v>
      </c>
      <c r="R823">
        <f>IF(Table1[[#This Row],[Seconds of Use]]=0,0,Table1[[#This Row],[Customer Value]]/Table1[[#This Row],[Seconds of Use]]*100)</f>
        <v>12.32442691277166</v>
      </c>
    </row>
    <row r="824" spans="1:18" x14ac:dyDescent="0.35">
      <c r="A824" s="3" t="s">
        <v>845</v>
      </c>
      <c r="B824">
        <v>25</v>
      </c>
      <c r="C824">
        <v>1</v>
      </c>
      <c r="D824">
        <v>38</v>
      </c>
      <c r="E824">
        <v>0</v>
      </c>
      <c r="F824">
        <v>955</v>
      </c>
      <c r="G824">
        <v>53</v>
      </c>
      <c r="H824">
        <v>24</v>
      </c>
      <c r="I824">
        <v>18</v>
      </c>
      <c r="J824">
        <v>3</v>
      </c>
      <c r="K824">
        <v>1</v>
      </c>
      <c r="L824">
        <v>2</v>
      </c>
      <c r="M824">
        <v>30</v>
      </c>
      <c r="N824">
        <v>136.32</v>
      </c>
      <c r="O824">
        <v>1</v>
      </c>
      <c r="P8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24" t="str">
        <f>IF(Table1[[#This Row],[Fraud_Score]]&gt;=6, "High Risk",IF(Table1[[#This Row],[Fraud_Score]]&gt;=3, "Medium Risk", "Low Risk"))</f>
        <v>Medium Risk</v>
      </c>
      <c r="R824">
        <f>IF(Table1[[#This Row],[Seconds of Use]]=0,0,Table1[[#This Row],[Customer Value]]/Table1[[#This Row],[Seconds of Use]]*100)</f>
        <v>14.274345549738218</v>
      </c>
    </row>
    <row r="825" spans="1:18" x14ac:dyDescent="0.35">
      <c r="A825" s="3" t="s">
        <v>846</v>
      </c>
      <c r="B825">
        <v>23</v>
      </c>
      <c r="C825">
        <v>0</v>
      </c>
      <c r="D825">
        <v>41</v>
      </c>
      <c r="E825">
        <v>9</v>
      </c>
      <c r="F825">
        <v>10435</v>
      </c>
      <c r="G825">
        <v>99</v>
      </c>
      <c r="H825">
        <v>9</v>
      </c>
      <c r="I825">
        <v>43</v>
      </c>
      <c r="J825">
        <v>5</v>
      </c>
      <c r="K825">
        <v>2</v>
      </c>
      <c r="L825">
        <v>1</v>
      </c>
      <c r="M825">
        <v>55</v>
      </c>
      <c r="N825">
        <v>171.51</v>
      </c>
      <c r="O825">
        <v>0</v>
      </c>
      <c r="P8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25" t="str">
        <f>IF(Table1[[#This Row],[Fraud_Score]]&gt;=6, "High Risk",IF(Table1[[#This Row],[Fraud_Score]]&gt;=3, "Medium Risk", "Low Risk"))</f>
        <v>Low Risk</v>
      </c>
      <c r="R825">
        <f>IF(Table1[[#This Row],[Seconds of Use]]=0,0,Table1[[#This Row],[Customer Value]]/Table1[[#This Row],[Seconds of Use]]*100)</f>
        <v>1.6436032582654529</v>
      </c>
    </row>
    <row r="826" spans="1:18" x14ac:dyDescent="0.35">
      <c r="A826" s="3" t="s">
        <v>847</v>
      </c>
      <c r="B826">
        <v>15</v>
      </c>
      <c r="C826">
        <v>0</v>
      </c>
      <c r="D826">
        <v>41</v>
      </c>
      <c r="E826">
        <v>2</v>
      </c>
      <c r="F826">
        <v>5818</v>
      </c>
      <c r="G826">
        <v>104</v>
      </c>
      <c r="H826">
        <v>34</v>
      </c>
      <c r="I826">
        <v>25</v>
      </c>
      <c r="J826">
        <v>3</v>
      </c>
      <c r="K826">
        <v>1</v>
      </c>
      <c r="L826">
        <v>1</v>
      </c>
      <c r="M826">
        <v>30</v>
      </c>
      <c r="N826">
        <v>372.88</v>
      </c>
      <c r="O826">
        <v>0</v>
      </c>
      <c r="P8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26" t="str">
        <f>IF(Table1[[#This Row],[Fraud_Score]]&gt;=6, "High Risk",IF(Table1[[#This Row],[Fraud_Score]]&gt;=3, "Medium Risk", "Low Risk"))</f>
        <v>Low Risk</v>
      </c>
      <c r="R826">
        <f>IF(Table1[[#This Row],[Seconds of Use]]=0,0,Table1[[#This Row],[Customer Value]]/Table1[[#This Row],[Seconds of Use]]*100)</f>
        <v>6.4090752836026121</v>
      </c>
    </row>
    <row r="827" spans="1:18" x14ac:dyDescent="0.35">
      <c r="A827" s="3" t="s">
        <v>848</v>
      </c>
      <c r="B827">
        <v>3</v>
      </c>
      <c r="C827">
        <v>0</v>
      </c>
      <c r="D827">
        <v>39</v>
      </c>
      <c r="E827">
        <v>1</v>
      </c>
      <c r="F827">
        <v>2840</v>
      </c>
      <c r="G827">
        <v>28</v>
      </c>
      <c r="H827">
        <v>8</v>
      </c>
      <c r="I827">
        <v>15</v>
      </c>
      <c r="J827">
        <v>3</v>
      </c>
      <c r="K827">
        <v>1</v>
      </c>
      <c r="L827">
        <v>1</v>
      </c>
      <c r="M827">
        <v>30</v>
      </c>
      <c r="N827">
        <v>146.72</v>
      </c>
      <c r="O827">
        <v>0</v>
      </c>
      <c r="P8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27" t="str">
        <f>IF(Table1[[#This Row],[Fraud_Score]]&gt;=6, "High Risk",IF(Table1[[#This Row],[Fraud_Score]]&gt;=3, "Medium Risk", "Low Risk"))</f>
        <v>Low Risk</v>
      </c>
      <c r="R827">
        <f>IF(Table1[[#This Row],[Seconds of Use]]=0,0,Table1[[#This Row],[Customer Value]]/Table1[[#This Row],[Seconds of Use]]*100)</f>
        <v>5.1661971830985909</v>
      </c>
    </row>
    <row r="828" spans="1:18" x14ac:dyDescent="0.35">
      <c r="A828" s="3" t="s">
        <v>849</v>
      </c>
      <c r="B828">
        <v>11</v>
      </c>
      <c r="C828">
        <v>0</v>
      </c>
      <c r="D828">
        <v>40</v>
      </c>
      <c r="E828">
        <v>0</v>
      </c>
      <c r="F828">
        <v>2990</v>
      </c>
      <c r="G828">
        <v>47</v>
      </c>
      <c r="H828">
        <v>17</v>
      </c>
      <c r="I828">
        <v>17</v>
      </c>
      <c r="J828">
        <v>3</v>
      </c>
      <c r="K828">
        <v>1</v>
      </c>
      <c r="L828">
        <v>2</v>
      </c>
      <c r="M828">
        <v>30</v>
      </c>
      <c r="N828">
        <v>189.48</v>
      </c>
      <c r="O828">
        <v>1</v>
      </c>
      <c r="P8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828" t="str">
        <f>IF(Table1[[#This Row],[Fraud_Score]]&gt;=6, "High Risk",IF(Table1[[#This Row],[Fraud_Score]]&gt;=3, "Medium Risk", "Low Risk"))</f>
        <v>Medium Risk</v>
      </c>
      <c r="R828">
        <f>IF(Table1[[#This Row],[Seconds of Use]]=0,0,Table1[[#This Row],[Customer Value]]/Table1[[#This Row],[Seconds of Use]]*100)</f>
        <v>6.3371237458193983</v>
      </c>
    </row>
    <row r="829" spans="1:18" x14ac:dyDescent="0.35">
      <c r="A829" s="3" t="s">
        <v>850</v>
      </c>
      <c r="B829">
        <v>11</v>
      </c>
      <c r="C829">
        <v>1</v>
      </c>
      <c r="D829">
        <v>41</v>
      </c>
      <c r="E829">
        <v>0</v>
      </c>
      <c r="F829">
        <v>2268</v>
      </c>
      <c r="G829">
        <v>50</v>
      </c>
      <c r="H829">
        <v>42</v>
      </c>
      <c r="I829">
        <v>32</v>
      </c>
      <c r="J829">
        <v>4</v>
      </c>
      <c r="K829">
        <v>1</v>
      </c>
      <c r="L829">
        <v>2</v>
      </c>
      <c r="M829">
        <v>45</v>
      </c>
      <c r="N829">
        <v>162.94999999999999</v>
      </c>
      <c r="O829">
        <v>1</v>
      </c>
      <c r="P8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29" t="str">
        <f>IF(Table1[[#This Row],[Fraud_Score]]&gt;=6, "High Risk",IF(Table1[[#This Row],[Fraud_Score]]&gt;=3, "Medium Risk", "Low Risk"))</f>
        <v>Medium Risk</v>
      </c>
      <c r="R829">
        <f>IF(Table1[[#This Row],[Seconds of Use]]=0,0,Table1[[#This Row],[Customer Value]]/Table1[[#This Row],[Seconds of Use]]*100)</f>
        <v>7.1847442680776004</v>
      </c>
    </row>
    <row r="830" spans="1:18" x14ac:dyDescent="0.35">
      <c r="A830" s="3" t="s">
        <v>851</v>
      </c>
      <c r="B830">
        <v>2</v>
      </c>
      <c r="C830">
        <v>0</v>
      </c>
      <c r="D830">
        <v>41</v>
      </c>
      <c r="E830">
        <v>0</v>
      </c>
      <c r="F830">
        <v>133</v>
      </c>
      <c r="G830">
        <v>8</v>
      </c>
      <c r="H830">
        <v>8</v>
      </c>
      <c r="I830">
        <v>3</v>
      </c>
      <c r="J830">
        <v>3</v>
      </c>
      <c r="K830">
        <v>1</v>
      </c>
      <c r="L830">
        <v>2</v>
      </c>
      <c r="M830">
        <v>30</v>
      </c>
      <c r="N830">
        <v>37.64</v>
      </c>
      <c r="O830">
        <v>1</v>
      </c>
      <c r="P8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30" t="str">
        <f>IF(Table1[[#This Row],[Fraud_Score]]&gt;=6, "High Risk",IF(Table1[[#This Row],[Fraud_Score]]&gt;=3, "Medium Risk", "Low Risk"))</f>
        <v>Low Risk</v>
      </c>
      <c r="R830">
        <f>IF(Table1[[#This Row],[Seconds of Use]]=0,0,Table1[[#This Row],[Customer Value]]/Table1[[#This Row],[Seconds of Use]]*100)</f>
        <v>28.300751879699249</v>
      </c>
    </row>
    <row r="831" spans="1:18" x14ac:dyDescent="0.35">
      <c r="A831" s="3" t="s">
        <v>852</v>
      </c>
      <c r="B831">
        <v>3</v>
      </c>
      <c r="C831">
        <v>0</v>
      </c>
      <c r="D831">
        <v>41</v>
      </c>
      <c r="E831">
        <v>1</v>
      </c>
      <c r="F831">
        <v>1668</v>
      </c>
      <c r="G831">
        <v>31</v>
      </c>
      <c r="H831">
        <v>8</v>
      </c>
      <c r="I831">
        <v>7</v>
      </c>
      <c r="J831">
        <v>4</v>
      </c>
      <c r="K831">
        <v>1</v>
      </c>
      <c r="L831">
        <v>1</v>
      </c>
      <c r="M831">
        <v>45</v>
      </c>
      <c r="N831">
        <v>62.475000000000001</v>
      </c>
      <c r="O831">
        <v>0</v>
      </c>
      <c r="P8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31" t="str">
        <f>IF(Table1[[#This Row],[Fraud_Score]]&gt;=6, "High Risk",IF(Table1[[#This Row],[Fraud_Score]]&gt;=3, "Medium Risk", "Low Risk"))</f>
        <v>Low Risk</v>
      </c>
      <c r="R831">
        <f>IF(Table1[[#This Row],[Seconds of Use]]=0,0,Table1[[#This Row],[Customer Value]]/Table1[[#This Row],[Seconds of Use]]*100)</f>
        <v>3.7455035971223025</v>
      </c>
    </row>
    <row r="832" spans="1:18" x14ac:dyDescent="0.35">
      <c r="A832" s="3" t="s">
        <v>853</v>
      </c>
      <c r="B832">
        <v>5</v>
      </c>
      <c r="C832">
        <v>0</v>
      </c>
      <c r="D832">
        <v>38</v>
      </c>
      <c r="E832">
        <v>2</v>
      </c>
      <c r="F832">
        <v>6785</v>
      </c>
      <c r="G832">
        <v>103</v>
      </c>
      <c r="H832">
        <v>22</v>
      </c>
      <c r="I832">
        <v>23</v>
      </c>
      <c r="J832">
        <v>5</v>
      </c>
      <c r="K832">
        <v>1</v>
      </c>
      <c r="L832">
        <v>1</v>
      </c>
      <c r="M832">
        <v>55</v>
      </c>
      <c r="N832">
        <v>136.32</v>
      </c>
      <c r="O832">
        <v>0</v>
      </c>
      <c r="P8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32" t="str">
        <f>IF(Table1[[#This Row],[Fraud_Score]]&gt;=6, "High Risk",IF(Table1[[#This Row],[Fraud_Score]]&gt;=3, "Medium Risk", "Low Risk"))</f>
        <v>Low Risk</v>
      </c>
      <c r="R832">
        <f>IF(Table1[[#This Row],[Seconds of Use]]=0,0,Table1[[#This Row],[Customer Value]]/Table1[[#This Row],[Seconds of Use]]*100)</f>
        <v>2.0091378039793661</v>
      </c>
    </row>
    <row r="833" spans="1:18" x14ac:dyDescent="0.35">
      <c r="A833" s="3" t="s">
        <v>854</v>
      </c>
      <c r="B833">
        <v>2</v>
      </c>
      <c r="C833">
        <v>0</v>
      </c>
      <c r="D833">
        <v>41</v>
      </c>
      <c r="E833">
        <v>0</v>
      </c>
      <c r="F833">
        <v>628</v>
      </c>
      <c r="G833">
        <v>13</v>
      </c>
      <c r="H833">
        <v>17</v>
      </c>
      <c r="I833">
        <v>5</v>
      </c>
      <c r="J833">
        <v>4</v>
      </c>
      <c r="K833">
        <v>1</v>
      </c>
      <c r="L833">
        <v>2</v>
      </c>
      <c r="M833">
        <v>45</v>
      </c>
      <c r="N833">
        <v>58.524999999999999</v>
      </c>
      <c r="O833">
        <v>1</v>
      </c>
      <c r="P8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33" t="str">
        <f>IF(Table1[[#This Row],[Fraud_Score]]&gt;=6, "High Risk",IF(Table1[[#This Row],[Fraud_Score]]&gt;=3, "Medium Risk", "Low Risk"))</f>
        <v>Low Risk</v>
      </c>
      <c r="R833">
        <f>IF(Table1[[#This Row],[Seconds of Use]]=0,0,Table1[[#This Row],[Customer Value]]/Table1[[#This Row],[Seconds of Use]]*100)</f>
        <v>9.3192675159235669</v>
      </c>
    </row>
    <row r="834" spans="1:18" x14ac:dyDescent="0.35">
      <c r="A834" s="3" t="s">
        <v>855</v>
      </c>
      <c r="B834">
        <v>2</v>
      </c>
      <c r="C834">
        <v>0</v>
      </c>
      <c r="D834">
        <v>41</v>
      </c>
      <c r="E834">
        <v>2</v>
      </c>
      <c r="F834">
        <v>338</v>
      </c>
      <c r="G834">
        <v>10</v>
      </c>
      <c r="H834">
        <v>12</v>
      </c>
      <c r="I834">
        <v>3</v>
      </c>
      <c r="J834">
        <v>5</v>
      </c>
      <c r="K834">
        <v>1</v>
      </c>
      <c r="L834">
        <v>1</v>
      </c>
      <c r="M834">
        <v>55</v>
      </c>
      <c r="N834">
        <v>23.22</v>
      </c>
      <c r="O834">
        <v>0</v>
      </c>
      <c r="P8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34" t="str">
        <f>IF(Table1[[#This Row],[Fraud_Score]]&gt;=6, "High Risk",IF(Table1[[#This Row],[Fraud_Score]]&gt;=3, "Medium Risk", "Low Risk"))</f>
        <v>Low Risk</v>
      </c>
      <c r="R834">
        <f>IF(Table1[[#This Row],[Seconds of Use]]=0,0,Table1[[#This Row],[Customer Value]]/Table1[[#This Row],[Seconds of Use]]*100)</f>
        <v>6.8698224852071004</v>
      </c>
    </row>
    <row r="835" spans="1:18" x14ac:dyDescent="0.35">
      <c r="A835" s="3" t="s">
        <v>856</v>
      </c>
      <c r="B835">
        <v>27</v>
      </c>
      <c r="C835">
        <v>0</v>
      </c>
      <c r="D835">
        <v>36</v>
      </c>
      <c r="E835">
        <v>4</v>
      </c>
      <c r="F835">
        <v>16075</v>
      </c>
      <c r="G835">
        <v>244</v>
      </c>
      <c r="H835">
        <v>8</v>
      </c>
      <c r="I835">
        <v>81</v>
      </c>
      <c r="J835">
        <v>2</v>
      </c>
      <c r="K835">
        <v>1</v>
      </c>
      <c r="L835">
        <v>1</v>
      </c>
      <c r="M835">
        <v>25</v>
      </c>
      <c r="N835">
        <v>770.35500000000002</v>
      </c>
      <c r="O835">
        <v>0</v>
      </c>
      <c r="P8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35" t="str">
        <f>IF(Table1[[#This Row],[Fraud_Score]]&gt;=6, "High Risk",IF(Table1[[#This Row],[Fraud_Score]]&gt;=3, "Medium Risk", "Low Risk"))</f>
        <v>Medium Risk</v>
      </c>
      <c r="R835">
        <f>IF(Table1[[#This Row],[Seconds of Use]]=0,0,Table1[[#This Row],[Customer Value]]/Table1[[#This Row],[Seconds of Use]]*100)</f>
        <v>4.7922550544323483</v>
      </c>
    </row>
    <row r="836" spans="1:18" x14ac:dyDescent="0.35">
      <c r="A836" s="3" t="s">
        <v>857</v>
      </c>
      <c r="B836">
        <v>8</v>
      </c>
      <c r="C836">
        <v>0</v>
      </c>
      <c r="D836">
        <v>39</v>
      </c>
      <c r="E836">
        <v>4</v>
      </c>
      <c r="F836">
        <v>6965</v>
      </c>
      <c r="G836">
        <v>122</v>
      </c>
      <c r="H836">
        <v>279</v>
      </c>
      <c r="I836">
        <v>34</v>
      </c>
      <c r="J836">
        <v>3</v>
      </c>
      <c r="K836">
        <v>2</v>
      </c>
      <c r="L836">
        <v>1</v>
      </c>
      <c r="M836">
        <v>30</v>
      </c>
      <c r="N836">
        <v>1399.48</v>
      </c>
      <c r="O836">
        <v>0</v>
      </c>
      <c r="P8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36" t="str">
        <f>IF(Table1[[#This Row],[Fraud_Score]]&gt;=6, "High Risk",IF(Table1[[#This Row],[Fraud_Score]]&gt;=3, "Medium Risk", "Low Risk"))</f>
        <v>Low Risk</v>
      </c>
      <c r="R836">
        <f>IF(Table1[[#This Row],[Seconds of Use]]=0,0,Table1[[#This Row],[Customer Value]]/Table1[[#This Row],[Seconds of Use]]*100)</f>
        <v>20.093036611629579</v>
      </c>
    </row>
    <row r="837" spans="1:18" x14ac:dyDescent="0.35">
      <c r="A837" s="3" t="s">
        <v>858</v>
      </c>
      <c r="B837">
        <v>4</v>
      </c>
      <c r="C837">
        <v>0</v>
      </c>
      <c r="D837">
        <v>41</v>
      </c>
      <c r="E837">
        <v>1</v>
      </c>
      <c r="F837">
        <v>3718</v>
      </c>
      <c r="G837">
        <v>88</v>
      </c>
      <c r="H837">
        <v>10</v>
      </c>
      <c r="I837">
        <v>29</v>
      </c>
      <c r="J837">
        <v>3</v>
      </c>
      <c r="K837">
        <v>1</v>
      </c>
      <c r="L837">
        <v>1</v>
      </c>
      <c r="M837">
        <v>30</v>
      </c>
      <c r="N837">
        <v>192.24</v>
      </c>
      <c r="O837">
        <v>0</v>
      </c>
      <c r="P8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37" t="str">
        <f>IF(Table1[[#This Row],[Fraud_Score]]&gt;=6, "High Risk",IF(Table1[[#This Row],[Fraud_Score]]&gt;=3, "Medium Risk", "Low Risk"))</f>
        <v>Low Risk</v>
      </c>
      <c r="R837">
        <f>IF(Table1[[#This Row],[Seconds of Use]]=0,0,Table1[[#This Row],[Customer Value]]/Table1[[#This Row],[Seconds of Use]]*100)</f>
        <v>5.1705217859064012</v>
      </c>
    </row>
    <row r="838" spans="1:18" x14ac:dyDescent="0.35">
      <c r="A838" s="3" t="s">
        <v>859</v>
      </c>
      <c r="B838">
        <v>5</v>
      </c>
      <c r="C838">
        <v>0</v>
      </c>
      <c r="D838">
        <v>40</v>
      </c>
      <c r="E838">
        <v>0</v>
      </c>
      <c r="F838">
        <v>1665</v>
      </c>
      <c r="G838">
        <v>50</v>
      </c>
      <c r="H838">
        <v>46</v>
      </c>
      <c r="I838">
        <v>21</v>
      </c>
      <c r="J838">
        <v>4</v>
      </c>
      <c r="K838">
        <v>1</v>
      </c>
      <c r="L838">
        <v>2</v>
      </c>
      <c r="M838">
        <v>45</v>
      </c>
      <c r="N838">
        <v>157.875</v>
      </c>
      <c r="O838">
        <v>0</v>
      </c>
      <c r="P8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38" t="str">
        <f>IF(Table1[[#This Row],[Fraud_Score]]&gt;=6, "High Risk",IF(Table1[[#This Row],[Fraud_Score]]&gt;=3, "Medium Risk", "Low Risk"))</f>
        <v>Low Risk</v>
      </c>
      <c r="R838">
        <f>IF(Table1[[#This Row],[Seconds of Use]]=0,0,Table1[[#This Row],[Customer Value]]/Table1[[#This Row],[Seconds of Use]]*100)</f>
        <v>9.4819819819819831</v>
      </c>
    </row>
    <row r="839" spans="1:18" x14ac:dyDescent="0.35">
      <c r="A839" s="3" t="s">
        <v>860</v>
      </c>
      <c r="B839">
        <v>8</v>
      </c>
      <c r="C839">
        <v>0</v>
      </c>
      <c r="D839">
        <v>41</v>
      </c>
      <c r="E839">
        <v>1</v>
      </c>
      <c r="F839">
        <v>2780</v>
      </c>
      <c r="G839">
        <v>59</v>
      </c>
      <c r="H839">
        <v>183</v>
      </c>
      <c r="I839">
        <v>24</v>
      </c>
      <c r="J839">
        <v>2</v>
      </c>
      <c r="K839">
        <v>1</v>
      </c>
      <c r="L839">
        <v>1</v>
      </c>
      <c r="M839">
        <v>25</v>
      </c>
      <c r="N839">
        <v>951.255</v>
      </c>
      <c r="O839">
        <v>0</v>
      </c>
      <c r="P8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39" t="str">
        <f>IF(Table1[[#This Row],[Fraud_Score]]&gt;=6, "High Risk",IF(Table1[[#This Row],[Fraud_Score]]&gt;=3, "Medium Risk", "Low Risk"))</f>
        <v>Low Risk</v>
      </c>
      <c r="R839">
        <f>IF(Table1[[#This Row],[Seconds of Use]]=0,0,Table1[[#This Row],[Customer Value]]/Table1[[#This Row],[Seconds of Use]]*100)</f>
        <v>34.217805755395688</v>
      </c>
    </row>
    <row r="840" spans="1:18" x14ac:dyDescent="0.35">
      <c r="A840" s="3" t="s">
        <v>861</v>
      </c>
      <c r="B840">
        <v>6</v>
      </c>
      <c r="C840">
        <v>1</v>
      </c>
      <c r="D840">
        <v>32</v>
      </c>
      <c r="E840">
        <v>2</v>
      </c>
      <c r="F840">
        <v>1315</v>
      </c>
      <c r="G840">
        <v>42</v>
      </c>
      <c r="H840">
        <v>201</v>
      </c>
      <c r="I840">
        <v>12</v>
      </c>
      <c r="J840">
        <v>3</v>
      </c>
      <c r="K840">
        <v>2</v>
      </c>
      <c r="L840">
        <v>1</v>
      </c>
      <c r="M840">
        <v>30</v>
      </c>
      <c r="N840">
        <v>858.28</v>
      </c>
      <c r="O840">
        <v>1</v>
      </c>
      <c r="P8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40" t="str">
        <f>IF(Table1[[#This Row],[Fraud_Score]]&gt;=6, "High Risk",IF(Table1[[#This Row],[Fraud_Score]]&gt;=3, "Medium Risk", "Low Risk"))</f>
        <v>Low Risk</v>
      </c>
      <c r="R840">
        <f>IF(Table1[[#This Row],[Seconds of Use]]=0,0,Table1[[#This Row],[Customer Value]]/Table1[[#This Row],[Seconds of Use]]*100)</f>
        <v>65.268441064638779</v>
      </c>
    </row>
    <row r="841" spans="1:18" x14ac:dyDescent="0.35">
      <c r="A841" s="3" t="s">
        <v>862</v>
      </c>
      <c r="B841">
        <v>6</v>
      </c>
      <c r="C841">
        <v>0</v>
      </c>
      <c r="D841">
        <v>31</v>
      </c>
      <c r="E841">
        <v>1</v>
      </c>
      <c r="F841">
        <v>1568</v>
      </c>
      <c r="G841">
        <v>45</v>
      </c>
      <c r="H841">
        <v>38</v>
      </c>
      <c r="I841">
        <v>69</v>
      </c>
      <c r="J841">
        <v>5</v>
      </c>
      <c r="K841">
        <v>1</v>
      </c>
      <c r="L841">
        <v>1</v>
      </c>
      <c r="M841">
        <v>55</v>
      </c>
      <c r="N841">
        <v>81.194999999999993</v>
      </c>
      <c r="O841">
        <v>0</v>
      </c>
      <c r="P8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41" t="str">
        <f>IF(Table1[[#This Row],[Fraud_Score]]&gt;=6, "High Risk",IF(Table1[[#This Row],[Fraud_Score]]&gt;=3, "Medium Risk", "Low Risk"))</f>
        <v>Low Risk</v>
      </c>
      <c r="R841">
        <f>IF(Table1[[#This Row],[Seconds of Use]]=0,0,Table1[[#This Row],[Customer Value]]/Table1[[#This Row],[Seconds of Use]]*100)</f>
        <v>5.1782525510204076</v>
      </c>
    </row>
    <row r="842" spans="1:18" x14ac:dyDescent="0.35">
      <c r="A842" s="3" t="s">
        <v>863</v>
      </c>
      <c r="B842">
        <v>13</v>
      </c>
      <c r="C842">
        <v>0</v>
      </c>
      <c r="D842">
        <v>32</v>
      </c>
      <c r="E842">
        <v>0</v>
      </c>
      <c r="F842">
        <v>700</v>
      </c>
      <c r="G842">
        <v>31</v>
      </c>
      <c r="H842">
        <v>18</v>
      </c>
      <c r="I842">
        <v>8</v>
      </c>
      <c r="J842">
        <v>3</v>
      </c>
      <c r="K842">
        <v>1</v>
      </c>
      <c r="L842">
        <v>2</v>
      </c>
      <c r="M842">
        <v>30</v>
      </c>
      <c r="N842">
        <v>101.24</v>
      </c>
      <c r="O842">
        <v>0</v>
      </c>
      <c r="P8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842" t="str">
        <f>IF(Table1[[#This Row],[Fraud_Score]]&gt;=6, "High Risk",IF(Table1[[#This Row],[Fraud_Score]]&gt;=3, "Medium Risk", "Low Risk"))</f>
        <v>Medium Risk</v>
      </c>
      <c r="R842">
        <f>IF(Table1[[#This Row],[Seconds of Use]]=0,0,Table1[[#This Row],[Customer Value]]/Table1[[#This Row],[Seconds of Use]]*100)</f>
        <v>14.462857142857141</v>
      </c>
    </row>
    <row r="843" spans="1:18" x14ac:dyDescent="0.35">
      <c r="A843" s="3" t="s">
        <v>864</v>
      </c>
      <c r="B843">
        <v>2</v>
      </c>
      <c r="C843">
        <v>0</v>
      </c>
      <c r="D843">
        <v>31</v>
      </c>
      <c r="E843">
        <v>0</v>
      </c>
      <c r="F843">
        <v>825</v>
      </c>
      <c r="G843">
        <v>16</v>
      </c>
      <c r="H843">
        <v>29</v>
      </c>
      <c r="I843">
        <v>4</v>
      </c>
      <c r="J843">
        <v>4</v>
      </c>
      <c r="K843">
        <v>1</v>
      </c>
      <c r="L843">
        <v>2</v>
      </c>
      <c r="M843">
        <v>45</v>
      </c>
      <c r="N843">
        <v>93.525000000000006</v>
      </c>
      <c r="O843">
        <v>0</v>
      </c>
      <c r="P8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43" t="str">
        <f>IF(Table1[[#This Row],[Fraud_Score]]&gt;=6, "High Risk",IF(Table1[[#This Row],[Fraud_Score]]&gt;=3, "Medium Risk", "Low Risk"))</f>
        <v>Low Risk</v>
      </c>
      <c r="R843">
        <f>IF(Table1[[#This Row],[Seconds of Use]]=0,0,Table1[[#This Row],[Customer Value]]/Table1[[#This Row],[Seconds of Use]]*100)</f>
        <v>11.336363636363638</v>
      </c>
    </row>
    <row r="844" spans="1:18" x14ac:dyDescent="0.35">
      <c r="A844" s="3" t="s">
        <v>865</v>
      </c>
      <c r="B844">
        <v>12</v>
      </c>
      <c r="C844">
        <v>0</v>
      </c>
      <c r="D844">
        <v>30</v>
      </c>
      <c r="E844">
        <v>1</v>
      </c>
      <c r="F844">
        <v>1225</v>
      </c>
      <c r="G844">
        <v>38</v>
      </c>
      <c r="H844">
        <v>27</v>
      </c>
      <c r="I844">
        <v>14</v>
      </c>
      <c r="J844">
        <v>2</v>
      </c>
      <c r="K844">
        <v>1</v>
      </c>
      <c r="L844">
        <v>1</v>
      </c>
      <c r="M844">
        <v>25</v>
      </c>
      <c r="N844">
        <v>178.33500000000001</v>
      </c>
      <c r="O844">
        <v>0</v>
      </c>
      <c r="P8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44" t="str">
        <f>IF(Table1[[#This Row],[Fraud_Score]]&gt;=6, "High Risk",IF(Table1[[#This Row],[Fraud_Score]]&gt;=3, "Medium Risk", "Low Risk"))</f>
        <v>Low Risk</v>
      </c>
      <c r="R844">
        <f>IF(Table1[[#This Row],[Seconds of Use]]=0,0,Table1[[#This Row],[Customer Value]]/Table1[[#This Row],[Seconds of Use]]*100)</f>
        <v>14.55795918367347</v>
      </c>
    </row>
    <row r="845" spans="1:18" x14ac:dyDescent="0.35">
      <c r="A845" s="3" t="s">
        <v>866</v>
      </c>
      <c r="B845">
        <v>4</v>
      </c>
      <c r="C845">
        <v>0</v>
      </c>
      <c r="D845">
        <v>30</v>
      </c>
      <c r="E845">
        <v>1</v>
      </c>
      <c r="F845">
        <v>3225</v>
      </c>
      <c r="G845">
        <v>67</v>
      </c>
      <c r="H845">
        <v>16</v>
      </c>
      <c r="I845">
        <v>24</v>
      </c>
      <c r="J845">
        <v>3</v>
      </c>
      <c r="K845">
        <v>1</v>
      </c>
      <c r="L845">
        <v>1</v>
      </c>
      <c r="M845">
        <v>30</v>
      </c>
      <c r="N845">
        <v>195.68</v>
      </c>
      <c r="O845">
        <v>0</v>
      </c>
      <c r="P8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45" t="str">
        <f>IF(Table1[[#This Row],[Fraud_Score]]&gt;=6, "High Risk",IF(Table1[[#This Row],[Fraud_Score]]&gt;=3, "Medium Risk", "Low Risk"))</f>
        <v>Low Risk</v>
      </c>
      <c r="R845">
        <f>IF(Table1[[#This Row],[Seconds of Use]]=0,0,Table1[[#This Row],[Customer Value]]/Table1[[#This Row],[Seconds of Use]]*100)</f>
        <v>6.0675968992248066</v>
      </c>
    </row>
    <row r="846" spans="1:18" x14ac:dyDescent="0.35">
      <c r="A846" s="3" t="s">
        <v>867</v>
      </c>
      <c r="B846">
        <v>4</v>
      </c>
      <c r="C846">
        <v>0</v>
      </c>
      <c r="D846">
        <v>23</v>
      </c>
      <c r="E846">
        <v>1</v>
      </c>
      <c r="F846">
        <v>1695</v>
      </c>
      <c r="G846">
        <v>32</v>
      </c>
      <c r="H846">
        <v>36</v>
      </c>
      <c r="I846">
        <v>15</v>
      </c>
      <c r="J846">
        <v>3</v>
      </c>
      <c r="K846">
        <v>1</v>
      </c>
      <c r="L846">
        <v>1</v>
      </c>
      <c r="M846">
        <v>30</v>
      </c>
      <c r="N846">
        <v>213.08</v>
      </c>
      <c r="O846">
        <v>0</v>
      </c>
      <c r="P8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46" t="str">
        <f>IF(Table1[[#This Row],[Fraud_Score]]&gt;=6, "High Risk",IF(Table1[[#This Row],[Fraud_Score]]&gt;=3, "Medium Risk", "Low Risk"))</f>
        <v>Low Risk</v>
      </c>
      <c r="R846">
        <f>IF(Table1[[#This Row],[Seconds of Use]]=0,0,Table1[[#This Row],[Customer Value]]/Table1[[#This Row],[Seconds of Use]]*100)</f>
        <v>12.571091445427729</v>
      </c>
    </row>
    <row r="847" spans="1:18" x14ac:dyDescent="0.35">
      <c r="A847" s="3" t="s">
        <v>868</v>
      </c>
      <c r="B847">
        <v>18</v>
      </c>
      <c r="C847">
        <v>0</v>
      </c>
      <c r="D847">
        <v>22</v>
      </c>
      <c r="E847">
        <v>2</v>
      </c>
      <c r="F847">
        <v>6392</v>
      </c>
      <c r="G847">
        <v>147</v>
      </c>
      <c r="H847">
        <v>93</v>
      </c>
      <c r="I847">
        <v>43</v>
      </c>
      <c r="J847">
        <v>2</v>
      </c>
      <c r="K847">
        <v>2</v>
      </c>
      <c r="L847">
        <v>1</v>
      </c>
      <c r="M847">
        <v>25</v>
      </c>
      <c r="N847">
        <v>712.755</v>
      </c>
      <c r="O847">
        <v>0</v>
      </c>
      <c r="P8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47" t="str">
        <f>IF(Table1[[#This Row],[Fraud_Score]]&gt;=6, "High Risk",IF(Table1[[#This Row],[Fraud_Score]]&gt;=3, "Medium Risk", "Low Risk"))</f>
        <v>Medium Risk</v>
      </c>
      <c r="R847">
        <f>IF(Table1[[#This Row],[Seconds of Use]]=0,0,Table1[[#This Row],[Customer Value]]/Table1[[#This Row],[Seconds of Use]]*100)</f>
        <v>11.150735294117647</v>
      </c>
    </row>
    <row r="848" spans="1:18" x14ac:dyDescent="0.35">
      <c r="A848" s="3" t="s">
        <v>869</v>
      </c>
      <c r="B848">
        <v>14</v>
      </c>
      <c r="C848">
        <v>0</v>
      </c>
      <c r="D848">
        <v>20</v>
      </c>
      <c r="E848">
        <v>1</v>
      </c>
      <c r="F848">
        <v>8932</v>
      </c>
      <c r="G848">
        <v>177</v>
      </c>
      <c r="H848">
        <v>81</v>
      </c>
      <c r="I848">
        <v>41</v>
      </c>
      <c r="J848">
        <v>5</v>
      </c>
      <c r="K848">
        <v>1</v>
      </c>
      <c r="L848">
        <v>1</v>
      </c>
      <c r="M848">
        <v>55</v>
      </c>
      <c r="N848">
        <v>258.13499999999999</v>
      </c>
      <c r="O848">
        <v>0</v>
      </c>
      <c r="P8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48" t="str">
        <f>IF(Table1[[#This Row],[Fraud_Score]]&gt;=6, "High Risk",IF(Table1[[#This Row],[Fraud_Score]]&gt;=3, "Medium Risk", "Low Risk"))</f>
        <v>Medium Risk</v>
      </c>
      <c r="R848">
        <f>IF(Table1[[#This Row],[Seconds of Use]]=0,0,Table1[[#This Row],[Customer Value]]/Table1[[#This Row],[Seconds of Use]]*100)</f>
        <v>2.8900022391401698</v>
      </c>
    </row>
    <row r="849" spans="1:18" x14ac:dyDescent="0.35">
      <c r="A849" s="3" t="s">
        <v>870</v>
      </c>
      <c r="B849">
        <v>10</v>
      </c>
      <c r="C849">
        <v>0</v>
      </c>
      <c r="D849">
        <v>21</v>
      </c>
      <c r="E849">
        <v>4</v>
      </c>
      <c r="F849">
        <v>2852</v>
      </c>
      <c r="G849">
        <v>51</v>
      </c>
      <c r="H849">
        <v>39</v>
      </c>
      <c r="I849">
        <v>20</v>
      </c>
      <c r="J849">
        <v>3</v>
      </c>
      <c r="K849">
        <v>1</v>
      </c>
      <c r="L849">
        <v>1</v>
      </c>
      <c r="M849">
        <v>30</v>
      </c>
      <c r="N849">
        <v>272.12</v>
      </c>
      <c r="O849">
        <v>0</v>
      </c>
      <c r="P8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49" t="str">
        <f>IF(Table1[[#This Row],[Fraud_Score]]&gt;=6, "High Risk",IF(Table1[[#This Row],[Fraud_Score]]&gt;=3, "Medium Risk", "Low Risk"))</f>
        <v>Low Risk</v>
      </c>
      <c r="R849">
        <f>IF(Table1[[#This Row],[Seconds of Use]]=0,0,Table1[[#This Row],[Customer Value]]/Table1[[#This Row],[Seconds of Use]]*100)</f>
        <v>9.5413744740532955</v>
      </c>
    </row>
    <row r="850" spans="1:18" x14ac:dyDescent="0.35">
      <c r="A850" s="3" t="s">
        <v>871</v>
      </c>
      <c r="B850">
        <v>4</v>
      </c>
      <c r="C850">
        <v>0</v>
      </c>
      <c r="D850">
        <v>14</v>
      </c>
      <c r="E850">
        <v>2</v>
      </c>
      <c r="F850">
        <v>4390</v>
      </c>
      <c r="G850">
        <v>46</v>
      </c>
      <c r="H850">
        <v>223</v>
      </c>
      <c r="I850">
        <v>11</v>
      </c>
      <c r="J850">
        <v>3</v>
      </c>
      <c r="K850">
        <v>1</v>
      </c>
      <c r="L850">
        <v>1</v>
      </c>
      <c r="M850">
        <v>30</v>
      </c>
      <c r="N850">
        <v>1069.44</v>
      </c>
      <c r="O850">
        <v>0</v>
      </c>
      <c r="P8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50" t="str">
        <f>IF(Table1[[#This Row],[Fraud_Score]]&gt;=6, "High Risk",IF(Table1[[#This Row],[Fraud_Score]]&gt;=3, "Medium Risk", "Low Risk"))</f>
        <v>Low Risk</v>
      </c>
      <c r="R850">
        <f>IF(Table1[[#This Row],[Seconds of Use]]=0,0,Table1[[#This Row],[Customer Value]]/Table1[[#This Row],[Seconds of Use]]*100)</f>
        <v>24.360820045558089</v>
      </c>
    </row>
    <row r="851" spans="1:18" x14ac:dyDescent="0.35">
      <c r="A851" s="3" t="s">
        <v>872</v>
      </c>
      <c r="B851">
        <v>5</v>
      </c>
      <c r="C851">
        <v>1</v>
      </c>
      <c r="D851">
        <v>14</v>
      </c>
      <c r="E851">
        <v>2</v>
      </c>
      <c r="F851">
        <v>1487</v>
      </c>
      <c r="G851">
        <v>25</v>
      </c>
      <c r="H851">
        <v>8</v>
      </c>
      <c r="I851">
        <v>8</v>
      </c>
      <c r="J851">
        <v>3</v>
      </c>
      <c r="K851">
        <v>1</v>
      </c>
      <c r="L851">
        <v>1</v>
      </c>
      <c r="M851">
        <v>30</v>
      </c>
      <c r="N851">
        <v>92.48</v>
      </c>
      <c r="O851">
        <v>1</v>
      </c>
      <c r="P8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51" t="str">
        <f>IF(Table1[[#This Row],[Fraud_Score]]&gt;=6, "High Risk",IF(Table1[[#This Row],[Fraud_Score]]&gt;=3, "Medium Risk", "Low Risk"))</f>
        <v>Low Risk</v>
      </c>
      <c r="R851">
        <f>IF(Table1[[#This Row],[Seconds of Use]]=0,0,Table1[[#This Row],[Customer Value]]/Table1[[#This Row],[Seconds of Use]]*100)</f>
        <v>6.2192333557498323</v>
      </c>
    </row>
    <row r="852" spans="1:18" x14ac:dyDescent="0.35">
      <c r="A852" s="3" t="s">
        <v>873</v>
      </c>
      <c r="B852">
        <v>14</v>
      </c>
      <c r="C852">
        <v>0</v>
      </c>
      <c r="D852">
        <v>39</v>
      </c>
      <c r="E852">
        <v>1</v>
      </c>
      <c r="F852">
        <v>5080</v>
      </c>
      <c r="G852">
        <v>82</v>
      </c>
      <c r="H852">
        <v>30</v>
      </c>
      <c r="I852">
        <v>17</v>
      </c>
      <c r="J852">
        <v>3</v>
      </c>
      <c r="K852">
        <v>1</v>
      </c>
      <c r="L852">
        <v>1</v>
      </c>
      <c r="M852">
        <v>30</v>
      </c>
      <c r="N852">
        <v>326.48</v>
      </c>
      <c r="O852">
        <v>0</v>
      </c>
      <c r="P8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52" t="str">
        <f>IF(Table1[[#This Row],[Fraud_Score]]&gt;=6, "High Risk",IF(Table1[[#This Row],[Fraud_Score]]&gt;=3, "Medium Risk", "Low Risk"))</f>
        <v>Low Risk</v>
      </c>
      <c r="R852">
        <f>IF(Table1[[#This Row],[Seconds of Use]]=0,0,Table1[[#This Row],[Customer Value]]/Table1[[#This Row],[Seconds of Use]]*100)</f>
        <v>6.4267716535433079</v>
      </c>
    </row>
    <row r="853" spans="1:18" x14ac:dyDescent="0.35">
      <c r="A853" s="3" t="s">
        <v>874</v>
      </c>
      <c r="B853">
        <v>6</v>
      </c>
      <c r="C853">
        <v>0</v>
      </c>
      <c r="D853">
        <v>40</v>
      </c>
      <c r="E853">
        <v>0</v>
      </c>
      <c r="F853">
        <v>1028</v>
      </c>
      <c r="G853">
        <v>16</v>
      </c>
      <c r="H853">
        <v>15</v>
      </c>
      <c r="I853">
        <v>4</v>
      </c>
      <c r="J853">
        <v>3</v>
      </c>
      <c r="K853">
        <v>1</v>
      </c>
      <c r="L853">
        <v>2</v>
      </c>
      <c r="M853">
        <v>30</v>
      </c>
      <c r="N853">
        <v>101.76</v>
      </c>
      <c r="O853">
        <v>0</v>
      </c>
      <c r="P8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53" t="str">
        <f>IF(Table1[[#This Row],[Fraud_Score]]&gt;=6, "High Risk",IF(Table1[[#This Row],[Fraud_Score]]&gt;=3, "Medium Risk", "Low Risk"))</f>
        <v>Low Risk</v>
      </c>
      <c r="R853">
        <f>IF(Table1[[#This Row],[Seconds of Use]]=0,0,Table1[[#This Row],[Customer Value]]/Table1[[#This Row],[Seconds of Use]]*100)</f>
        <v>9.8988326848249031</v>
      </c>
    </row>
    <row r="854" spans="1:18" x14ac:dyDescent="0.35">
      <c r="A854" s="3" t="s">
        <v>875</v>
      </c>
      <c r="B854">
        <v>16</v>
      </c>
      <c r="C854">
        <v>0</v>
      </c>
      <c r="D854">
        <v>38</v>
      </c>
      <c r="E854">
        <v>1</v>
      </c>
      <c r="F854">
        <v>3163</v>
      </c>
      <c r="G854">
        <v>71</v>
      </c>
      <c r="H854">
        <v>367</v>
      </c>
      <c r="I854">
        <v>24</v>
      </c>
      <c r="J854">
        <v>3</v>
      </c>
      <c r="K854">
        <v>1</v>
      </c>
      <c r="L854">
        <v>1</v>
      </c>
      <c r="M854">
        <v>30</v>
      </c>
      <c r="N854">
        <v>1597.36</v>
      </c>
      <c r="O854">
        <v>0</v>
      </c>
      <c r="P8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54" t="str">
        <f>IF(Table1[[#This Row],[Fraud_Score]]&gt;=6, "High Risk",IF(Table1[[#This Row],[Fraud_Score]]&gt;=3, "Medium Risk", "Low Risk"))</f>
        <v>Low Risk</v>
      </c>
      <c r="R854">
        <f>IF(Table1[[#This Row],[Seconds of Use]]=0,0,Table1[[#This Row],[Customer Value]]/Table1[[#This Row],[Seconds of Use]]*100)</f>
        <v>50.50142269996838</v>
      </c>
    </row>
    <row r="855" spans="1:18" x14ac:dyDescent="0.35">
      <c r="A855" s="3" t="s">
        <v>876</v>
      </c>
      <c r="B855">
        <v>16</v>
      </c>
      <c r="C855">
        <v>0</v>
      </c>
      <c r="D855">
        <v>39</v>
      </c>
      <c r="E855">
        <v>1</v>
      </c>
      <c r="F855">
        <v>4908</v>
      </c>
      <c r="G855">
        <v>77</v>
      </c>
      <c r="H855">
        <v>9</v>
      </c>
      <c r="I855">
        <v>35</v>
      </c>
      <c r="J855">
        <v>1</v>
      </c>
      <c r="K855">
        <v>1</v>
      </c>
      <c r="L855">
        <v>1</v>
      </c>
      <c r="M855">
        <v>15</v>
      </c>
      <c r="N855">
        <v>323.67500000000001</v>
      </c>
      <c r="O855">
        <v>0</v>
      </c>
      <c r="P8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55" t="str">
        <f>IF(Table1[[#This Row],[Fraud_Score]]&gt;=6, "High Risk",IF(Table1[[#This Row],[Fraud_Score]]&gt;=3, "Medium Risk", "Low Risk"))</f>
        <v>Low Risk</v>
      </c>
      <c r="R855">
        <f>IF(Table1[[#This Row],[Seconds of Use]]=0,0,Table1[[#This Row],[Customer Value]]/Table1[[#This Row],[Seconds of Use]]*100)</f>
        <v>6.5948451507742467</v>
      </c>
    </row>
    <row r="856" spans="1:18" x14ac:dyDescent="0.35">
      <c r="A856" s="3" t="s">
        <v>877</v>
      </c>
      <c r="B856">
        <v>9</v>
      </c>
      <c r="C856">
        <v>0</v>
      </c>
      <c r="D856">
        <v>39</v>
      </c>
      <c r="E856">
        <v>1</v>
      </c>
      <c r="F856">
        <v>3103</v>
      </c>
      <c r="G856">
        <v>69</v>
      </c>
      <c r="H856">
        <v>10</v>
      </c>
      <c r="I856">
        <v>33</v>
      </c>
      <c r="J856">
        <v>2</v>
      </c>
      <c r="K856">
        <v>1</v>
      </c>
      <c r="L856">
        <v>1</v>
      </c>
      <c r="M856">
        <v>25</v>
      </c>
      <c r="N856">
        <v>187.74</v>
      </c>
      <c r="O856">
        <v>0</v>
      </c>
      <c r="P8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56" t="str">
        <f>IF(Table1[[#This Row],[Fraud_Score]]&gt;=6, "High Risk",IF(Table1[[#This Row],[Fraud_Score]]&gt;=3, "Medium Risk", "Low Risk"))</f>
        <v>Low Risk</v>
      </c>
      <c r="R856">
        <f>IF(Table1[[#This Row],[Seconds of Use]]=0,0,Table1[[#This Row],[Customer Value]]/Table1[[#This Row],[Seconds of Use]]*100)</f>
        <v>6.0502739284563329</v>
      </c>
    </row>
    <row r="857" spans="1:18" x14ac:dyDescent="0.35">
      <c r="A857" s="3" t="s">
        <v>878</v>
      </c>
      <c r="B857">
        <v>17</v>
      </c>
      <c r="C857">
        <v>0</v>
      </c>
      <c r="D857">
        <v>39</v>
      </c>
      <c r="E857">
        <v>2</v>
      </c>
      <c r="F857">
        <v>4485</v>
      </c>
      <c r="G857">
        <v>93</v>
      </c>
      <c r="H857">
        <v>40</v>
      </c>
      <c r="I857">
        <v>28</v>
      </c>
      <c r="J857">
        <v>3</v>
      </c>
      <c r="K857">
        <v>1</v>
      </c>
      <c r="L857">
        <v>1</v>
      </c>
      <c r="M857">
        <v>30</v>
      </c>
      <c r="N857">
        <v>343.12</v>
      </c>
      <c r="O857">
        <v>0</v>
      </c>
      <c r="P8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57" t="str">
        <f>IF(Table1[[#This Row],[Fraud_Score]]&gt;=6, "High Risk",IF(Table1[[#This Row],[Fraud_Score]]&gt;=3, "Medium Risk", "Low Risk"))</f>
        <v>Low Risk</v>
      </c>
      <c r="R857">
        <f>IF(Table1[[#This Row],[Seconds of Use]]=0,0,Table1[[#This Row],[Customer Value]]/Table1[[#This Row],[Seconds of Use]]*100)</f>
        <v>7.6503901895206239</v>
      </c>
    </row>
    <row r="858" spans="1:18" x14ac:dyDescent="0.35">
      <c r="A858" s="3" t="s">
        <v>879</v>
      </c>
      <c r="B858">
        <v>10</v>
      </c>
      <c r="C858">
        <v>0</v>
      </c>
      <c r="D858">
        <v>39</v>
      </c>
      <c r="E858">
        <v>1</v>
      </c>
      <c r="F858">
        <v>3070</v>
      </c>
      <c r="G858">
        <v>50</v>
      </c>
      <c r="H858">
        <v>293</v>
      </c>
      <c r="I858">
        <v>18</v>
      </c>
      <c r="J858">
        <v>3</v>
      </c>
      <c r="K858">
        <v>1</v>
      </c>
      <c r="L858">
        <v>1</v>
      </c>
      <c r="M858">
        <v>30</v>
      </c>
      <c r="N858">
        <v>1296.8</v>
      </c>
      <c r="O858">
        <v>0</v>
      </c>
      <c r="P8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58" t="str">
        <f>IF(Table1[[#This Row],[Fraud_Score]]&gt;=6, "High Risk",IF(Table1[[#This Row],[Fraud_Score]]&gt;=3, "Medium Risk", "Low Risk"))</f>
        <v>Low Risk</v>
      </c>
      <c r="R858">
        <f>IF(Table1[[#This Row],[Seconds of Use]]=0,0,Table1[[#This Row],[Customer Value]]/Table1[[#This Row],[Seconds of Use]]*100)</f>
        <v>42.241042345276867</v>
      </c>
    </row>
    <row r="859" spans="1:18" x14ac:dyDescent="0.35">
      <c r="A859" s="3" t="s">
        <v>880</v>
      </c>
      <c r="B859">
        <v>19</v>
      </c>
      <c r="C859">
        <v>0</v>
      </c>
      <c r="D859">
        <v>38</v>
      </c>
      <c r="E859">
        <v>3</v>
      </c>
      <c r="F859">
        <v>9825</v>
      </c>
      <c r="G859">
        <v>132</v>
      </c>
      <c r="H859">
        <v>152</v>
      </c>
      <c r="I859">
        <v>43</v>
      </c>
      <c r="J859">
        <v>3</v>
      </c>
      <c r="K859">
        <v>1</v>
      </c>
      <c r="L859">
        <v>1</v>
      </c>
      <c r="M859">
        <v>30</v>
      </c>
      <c r="N859">
        <v>1006.28</v>
      </c>
      <c r="O859">
        <v>0</v>
      </c>
      <c r="P8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59" t="str">
        <f>IF(Table1[[#This Row],[Fraud_Score]]&gt;=6, "High Risk",IF(Table1[[#This Row],[Fraud_Score]]&gt;=3, "Medium Risk", "Low Risk"))</f>
        <v>Low Risk</v>
      </c>
      <c r="R859">
        <f>IF(Table1[[#This Row],[Seconds of Use]]=0,0,Table1[[#This Row],[Customer Value]]/Table1[[#This Row],[Seconds of Use]]*100)</f>
        <v>10.242035623409668</v>
      </c>
    </row>
    <row r="860" spans="1:18" x14ac:dyDescent="0.35">
      <c r="A860" s="3" t="s">
        <v>881</v>
      </c>
      <c r="B860">
        <v>13</v>
      </c>
      <c r="C860">
        <v>0</v>
      </c>
      <c r="D860">
        <v>39</v>
      </c>
      <c r="E860">
        <v>1</v>
      </c>
      <c r="F860">
        <v>14483</v>
      </c>
      <c r="G860">
        <v>180</v>
      </c>
      <c r="H860">
        <v>8</v>
      </c>
      <c r="I860">
        <v>44</v>
      </c>
      <c r="J860">
        <v>3</v>
      </c>
      <c r="K860">
        <v>1</v>
      </c>
      <c r="L860">
        <v>1</v>
      </c>
      <c r="M860">
        <v>30</v>
      </c>
      <c r="N860">
        <v>618.52</v>
      </c>
      <c r="O860">
        <v>0</v>
      </c>
      <c r="P8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60" t="str">
        <f>IF(Table1[[#This Row],[Fraud_Score]]&gt;=6, "High Risk",IF(Table1[[#This Row],[Fraud_Score]]&gt;=3, "Medium Risk", "Low Risk"))</f>
        <v>Medium Risk</v>
      </c>
      <c r="R860">
        <f>IF(Table1[[#This Row],[Seconds of Use]]=0,0,Table1[[#This Row],[Customer Value]]/Table1[[#This Row],[Seconds of Use]]*100)</f>
        <v>4.27066215563074</v>
      </c>
    </row>
    <row r="861" spans="1:18" x14ac:dyDescent="0.35">
      <c r="A861" s="3" t="s">
        <v>882</v>
      </c>
      <c r="B861">
        <v>13</v>
      </c>
      <c r="C861">
        <v>0</v>
      </c>
      <c r="D861">
        <v>39</v>
      </c>
      <c r="E861">
        <v>2</v>
      </c>
      <c r="F861">
        <v>5225</v>
      </c>
      <c r="G861">
        <v>94</v>
      </c>
      <c r="H861">
        <v>10</v>
      </c>
      <c r="I861">
        <v>25</v>
      </c>
      <c r="J861">
        <v>3</v>
      </c>
      <c r="K861">
        <v>1</v>
      </c>
      <c r="L861">
        <v>1</v>
      </c>
      <c r="M861">
        <v>30</v>
      </c>
      <c r="N861">
        <v>252.76</v>
      </c>
      <c r="O861">
        <v>0</v>
      </c>
      <c r="P8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61" t="str">
        <f>IF(Table1[[#This Row],[Fraud_Score]]&gt;=6, "High Risk",IF(Table1[[#This Row],[Fraud_Score]]&gt;=3, "Medium Risk", "Low Risk"))</f>
        <v>Low Risk</v>
      </c>
      <c r="R861">
        <f>IF(Table1[[#This Row],[Seconds of Use]]=0,0,Table1[[#This Row],[Customer Value]]/Table1[[#This Row],[Seconds of Use]]*100)</f>
        <v>4.8375119617224875</v>
      </c>
    </row>
    <row r="862" spans="1:18" x14ac:dyDescent="0.35">
      <c r="A862" s="3" t="s">
        <v>883</v>
      </c>
      <c r="B862">
        <v>12</v>
      </c>
      <c r="C862">
        <v>0</v>
      </c>
      <c r="D862">
        <v>39</v>
      </c>
      <c r="E862">
        <v>1</v>
      </c>
      <c r="F862">
        <v>6628</v>
      </c>
      <c r="G862">
        <v>106</v>
      </c>
      <c r="H862">
        <v>15</v>
      </c>
      <c r="I862">
        <v>12</v>
      </c>
      <c r="J862">
        <v>3</v>
      </c>
      <c r="K862">
        <v>1</v>
      </c>
      <c r="L862">
        <v>1</v>
      </c>
      <c r="M862">
        <v>30</v>
      </c>
      <c r="N862">
        <v>329.36</v>
      </c>
      <c r="O862">
        <v>0</v>
      </c>
      <c r="P8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62" t="str">
        <f>IF(Table1[[#This Row],[Fraud_Score]]&gt;=6, "High Risk",IF(Table1[[#This Row],[Fraud_Score]]&gt;=3, "Medium Risk", "Low Risk"))</f>
        <v>Low Risk</v>
      </c>
      <c r="R862">
        <f>IF(Table1[[#This Row],[Seconds of Use]]=0,0,Table1[[#This Row],[Customer Value]]/Table1[[#This Row],[Seconds of Use]]*100)</f>
        <v>4.9692214846107428</v>
      </c>
    </row>
    <row r="863" spans="1:18" x14ac:dyDescent="0.35">
      <c r="A863" s="3" t="s">
        <v>884</v>
      </c>
      <c r="B863">
        <v>15</v>
      </c>
      <c r="C863">
        <v>0</v>
      </c>
      <c r="D863">
        <v>39</v>
      </c>
      <c r="E863">
        <v>0</v>
      </c>
      <c r="F863">
        <v>2948</v>
      </c>
      <c r="G863">
        <v>65</v>
      </c>
      <c r="H863">
        <v>16</v>
      </c>
      <c r="I863">
        <v>17</v>
      </c>
      <c r="J863">
        <v>3</v>
      </c>
      <c r="K863">
        <v>1</v>
      </c>
      <c r="L863">
        <v>2</v>
      </c>
      <c r="M863">
        <v>30</v>
      </c>
      <c r="N863">
        <v>184.52</v>
      </c>
      <c r="O863">
        <v>0</v>
      </c>
      <c r="P8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863" t="str">
        <f>IF(Table1[[#This Row],[Fraud_Score]]&gt;=6, "High Risk",IF(Table1[[#This Row],[Fraud_Score]]&gt;=3, "Medium Risk", "Low Risk"))</f>
        <v>Medium Risk</v>
      </c>
      <c r="R863">
        <f>IF(Table1[[#This Row],[Seconds of Use]]=0,0,Table1[[#This Row],[Customer Value]]/Table1[[#This Row],[Seconds of Use]]*100)</f>
        <v>6.2591587516960656</v>
      </c>
    </row>
    <row r="864" spans="1:18" x14ac:dyDescent="0.35">
      <c r="A864" s="3" t="s">
        <v>885</v>
      </c>
      <c r="B864">
        <v>31</v>
      </c>
      <c r="C864">
        <v>1</v>
      </c>
      <c r="D864">
        <v>39</v>
      </c>
      <c r="E864">
        <v>4</v>
      </c>
      <c r="F864">
        <v>15850</v>
      </c>
      <c r="G864">
        <v>236</v>
      </c>
      <c r="H864">
        <v>62</v>
      </c>
      <c r="I864">
        <v>32</v>
      </c>
      <c r="J864">
        <v>3</v>
      </c>
      <c r="K864">
        <v>1</v>
      </c>
      <c r="L864">
        <v>1</v>
      </c>
      <c r="M864">
        <v>30</v>
      </c>
      <c r="N864">
        <v>891.44</v>
      </c>
      <c r="O864">
        <v>0</v>
      </c>
      <c r="P8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6</v>
      </c>
      <c r="Q864" t="str">
        <f>IF(Table1[[#This Row],[Fraud_Score]]&gt;=6, "High Risk",IF(Table1[[#This Row],[Fraud_Score]]&gt;=3, "Medium Risk", "Low Risk"))</f>
        <v>High Risk</v>
      </c>
      <c r="R864">
        <f>IF(Table1[[#This Row],[Seconds of Use]]=0,0,Table1[[#This Row],[Customer Value]]/Table1[[#This Row],[Seconds of Use]]*100)</f>
        <v>5.6242271293375401</v>
      </c>
    </row>
    <row r="865" spans="1:18" x14ac:dyDescent="0.35">
      <c r="A865" s="3" t="s">
        <v>886</v>
      </c>
      <c r="B865">
        <v>10</v>
      </c>
      <c r="C865">
        <v>0</v>
      </c>
      <c r="D865">
        <v>39</v>
      </c>
      <c r="E865">
        <v>2</v>
      </c>
      <c r="F865">
        <v>3805</v>
      </c>
      <c r="G865">
        <v>38</v>
      </c>
      <c r="H865">
        <v>491</v>
      </c>
      <c r="I865">
        <v>8</v>
      </c>
      <c r="J865">
        <v>3</v>
      </c>
      <c r="K865">
        <v>1</v>
      </c>
      <c r="L865">
        <v>1</v>
      </c>
      <c r="M865">
        <v>30</v>
      </c>
      <c r="N865">
        <v>2117.7199999999998</v>
      </c>
      <c r="O865">
        <v>0</v>
      </c>
      <c r="P8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65" t="str">
        <f>IF(Table1[[#This Row],[Fraud_Score]]&gt;=6, "High Risk",IF(Table1[[#This Row],[Fraud_Score]]&gt;=3, "Medium Risk", "Low Risk"))</f>
        <v>Low Risk</v>
      </c>
      <c r="R865">
        <f>IF(Table1[[#This Row],[Seconds of Use]]=0,0,Table1[[#This Row],[Customer Value]]/Table1[[#This Row],[Seconds of Use]]*100)</f>
        <v>55.656241787122205</v>
      </c>
    </row>
    <row r="866" spans="1:18" x14ac:dyDescent="0.35">
      <c r="A866" s="3" t="s">
        <v>887</v>
      </c>
      <c r="B866">
        <v>15</v>
      </c>
      <c r="C866">
        <v>0</v>
      </c>
      <c r="D866">
        <v>38</v>
      </c>
      <c r="E866">
        <v>1</v>
      </c>
      <c r="F866">
        <v>16195</v>
      </c>
      <c r="G866">
        <v>193</v>
      </c>
      <c r="H866">
        <v>158</v>
      </c>
      <c r="I866">
        <v>30</v>
      </c>
      <c r="J866">
        <v>2</v>
      </c>
      <c r="K866">
        <v>1</v>
      </c>
      <c r="L866">
        <v>1</v>
      </c>
      <c r="M866">
        <v>25</v>
      </c>
      <c r="N866">
        <v>1448.46</v>
      </c>
      <c r="O866">
        <v>0</v>
      </c>
      <c r="P8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66" t="str">
        <f>IF(Table1[[#This Row],[Fraud_Score]]&gt;=6, "High Risk",IF(Table1[[#This Row],[Fraud_Score]]&gt;=3, "Medium Risk", "Low Risk"))</f>
        <v>Medium Risk</v>
      </c>
      <c r="R866">
        <f>IF(Table1[[#This Row],[Seconds of Use]]=0,0,Table1[[#This Row],[Customer Value]]/Table1[[#This Row],[Seconds of Use]]*100)</f>
        <v>8.9438715652979308</v>
      </c>
    </row>
    <row r="867" spans="1:18" x14ac:dyDescent="0.35">
      <c r="A867" s="3" t="s">
        <v>888</v>
      </c>
      <c r="B867">
        <v>9</v>
      </c>
      <c r="C867">
        <v>0</v>
      </c>
      <c r="D867">
        <v>38</v>
      </c>
      <c r="E867">
        <v>2</v>
      </c>
      <c r="F867">
        <v>7210</v>
      </c>
      <c r="G867">
        <v>97</v>
      </c>
      <c r="H867">
        <v>194</v>
      </c>
      <c r="I867">
        <v>26</v>
      </c>
      <c r="J867">
        <v>3</v>
      </c>
      <c r="K867">
        <v>1</v>
      </c>
      <c r="L867">
        <v>1</v>
      </c>
      <c r="M867">
        <v>30</v>
      </c>
      <c r="N867">
        <v>1068.28</v>
      </c>
      <c r="O867">
        <v>0</v>
      </c>
      <c r="P8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67" t="str">
        <f>IF(Table1[[#This Row],[Fraud_Score]]&gt;=6, "High Risk",IF(Table1[[#This Row],[Fraud_Score]]&gt;=3, "Medium Risk", "Low Risk"))</f>
        <v>Low Risk</v>
      </c>
      <c r="R867">
        <f>IF(Table1[[#This Row],[Seconds of Use]]=0,0,Table1[[#This Row],[Customer Value]]/Table1[[#This Row],[Seconds of Use]]*100)</f>
        <v>14.816643550624134</v>
      </c>
    </row>
    <row r="868" spans="1:18" x14ac:dyDescent="0.35">
      <c r="A868" s="3" t="s">
        <v>889</v>
      </c>
      <c r="B868">
        <v>6</v>
      </c>
      <c r="C868">
        <v>0</v>
      </c>
      <c r="D868">
        <v>38</v>
      </c>
      <c r="E868">
        <v>0</v>
      </c>
      <c r="F868">
        <v>1585</v>
      </c>
      <c r="G868">
        <v>25</v>
      </c>
      <c r="H868">
        <v>8</v>
      </c>
      <c r="I868">
        <v>11</v>
      </c>
      <c r="J868">
        <v>2</v>
      </c>
      <c r="K868">
        <v>1</v>
      </c>
      <c r="L868">
        <v>2</v>
      </c>
      <c r="M868">
        <v>25</v>
      </c>
      <c r="N868">
        <v>108.45</v>
      </c>
      <c r="O868">
        <v>0</v>
      </c>
      <c r="P8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68" t="str">
        <f>IF(Table1[[#This Row],[Fraud_Score]]&gt;=6, "High Risk",IF(Table1[[#This Row],[Fraud_Score]]&gt;=3, "Medium Risk", "Low Risk"))</f>
        <v>Low Risk</v>
      </c>
      <c r="R868">
        <f>IF(Table1[[#This Row],[Seconds of Use]]=0,0,Table1[[#This Row],[Customer Value]]/Table1[[#This Row],[Seconds of Use]]*100)</f>
        <v>6.8422712933753944</v>
      </c>
    </row>
    <row r="869" spans="1:18" x14ac:dyDescent="0.35">
      <c r="A869" s="3" t="s">
        <v>890</v>
      </c>
      <c r="B869">
        <v>8</v>
      </c>
      <c r="C869">
        <v>0</v>
      </c>
      <c r="D869">
        <v>39</v>
      </c>
      <c r="E869">
        <v>0</v>
      </c>
      <c r="F869">
        <v>1420</v>
      </c>
      <c r="G869">
        <v>25</v>
      </c>
      <c r="H869">
        <v>21</v>
      </c>
      <c r="I869">
        <v>8</v>
      </c>
      <c r="J869">
        <v>3</v>
      </c>
      <c r="K869">
        <v>1</v>
      </c>
      <c r="L869">
        <v>2</v>
      </c>
      <c r="M869">
        <v>30</v>
      </c>
      <c r="N869">
        <v>141.80000000000001</v>
      </c>
      <c r="O869">
        <v>0</v>
      </c>
      <c r="P8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69" t="str">
        <f>IF(Table1[[#This Row],[Fraud_Score]]&gt;=6, "High Risk",IF(Table1[[#This Row],[Fraud_Score]]&gt;=3, "Medium Risk", "Low Risk"))</f>
        <v>Low Risk</v>
      </c>
      <c r="R869">
        <f>IF(Table1[[#This Row],[Seconds of Use]]=0,0,Table1[[#This Row],[Customer Value]]/Table1[[#This Row],[Seconds of Use]]*100)</f>
        <v>9.9859154929577478</v>
      </c>
    </row>
    <row r="870" spans="1:18" x14ac:dyDescent="0.35">
      <c r="A870" s="3" t="s">
        <v>891</v>
      </c>
      <c r="B870">
        <v>6</v>
      </c>
      <c r="C870">
        <v>0</v>
      </c>
      <c r="D870">
        <v>38</v>
      </c>
      <c r="E870">
        <v>0</v>
      </c>
      <c r="F870">
        <v>710</v>
      </c>
      <c r="G870">
        <v>11</v>
      </c>
      <c r="H870">
        <v>8</v>
      </c>
      <c r="I870">
        <v>2</v>
      </c>
      <c r="J870">
        <v>2</v>
      </c>
      <c r="K870">
        <v>1</v>
      </c>
      <c r="L870">
        <v>2</v>
      </c>
      <c r="M870">
        <v>25</v>
      </c>
      <c r="N870">
        <v>68.444999999999993</v>
      </c>
      <c r="O870">
        <v>1</v>
      </c>
      <c r="P8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70" t="str">
        <f>IF(Table1[[#This Row],[Fraud_Score]]&gt;=6, "High Risk",IF(Table1[[#This Row],[Fraud_Score]]&gt;=3, "Medium Risk", "Low Risk"))</f>
        <v>Low Risk</v>
      </c>
      <c r="R870">
        <f>IF(Table1[[#This Row],[Seconds of Use]]=0,0,Table1[[#This Row],[Customer Value]]/Table1[[#This Row],[Seconds of Use]]*100)</f>
        <v>9.6401408450704213</v>
      </c>
    </row>
    <row r="871" spans="1:18" x14ac:dyDescent="0.35">
      <c r="A871" s="3" t="s">
        <v>892</v>
      </c>
      <c r="B871">
        <v>9</v>
      </c>
      <c r="C871">
        <v>0</v>
      </c>
      <c r="D871">
        <v>38</v>
      </c>
      <c r="E871">
        <v>1</v>
      </c>
      <c r="F871">
        <v>8218</v>
      </c>
      <c r="G871">
        <v>138</v>
      </c>
      <c r="H871">
        <v>392</v>
      </c>
      <c r="I871">
        <v>43</v>
      </c>
      <c r="J871">
        <v>3</v>
      </c>
      <c r="K871">
        <v>1</v>
      </c>
      <c r="L871">
        <v>1</v>
      </c>
      <c r="M871">
        <v>30</v>
      </c>
      <c r="N871">
        <v>1902.24</v>
      </c>
      <c r="O871">
        <v>0</v>
      </c>
      <c r="P8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71" t="str">
        <f>IF(Table1[[#This Row],[Fraud_Score]]&gt;=6, "High Risk",IF(Table1[[#This Row],[Fraud_Score]]&gt;=3, "Medium Risk", "Low Risk"))</f>
        <v>Low Risk</v>
      </c>
      <c r="R871">
        <f>IF(Table1[[#This Row],[Seconds of Use]]=0,0,Table1[[#This Row],[Customer Value]]/Table1[[#This Row],[Seconds of Use]]*100)</f>
        <v>23.14723777074714</v>
      </c>
    </row>
    <row r="872" spans="1:18" x14ac:dyDescent="0.35">
      <c r="A872" s="3" t="s">
        <v>893</v>
      </c>
      <c r="B872">
        <v>13</v>
      </c>
      <c r="C872">
        <v>0</v>
      </c>
      <c r="D872">
        <v>38</v>
      </c>
      <c r="E872">
        <v>2</v>
      </c>
      <c r="F872">
        <v>12175</v>
      </c>
      <c r="G872">
        <v>165</v>
      </c>
      <c r="H872">
        <v>19</v>
      </c>
      <c r="I872">
        <v>47</v>
      </c>
      <c r="J872">
        <v>4</v>
      </c>
      <c r="K872">
        <v>1</v>
      </c>
      <c r="L872">
        <v>1</v>
      </c>
      <c r="M872">
        <v>45</v>
      </c>
      <c r="N872">
        <v>356</v>
      </c>
      <c r="O872">
        <v>0</v>
      </c>
      <c r="P8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72" t="str">
        <f>IF(Table1[[#This Row],[Fraud_Score]]&gt;=6, "High Risk",IF(Table1[[#This Row],[Fraud_Score]]&gt;=3, "Medium Risk", "Low Risk"))</f>
        <v>Medium Risk</v>
      </c>
      <c r="R872">
        <f>IF(Table1[[#This Row],[Seconds of Use]]=0,0,Table1[[#This Row],[Customer Value]]/Table1[[#This Row],[Seconds of Use]]*100)</f>
        <v>2.924024640657084</v>
      </c>
    </row>
    <row r="873" spans="1:18" x14ac:dyDescent="0.35">
      <c r="A873" s="3" t="s">
        <v>894</v>
      </c>
      <c r="B873">
        <v>14</v>
      </c>
      <c r="C873">
        <v>0</v>
      </c>
      <c r="D873">
        <v>38</v>
      </c>
      <c r="E873">
        <v>2</v>
      </c>
      <c r="F873">
        <v>7428</v>
      </c>
      <c r="G873">
        <v>86</v>
      </c>
      <c r="H873">
        <v>116</v>
      </c>
      <c r="I873">
        <v>37</v>
      </c>
      <c r="J873">
        <v>2</v>
      </c>
      <c r="K873">
        <v>1</v>
      </c>
      <c r="L873">
        <v>1</v>
      </c>
      <c r="M873">
        <v>25</v>
      </c>
      <c r="N873">
        <v>860.13</v>
      </c>
      <c r="O873">
        <v>0</v>
      </c>
      <c r="P8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73" t="str">
        <f>IF(Table1[[#This Row],[Fraud_Score]]&gt;=6, "High Risk",IF(Table1[[#This Row],[Fraud_Score]]&gt;=3, "Medium Risk", "Low Risk"))</f>
        <v>Low Risk</v>
      </c>
      <c r="R873">
        <f>IF(Table1[[#This Row],[Seconds of Use]]=0,0,Table1[[#This Row],[Customer Value]]/Table1[[#This Row],[Seconds of Use]]*100)</f>
        <v>11.57956381260097</v>
      </c>
    </row>
    <row r="874" spans="1:18" x14ac:dyDescent="0.35">
      <c r="A874" s="3" t="s">
        <v>895</v>
      </c>
      <c r="B874">
        <v>29</v>
      </c>
      <c r="C874">
        <v>1</v>
      </c>
      <c r="D874">
        <v>34</v>
      </c>
      <c r="E874">
        <v>0</v>
      </c>
      <c r="F874">
        <v>1665</v>
      </c>
      <c r="G874">
        <v>58</v>
      </c>
      <c r="H874">
        <v>24</v>
      </c>
      <c r="I874">
        <v>17</v>
      </c>
      <c r="J874">
        <v>3</v>
      </c>
      <c r="K874">
        <v>1</v>
      </c>
      <c r="L874">
        <v>2</v>
      </c>
      <c r="M874">
        <v>30</v>
      </c>
      <c r="N874">
        <v>164.92</v>
      </c>
      <c r="O874">
        <v>1</v>
      </c>
      <c r="P8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74" t="str">
        <f>IF(Table1[[#This Row],[Fraud_Score]]&gt;=6, "High Risk",IF(Table1[[#This Row],[Fraud_Score]]&gt;=3, "Medium Risk", "Low Risk"))</f>
        <v>Medium Risk</v>
      </c>
      <c r="R874">
        <f>IF(Table1[[#This Row],[Seconds of Use]]=0,0,Table1[[#This Row],[Customer Value]]/Table1[[#This Row],[Seconds of Use]]*100)</f>
        <v>9.905105105105104</v>
      </c>
    </row>
    <row r="875" spans="1:18" x14ac:dyDescent="0.35">
      <c r="A875" s="3" t="s">
        <v>896</v>
      </c>
      <c r="B875">
        <v>27</v>
      </c>
      <c r="C875">
        <v>0</v>
      </c>
      <c r="D875">
        <v>37</v>
      </c>
      <c r="E875">
        <v>9</v>
      </c>
      <c r="F875">
        <v>11145</v>
      </c>
      <c r="G875">
        <v>104</v>
      </c>
      <c r="H875">
        <v>9</v>
      </c>
      <c r="I875">
        <v>42</v>
      </c>
      <c r="J875">
        <v>5</v>
      </c>
      <c r="K875">
        <v>2</v>
      </c>
      <c r="L875">
        <v>1</v>
      </c>
      <c r="M875">
        <v>55</v>
      </c>
      <c r="N875">
        <v>182.23500000000001</v>
      </c>
      <c r="O875">
        <v>0</v>
      </c>
      <c r="P8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75" t="str">
        <f>IF(Table1[[#This Row],[Fraud_Score]]&gt;=6, "High Risk",IF(Table1[[#This Row],[Fraud_Score]]&gt;=3, "Medium Risk", "Low Risk"))</f>
        <v>Low Risk</v>
      </c>
      <c r="R875">
        <f>IF(Table1[[#This Row],[Seconds of Use]]=0,0,Table1[[#This Row],[Customer Value]]/Table1[[#This Row],[Seconds of Use]]*100)</f>
        <v>1.6351278600269181</v>
      </c>
    </row>
    <row r="876" spans="1:18" x14ac:dyDescent="0.35">
      <c r="A876" s="3" t="s">
        <v>897</v>
      </c>
      <c r="B876">
        <v>19</v>
      </c>
      <c r="C876">
        <v>0</v>
      </c>
      <c r="D876">
        <v>37</v>
      </c>
      <c r="E876">
        <v>2</v>
      </c>
      <c r="F876">
        <v>6528</v>
      </c>
      <c r="G876">
        <v>109</v>
      </c>
      <c r="H876">
        <v>34</v>
      </c>
      <c r="I876">
        <v>24</v>
      </c>
      <c r="J876">
        <v>2</v>
      </c>
      <c r="K876">
        <v>1</v>
      </c>
      <c r="L876">
        <v>1</v>
      </c>
      <c r="M876">
        <v>25</v>
      </c>
      <c r="N876">
        <v>451.66500000000002</v>
      </c>
      <c r="O876">
        <v>0</v>
      </c>
      <c r="P8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76" t="str">
        <f>IF(Table1[[#This Row],[Fraud_Score]]&gt;=6, "High Risk",IF(Table1[[#This Row],[Fraud_Score]]&gt;=3, "Medium Risk", "Low Risk"))</f>
        <v>Low Risk</v>
      </c>
      <c r="R876">
        <f>IF(Table1[[#This Row],[Seconds of Use]]=0,0,Table1[[#This Row],[Customer Value]]/Table1[[#This Row],[Seconds of Use]]*100)</f>
        <v>6.9188878676470598</v>
      </c>
    </row>
    <row r="877" spans="1:18" x14ac:dyDescent="0.35">
      <c r="A877" s="3" t="s">
        <v>898</v>
      </c>
      <c r="B877">
        <v>7</v>
      </c>
      <c r="C877">
        <v>0</v>
      </c>
      <c r="D877">
        <v>35</v>
      </c>
      <c r="E877">
        <v>1</v>
      </c>
      <c r="F877">
        <v>3550</v>
      </c>
      <c r="G877">
        <v>33</v>
      </c>
      <c r="H877">
        <v>8</v>
      </c>
      <c r="I877">
        <v>14</v>
      </c>
      <c r="J877">
        <v>3</v>
      </c>
      <c r="K877">
        <v>1</v>
      </c>
      <c r="L877">
        <v>1</v>
      </c>
      <c r="M877">
        <v>30</v>
      </c>
      <c r="N877">
        <v>175.32</v>
      </c>
      <c r="O877">
        <v>0</v>
      </c>
      <c r="P8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77" t="str">
        <f>IF(Table1[[#This Row],[Fraud_Score]]&gt;=6, "High Risk",IF(Table1[[#This Row],[Fraud_Score]]&gt;=3, "Medium Risk", "Low Risk"))</f>
        <v>Low Risk</v>
      </c>
      <c r="R877">
        <f>IF(Table1[[#This Row],[Seconds of Use]]=0,0,Table1[[#This Row],[Customer Value]]/Table1[[#This Row],[Seconds of Use]]*100)</f>
        <v>4.9385915492957748</v>
      </c>
    </row>
    <row r="878" spans="1:18" x14ac:dyDescent="0.35">
      <c r="A878" s="3" t="s">
        <v>899</v>
      </c>
      <c r="B878">
        <v>15</v>
      </c>
      <c r="C878">
        <v>1</v>
      </c>
      <c r="D878">
        <v>36</v>
      </c>
      <c r="E878">
        <v>0</v>
      </c>
      <c r="F878">
        <v>3700</v>
      </c>
      <c r="G878">
        <v>52</v>
      </c>
      <c r="H878">
        <v>17</v>
      </c>
      <c r="I878">
        <v>16</v>
      </c>
      <c r="J878">
        <v>3</v>
      </c>
      <c r="K878">
        <v>1</v>
      </c>
      <c r="L878">
        <v>2</v>
      </c>
      <c r="M878">
        <v>30</v>
      </c>
      <c r="N878">
        <v>218.08</v>
      </c>
      <c r="O878">
        <v>1</v>
      </c>
      <c r="P8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78" t="str">
        <f>IF(Table1[[#This Row],[Fraud_Score]]&gt;=6, "High Risk",IF(Table1[[#This Row],[Fraud_Score]]&gt;=3, "Medium Risk", "Low Risk"))</f>
        <v>Medium Risk</v>
      </c>
      <c r="R878">
        <f>IF(Table1[[#This Row],[Seconds of Use]]=0,0,Table1[[#This Row],[Customer Value]]/Table1[[#This Row],[Seconds of Use]]*100)</f>
        <v>5.8940540540540542</v>
      </c>
    </row>
    <row r="879" spans="1:18" x14ac:dyDescent="0.35">
      <c r="A879" s="3" t="s">
        <v>900</v>
      </c>
      <c r="B879">
        <v>15</v>
      </c>
      <c r="C879">
        <v>1</v>
      </c>
      <c r="D879">
        <v>37</v>
      </c>
      <c r="E879">
        <v>0</v>
      </c>
      <c r="F879">
        <v>2978</v>
      </c>
      <c r="G879">
        <v>55</v>
      </c>
      <c r="H879">
        <v>42</v>
      </c>
      <c r="I879">
        <v>31</v>
      </c>
      <c r="J879">
        <v>3</v>
      </c>
      <c r="K879">
        <v>1</v>
      </c>
      <c r="L879">
        <v>2</v>
      </c>
      <c r="M879">
        <v>30</v>
      </c>
      <c r="N879">
        <v>289.32</v>
      </c>
      <c r="O879">
        <v>1</v>
      </c>
      <c r="P8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879" t="str">
        <f>IF(Table1[[#This Row],[Fraud_Score]]&gt;=6, "High Risk",IF(Table1[[#This Row],[Fraud_Score]]&gt;=3, "Medium Risk", "Low Risk"))</f>
        <v>Medium Risk</v>
      </c>
      <c r="R879">
        <f>IF(Table1[[#This Row],[Seconds of Use]]=0,0,Table1[[#This Row],[Customer Value]]/Table1[[#This Row],[Seconds of Use]]*100)</f>
        <v>9.7152451309603762</v>
      </c>
    </row>
    <row r="880" spans="1:18" x14ac:dyDescent="0.35">
      <c r="A880" s="3" t="s">
        <v>901</v>
      </c>
      <c r="B880">
        <v>6</v>
      </c>
      <c r="C880">
        <v>0</v>
      </c>
      <c r="D880">
        <v>37</v>
      </c>
      <c r="E880">
        <v>0</v>
      </c>
      <c r="F880">
        <v>843</v>
      </c>
      <c r="G880">
        <v>13</v>
      </c>
      <c r="H880">
        <v>8</v>
      </c>
      <c r="I880">
        <v>2</v>
      </c>
      <c r="J880">
        <v>3</v>
      </c>
      <c r="K880">
        <v>1</v>
      </c>
      <c r="L880">
        <v>2</v>
      </c>
      <c r="M880">
        <v>30</v>
      </c>
      <c r="N880">
        <v>66.239999999999995</v>
      </c>
      <c r="O880">
        <v>1</v>
      </c>
      <c r="P8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80" t="str">
        <f>IF(Table1[[#This Row],[Fraud_Score]]&gt;=6, "High Risk",IF(Table1[[#This Row],[Fraud_Score]]&gt;=3, "Medium Risk", "Low Risk"))</f>
        <v>Low Risk</v>
      </c>
      <c r="R880">
        <f>IF(Table1[[#This Row],[Seconds of Use]]=0,0,Table1[[#This Row],[Customer Value]]/Table1[[#This Row],[Seconds of Use]]*100)</f>
        <v>7.8576512455516019</v>
      </c>
    </row>
    <row r="881" spans="1:18" x14ac:dyDescent="0.35">
      <c r="A881" s="3" t="s">
        <v>902</v>
      </c>
      <c r="B881">
        <v>7</v>
      </c>
      <c r="C881">
        <v>0</v>
      </c>
      <c r="D881">
        <v>37</v>
      </c>
      <c r="E881">
        <v>1</v>
      </c>
      <c r="F881">
        <v>2378</v>
      </c>
      <c r="G881">
        <v>36</v>
      </c>
      <c r="H881">
        <v>8</v>
      </c>
      <c r="I881">
        <v>6</v>
      </c>
      <c r="J881">
        <v>4</v>
      </c>
      <c r="K881">
        <v>1</v>
      </c>
      <c r="L881">
        <v>1</v>
      </c>
      <c r="M881">
        <v>45</v>
      </c>
      <c r="N881">
        <v>80.349999999999994</v>
      </c>
      <c r="O881">
        <v>0</v>
      </c>
      <c r="P8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81" t="str">
        <f>IF(Table1[[#This Row],[Fraud_Score]]&gt;=6, "High Risk",IF(Table1[[#This Row],[Fraud_Score]]&gt;=3, "Medium Risk", "Low Risk"))</f>
        <v>Low Risk</v>
      </c>
      <c r="R881">
        <f>IF(Table1[[#This Row],[Seconds of Use]]=0,0,Table1[[#This Row],[Customer Value]]/Table1[[#This Row],[Seconds of Use]]*100)</f>
        <v>3.3788898233809919</v>
      </c>
    </row>
    <row r="882" spans="1:18" x14ac:dyDescent="0.35">
      <c r="A882" s="3" t="s">
        <v>903</v>
      </c>
      <c r="B882">
        <v>9</v>
      </c>
      <c r="C882">
        <v>0</v>
      </c>
      <c r="D882">
        <v>34</v>
      </c>
      <c r="E882">
        <v>2</v>
      </c>
      <c r="F882">
        <v>7495</v>
      </c>
      <c r="G882">
        <v>108</v>
      </c>
      <c r="H882">
        <v>22</v>
      </c>
      <c r="I882">
        <v>22</v>
      </c>
      <c r="J882">
        <v>5</v>
      </c>
      <c r="K882">
        <v>1</v>
      </c>
      <c r="L882">
        <v>1</v>
      </c>
      <c r="M882">
        <v>55</v>
      </c>
      <c r="N882">
        <v>147.04499999999999</v>
      </c>
      <c r="O882">
        <v>0</v>
      </c>
      <c r="P8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82" t="str">
        <f>IF(Table1[[#This Row],[Fraud_Score]]&gt;=6, "High Risk",IF(Table1[[#This Row],[Fraud_Score]]&gt;=3, "Medium Risk", "Low Risk"))</f>
        <v>Low Risk</v>
      </c>
      <c r="R882">
        <f>IF(Table1[[#This Row],[Seconds of Use]]=0,0,Table1[[#This Row],[Customer Value]]/Table1[[#This Row],[Seconds of Use]]*100)</f>
        <v>1.9619079386257503</v>
      </c>
    </row>
    <row r="883" spans="1:18" x14ac:dyDescent="0.35">
      <c r="A883" s="3" t="s">
        <v>904</v>
      </c>
      <c r="B883">
        <v>6</v>
      </c>
      <c r="C883">
        <v>1</v>
      </c>
      <c r="D883">
        <v>37</v>
      </c>
      <c r="E883">
        <v>0</v>
      </c>
      <c r="F883">
        <v>1338</v>
      </c>
      <c r="G883">
        <v>18</v>
      </c>
      <c r="H883">
        <v>17</v>
      </c>
      <c r="I883">
        <v>4</v>
      </c>
      <c r="J883">
        <v>4</v>
      </c>
      <c r="K883">
        <v>1</v>
      </c>
      <c r="L883">
        <v>2</v>
      </c>
      <c r="M883">
        <v>45</v>
      </c>
      <c r="N883">
        <v>76.400000000000006</v>
      </c>
      <c r="O883">
        <v>1</v>
      </c>
      <c r="P8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883" t="str">
        <f>IF(Table1[[#This Row],[Fraud_Score]]&gt;=6, "High Risk",IF(Table1[[#This Row],[Fraud_Score]]&gt;=3, "Medium Risk", "Low Risk"))</f>
        <v>Medium Risk</v>
      </c>
      <c r="R883">
        <f>IF(Table1[[#This Row],[Seconds of Use]]=0,0,Table1[[#This Row],[Customer Value]]/Table1[[#This Row],[Seconds of Use]]*100)</f>
        <v>5.7100149476831099</v>
      </c>
    </row>
    <row r="884" spans="1:18" x14ac:dyDescent="0.35">
      <c r="A884" s="3" t="s">
        <v>905</v>
      </c>
      <c r="B884">
        <v>6</v>
      </c>
      <c r="C884">
        <v>0</v>
      </c>
      <c r="D884">
        <v>37</v>
      </c>
      <c r="E884">
        <v>2</v>
      </c>
      <c r="F884">
        <v>1048</v>
      </c>
      <c r="G884">
        <v>15</v>
      </c>
      <c r="H884">
        <v>12</v>
      </c>
      <c r="I884">
        <v>2</v>
      </c>
      <c r="J884">
        <v>5</v>
      </c>
      <c r="K884">
        <v>1</v>
      </c>
      <c r="L884">
        <v>1</v>
      </c>
      <c r="M884">
        <v>55</v>
      </c>
      <c r="N884">
        <v>33.945</v>
      </c>
      <c r="O884">
        <v>0</v>
      </c>
      <c r="P8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84" t="str">
        <f>IF(Table1[[#This Row],[Fraud_Score]]&gt;=6, "High Risk",IF(Table1[[#This Row],[Fraud_Score]]&gt;=3, "Medium Risk", "Low Risk"))</f>
        <v>Low Risk</v>
      </c>
      <c r="R884">
        <f>IF(Table1[[#This Row],[Seconds of Use]]=0,0,Table1[[#This Row],[Customer Value]]/Table1[[#This Row],[Seconds of Use]]*100)</f>
        <v>3.2390267175572522</v>
      </c>
    </row>
    <row r="885" spans="1:18" x14ac:dyDescent="0.35">
      <c r="A885" s="3" t="s">
        <v>906</v>
      </c>
      <c r="B885">
        <v>31</v>
      </c>
      <c r="C885">
        <v>1</v>
      </c>
      <c r="D885">
        <v>32</v>
      </c>
      <c r="E885">
        <v>4</v>
      </c>
      <c r="F885">
        <v>16785</v>
      </c>
      <c r="G885">
        <v>249</v>
      </c>
      <c r="H885">
        <v>8</v>
      </c>
      <c r="I885">
        <v>80</v>
      </c>
      <c r="J885">
        <v>2</v>
      </c>
      <c r="K885">
        <v>1</v>
      </c>
      <c r="L885">
        <v>1</v>
      </c>
      <c r="M885">
        <v>25</v>
      </c>
      <c r="N885">
        <v>802.53</v>
      </c>
      <c r="O885">
        <v>0</v>
      </c>
      <c r="P8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7</v>
      </c>
      <c r="Q885" t="str">
        <f>IF(Table1[[#This Row],[Fraud_Score]]&gt;=6, "High Risk",IF(Table1[[#This Row],[Fraud_Score]]&gt;=3, "Medium Risk", "Low Risk"))</f>
        <v>High Risk</v>
      </c>
      <c r="R885">
        <f>IF(Table1[[#This Row],[Seconds of Use]]=0,0,Table1[[#This Row],[Customer Value]]/Table1[[#This Row],[Seconds of Use]]*100)</f>
        <v>4.7812332439678285</v>
      </c>
    </row>
    <row r="886" spans="1:18" x14ac:dyDescent="0.35">
      <c r="A886" s="3" t="s">
        <v>907</v>
      </c>
      <c r="B886">
        <v>12</v>
      </c>
      <c r="C886">
        <v>1</v>
      </c>
      <c r="D886">
        <v>35</v>
      </c>
      <c r="E886">
        <v>4</v>
      </c>
      <c r="F886">
        <v>7675</v>
      </c>
      <c r="G886">
        <v>127</v>
      </c>
      <c r="H886">
        <v>279</v>
      </c>
      <c r="I886">
        <v>33</v>
      </c>
      <c r="J886">
        <v>3</v>
      </c>
      <c r="K886">
        <v>2</v>
      </c>
      <c r="L886">
        <v>1</v>
      </c>
      <c r="M886">
        <v>30</v>
      </c>
      <c r="N886">
        <v>1428.08</v>
      </c>
      <c r="O886">
        <v>0</v>
      </c>
      <c r="P8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86" t="str">
        <f>IF(Table1[[#This Row],[Fraud_Score]]&gt;=6, "High Risk",IF(Table1[[#This Row],[Fraud_Score]]&gt;=3, "Medium Risk", "Low Risk"))</f>
        <v>Medium Risk</v>
      </c>
      <c r="R886">
        <f>IF(Table1[[#This Row],[Seconds of Use]]=0,0,Table1[[#This Row],[Customer Value]]/Table1[[#This Row],[Seconds of Use]]*100)</f>
        <v>18.60690553745928</v>
      </c>
    </row>
    <row r="887" spans="1:18" x14ac:dyDescent="0.35">
      <c r="A887" s="3" t="s">
        <v>908</v>
      </c>
      <c r="B887">
        <v>8</v>
      </c>
      <c r="C887">
        <v>0</v>
      </c>
      <c r="D887">
        <v>37</v>
      </c>
      <c r="E887">
        <v>1</v>
      </c>
      <c r="F887">
        <v>4428</v>
      </c>
      <c r="G887">
        <v>93</v>
      </c>
      <c r="H887">
        <v>10</v>
      </c>
      <c r="I887">
        <v>28</v>
      </c>
      <c r="J887">
        <v>3</v>
      </c>
      <c r="K887">
        <v>1</v>
      </c>
      <c r="L887">
        <v>1</v>
      </c>
      <c r="M887">
        <v>30</v>
      </c>
      <c r="N887">
        <v>220.84</v>
      </c>
      <c r="O887">
        <v>0</v>
      </c>
      <c r="P8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87" t="str">
        <f>IF(Table1[[#This Row],[Fraud_Score]]&gt;=6, "High Risk",IF(Table1[[#This Row],[Fraud_Score]]&gt;=3, "Medium Risk", "Low Risk"))</f>
        <v>Low Risk</v>
      </c>
      <c r="R887">
        <f>IF(Table1[[#This Row],[Seconds of Use]]=0,0,Table1[[#This Row],[Customer Value]]/Table1[[#This Row],[Seconds of Use]]*100)</f>
        <v>4.9873532068654018</v>
      </c>
    </row>
    <row r="888" spans="1:18" x14ac:dyDescent="0.35">
      <c r="A888" s="3" t="s">
        <v>909</v>
      </c>
      <c r="B888">
        <v>9</v>
      </c>
      <c r="C888">
        <v>0</v>
      </c>
      <c r="D888">
        <v>36</v>
      </c>
      <c r="E888">
        <v>0</v>
      </c>
      <c r="F888">
        <v>2375</v>
      </c>
      <c r="G888">
        <v>55</v>
      </c>
      <c r="H888">
        <v>46</v>
      </c>
      <c r="I888">
        <v>20</v>
      </c>
      <c r="J888">
        <v>3</v>
      </c>
      <c r="K888">
        <v>1</v>
      </c>
      <c r="L888">
        <v>2</v>
      </c>
      <c r="M888">
        <v>30</v>
      </c>
      <c r="N888">
        <v>281.2</v>
      </c>
      <c r="O888">
        <v>0</v>
      </c>
      <c r="P8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88" t="str">
        <f>IF(Table1[[#This Row],[Fraud_Score]]&gt;=6, "High Risk",IF(Table1[[#This Row],[Fraud_Score]]&gt;=3, "Medium Risk", "Low Risk"))</f>
        <v>Low Risk</v>
      </c>
      <c r="R888">
        <f>IF(Table1[[#This Row],[Seconds of Use]]=0,0,Table1[[#This Row],[Customer Value]]/Table1[[#This Row],[Seconds of Use]]*100)</f>
        <v>11.84</v>
      </c>
    </row>
    <row r="889" spans="1:18" x14ac:dyDescent="0.35">
      <c r="A889" s="3" t="s">
        <v>910</v>
      </c>
      <c r="B889">
        <v>12</v>
      </c>
      <c r="C889">
        <v>0</v>
      </c>
      <c r="D889">
        <v>37</v>
      </c>
      <c r="E889">
        <v>1</v>
      </c>
      <c r="F889">
        <v>3490</v>
      </c>
      <c r="G889">
        <v>64</v>
      </c>
      <c r="H889">
        <v>183</v>
      </c>
      <c r="I889">
        <v>23</v>
      </c>
      <c r="J889">
        <v>2</v>
      </c>
      <c r="K889">
        <v>1</v>
      </c>
      <c r="L889">
        <v>1</v>
      </c>
      <c r="M889">
        <v>25</v>
      </c>
      <c r="N889">
        <v>983.43</v>
      </c>
      <c r="O889">
        <v>0</v>
      </c>
      <c r="P8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89" t="str">
        <f>IF(Table1[[#This Row],[Fraud_Score]]&gt;=6, "High Risk",IF(Table1[[#This Row],[Fraud_Score]]&gt;=3, "Medium Risk", "Low Risk"))</f>
        <v>Low Risk</v>
      </c>
      <c r="R889">
        <f>IF(Table1[[#This Row],[Seconds of Use]]=0,0,Table1[[#This Row],[Customer Value]]/Table1[[#This Row],[Seconds of Use]]*100)</f>
        <v>28.178510028653292</v>
      </c>
    </row>
    <row r="890" spans="1:18" x14ac:dyDescent="0.35">
      <c r="A890" s="3" t="s">
        <v>911</v>
      </c>
      <c r="B890">
        <v>10</v>
      </c>
      <c r="C890">
        <v>0</v>
      </c>
      <c r="D890">
        <v>28</v>
      </c>
      <c r="E890">
        <v>2</v>
      </c>
      <c r="F890">
        <v>2025</v>
      </c>
      <c r="G890">
        <v>47</v>
      </c>
      <c r="H890">
        <v>201</v>
      </c>
      <c r="I890">
        <v>11</v>
      </c>
      <c r="J890">
        <v>3</v>
      </c>
      <c r="K890">
        <v>2</v>
      </c>
      <c r="L890">
        <v>1</v>
      </c>
      <c r="M890">
        <v>30</v>
      </c>
      <c r="N890">
        <v>886.88</v>
      </c>
      <c r="O890">
        <v>0</v>
      </c>
      <c r="P8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90" t="str">
        <f>IF(Table1[[#This Row],[Fraud_Score]]&gt;=6, "High Risk",IF(Table1[[#This Row],[Fraud_Score]]&gt;=3, "Medium Risk", "Low Risk"))</f>
        <v>Low Risk</v>
      </c>
      <c r="R890">
        <f>IF(Table1[[#This Row],[Seconds of Use]]=0,0,Table1[[#This Row],[Customer Value]]/Table1[[#This Row],[Seconds of Use]]*100)</f>
        <v>43.796543209876546</v>
      </c>
    </row>
    <row r="891" spans="1:18" x14ac:dyDescent="0.35">
      <c r="A891" s="3" t="s">
        <v>912</v>
      </c>
      <c r="B891">
        <v>10</v>
      </c>
      <c r="C891">
        <v>0</v>
      </c>
      <c r="D891">
        <v>27</v>
      </c>
      <c r="E891">
        <v>1</v>
      </c>
      <c r="F891">
        <v>2278</v>
      </c>
      <c r="G891">
        <v>50</v>
      </c>
      <c r="H891">
        <v>38</v>
      </c>
      <c r="I891">
        <v>68</v>
      </c>
      <c r="J891">
        <v>4</v>
      </c>
      <c r="K891">
        <v>1</v>
      </c>
      <c r="L891">
        <v>1</v>
      </c>
      <c r="M891">
        <v>45</v>
      </c>
      <c r="N891">
        <v>153.19999999999999</v>
      </c>
      <c r="O891">
        <v>0</v>
      </c>
      <c r="P8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91" t="str">
        <f>IF(Table1[[#This Row],[Fraud_Score]]&gt;=6, "High Risk",IF(Table1[[#This Row],[Fraud_Score]]&gt;=3, "Medium Risk", "Low Risk"))</f>
        <v>Low Risk</v>
      </c>
      <c r="R891">
        <f>IF(Table1[[#This Row],[Seconds of Use]]=0,0,Table1[[#This Row],[Customer Value]]/Table1[[#This Row],[Seconds of Use]]*100)</f>
        <v>6.7251975417032481</v>
      </c>
    </row>
    <row r="892" spans="1:18" x14ac:dyDescent="0.35">
      <c r="A892" s="3" t="s">
        <v>913</v>
      </c>
      <c r="B892">
        <v>17</v>
      </c>
      <c r="C892">
        <v>0</v>
      </c>
      <c r="D892">
        <v>28</v>
      </c>
      <c r="E892">
        <v>0</v>
      </c>
      <c r="F892">
        <v>1410</v>
      </c>
      <c r="G892">
        <v>36</v>
      </c>
      <c r="H892">
        <v>18</v>
      </c>
      <c r="I892">
        <v>7</v>
      </c>
      <c r="J892">
        <v>3</v>
      </c>
      <c r="K892">
        <v>1</v>
      </c>
      <c r="L892">
        <v>2</v>
      </c>
      <c r="M892">
        <v>30</v>
      </c>
      <c r="N892">
        <v>129.84</v>
      </c>
      <c r="O892">
        <v>0</v>
      </c>
      <c r="P8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892" t="str">
        <f>IF(Table1[[#This Row],[Fraud_Score]]&gt;=6, "High Risk",IF(Table1[[#This Row],[Fraud_Score]]&gt;=3, "Medium Risk", "Low Risk"))</f>
        <v>Medium Risk</v>
      </c>
      <c r="R892">
        <f>IF(Table1[[#This Row],[Seconds of Use]]=0,0,Table1[[#This Row],[Customer Value]]/Table1[[#This Row],[Seconds of Use]]*100)</f>
        <v>9.2085106382978736</v>
      </c>
    </row>
    <row r="893" spans="1:18" x14ac:dyDescent="0.35">
      <c r="A893" s="3" t="s">
        <v>914</v>
      </c>
      <c r="B893">
        <v>6</v>
      </c>
      <c r="C893">
        <v>0</v>
      </c>
      <c r="D893">
        <v>27</v>
      </c>
      <c r="E893">
        <v>0</v>
      </c>
      <c r="F893">
        <v>1535</v>
      </c>
      <c r="G893">
        <v>21</v>
      </c>
      <c r="H893">
        <v>29</v>
      </c>
      <c r="I893">
        <v>3</v>
      </c>
      <c r="J893">
        <v>4</v>
      </c>
      <c r="K893">
        <v>1</v>
      </c>
      <c r="L893">
        <v>2</v>
      </c>
      <c r="M893">
        <v>45</v>
      </c>
      <c r="N893">
        <v>111.4</v>
      </c>
      <c r="O893">
        <v>0</v>
      </c>
      <c r="P8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893" t="str">
        <f>IF(Table1[[#This Row],[Fraud_Score]]&gt;=6, "High Risk",IF(Table1[[#This Row],[Fraud_Score]]&gt;=3, "Medium Risk", "Low Risk"))</f>
        <v>Low Risk</v>
      </c>
      <c r="R893">
        <f>IF(Table1[[#This Row],[Seconds of Use]]=0,0,Table1[[#This Row],[Customer Value]]/Table1[[#This Row],[Seconds of Use]]*100)</f>
        <v>7.2573289902280136</v>
      </c>
    </row>
    <row r="894" spans="1:18" x14ac:dyDescent="0.35">
      <c r="A894" s="3" t="s">
        <v>915</v>
      </c>
      <c r="B894">
        <v>16</v>
      </c>
      <c r="C894">
        <v>0</v>
      </c>
      <c r="D894">
        <v>26</v>
      </c>
      <c r="E894">
        <v>1</v>
      </c>
      <c r="F894">
        <v>1935</v>
      </c>
      <c r="G894">
        <v>43</v>
      </c>
      <c r="H894">
        <v>27</v>
      </c>
      <c r="I894">
        <v>13</v>
      </c>
      <c r="J894">
        <v>2</v>
      </c>
      <c r="K894">
        <v>1</v>
      </c>
      <c r="L894">
        <v>1</v>
      </c>
      <c r="M894">
        <v>25</v>
      </c>
      <c r="N894">
        <v>210.51</v>
      </c>
      <c r="O894">
        <v>0</v>
      </c>
      <c r="P8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94" t="str">
        <f>IF(Table1[[#This Row],[Fraud_Score]]&gt;=6, "High Risk",IF(Table1[[#This Row],[Fraud_Score]]&gt;=3, "Medium Risk", "Low Risk"))</f>
        <v>Low Risk</v>
      </c>
      <c r="R894">
        <f>IF(Table1[[#This Row],[Seconds of Use]]=0,0,Table1[[#This Row],[Customer Value]]/Table1[[#This Row],[Seconds of Use]]*100)</f>
        <v>10.879069767441859</v>
      </c>
    </row>
    <row r="895" spans="1:18" x14ac:dyDescent="0.35">
      <c r="A895" s="3" t="s">
        <v>916</v>
      </c>
      <c r="B895">
        <v>8</v>
      </c>
      <c r="C895">
        <v>0</v>
      </c>
      <c r="D895">
        <v>26</v>
      </c>
      <c r="E895">
        <v>1</v>
      </c>
      <c r="F895">
        <v>3935</v>
      </c>
      <c r="G895">
        <v>72</v>
      </c>
      <c r="H895">
        <v>16</v>
      </c>
      <c r="I895">
        <v>23</v>
      </c>
      <c r="J895">
        <v>3</v>
      </c>
      <c r="K895">
        <v>1</v>
      </c>
      <c r="L895">
        <v>1</v>
      </c>
      <c r="M895">
        <v>30</v>
      </c>
      <c r="N895">
        <v>224.28</v>
      </c>
      <c r="O895">
        <v>0</v>
      </c>
      <c r="P8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95" t="str">
        <f>IF(Table1[[#This Row],[Fraud_Score]]&gt;=6, "High Risk",IF(Table1[[#This Row],[Fraud_Score]]&gt;=3, "Medium Risk", "Low Risk"))</f>
        <v>Low Risk</v>
      </c>
      <c r="R895">
        <f>IF(Table1[[#This Row],[Seconds of Use]]=0,0,Table1[[#This Row],[Customer Value]]/Table1[[#This Row],[Seconds of Use]]*100)</f>
        <v>5.699618805590851</v>
      </c>
    </row>
    <row r="896" spans="1:18" x14ac:dyDescent="0.35">
      <c r="A896" s="3" t="s">
        <v>917</v>
      </c>
      <c r="B896">
        <v>8</v>
      </c>
      <c r="C896">
        <v>0</v>
      </c>
      <c r="D896">
        <v>19</v>
      </c>
      <c r="E896">
        <v>1</v>
      </c>
      <c r="F896">
        <v>2405</v>
      </c>
      <c r="G896">
        <v>37</v>
      </c>
      <c r="H896">
        <v>36</v>
      </c>
      <c r="I896">
        <v>14</v>
      </c>
      <c r="J896">
        <v>2</v>
      </c>
      <c r="K896">
        <v>1</v>
      </c>
      <c r="L896">
        <v>1</v>
      </c>
      <c r="M896">
        <v>25</v>
      </c>
      <c r="N896">
        <v>271.89</v>
      </c>
      <c r="O896">
        <v>0</v>
      </c>
      <c r="P8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896" t="str">
        <f>IF(Table1[[#This Row],[Fraud_Score]]&gt;=6, "High Risk",IF(Table1[[#This Row],[Fraud_Score]]&gt;=3, "Medium Risk", "Low Risk"))</f>
        <v>Low Risk</v>
      </c>
      <c r="R896">
        <f>IF(Table1[[#This Row],[Seconds of Use]]=0,0,Table1[[#This Row],[Customer Value]]/Table1[[#This Row],[Seconds of Use]]*100)</f>
        <v>11.305197505197505</v>
      </c>
    </row>
    <row r="897" spans="1:18" x14ac:dyDescent="0.35">
      <c r="A897" s="3" t="s">
        <v>918</v>
      </c>
      <c r="B897">
        <v>22</v>
      </c>
      <c r="C897">
        <v>0</v>
      </c>
      <c r="D897">
        <v>18</v>
      </c>
      <c r="E897">
        <v>2</v>
      </c>
      <c r="F897">
        <v>7102</v>
      </c>
      <c r="G897">
        <v>152</v>
      </c>
      <c r="H897">
        <v>93</v>
      </c>
      <c r="I897">
        <v>42</v>
      </c>
      <c r="J897">
        <v>2</v>
      </c>
      <c r="K897">
        <v>2</v>
      </c>
      <c r="L897">
        <v>1</v>
      </c>
      <c r="M897">
        <v>25</v>
      </c>
      <c r="N897">
        <v>744.93</v>
      </c>
      <c r="O897">
        <v>0</v>
      </c>
      <c r="P8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97" t="str">
        <f>IF(Table1[[#This Row],[Fraud_Score]]&gt;=6, "High Risk",IF(Table1[[#This Row],[Fraud_Score]]&gt;=3, "Medium Risk", "Low Risk"))</f>
        <v>Medium Risk</v>
      </c>
      <c r="R897">
        <f>IF(Table1[[#This Row],[Seconds of Use]]=0,0,Table1[[#This Row],[Customer Value]]/Table1[[#This Row],[Seconds of Use]]*100)</f>
        <v>10.489017178259646</v>
      </c>
    </row>
    <row r="898" spans="1:18" x14ac:dyDescent="0.35">
      <c r="A898" s="3" t="s">
        <v>919</v>
      </c>
      <c r="B898">
        <v>18</v>
      </c>
      <c r="C898">
        <v>0</v>
      </c>
      <c r="D898">
        <v>16</v>
      </c>
      <c r="E898">
        <v>1</v>
      </c>
      <c r="F898">
        <v>9642</v>
      </c>
      <c r="G898">
        <v>182</v>
      </c>
      <c r="H898">
        <v>81</v>
      </c>
      <c r="I898">
        <v>40</v>
      </c>
      <c r="J898">
        <v>5</v>
      </c>
      <c r="K898">
        <v>1</v>
      </c>
      <c r="L898">
        <v>1</v>
      </c>
      <c r="M898">
        <v>55</v>
      </c>
      <c r="N898">
        <v>268.86</v>
      </c>
      <c r="O898">
        <v>0</v>
      </c>
      <c r="P8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898" t="str">
        <f>IF(Table1[[#This Row],[Fraud_Score]]&gt;=6, "High Risk",IF(Table1[[#This Row],[Fraud_Score]]&gt;=3, "Medium Risk", "Low Risk"))</f>
        <v>Medium Risk</v>
      </c>
      <c r="R898">
        <f>IF(Table1[[#This Row],[Seconds of Use]]=0,0,Table1[[#This Row],[Customer Value]]/Table1[[#This Row],[Seconds of Use]]*100)</f>
        <v>2.7884256378344743</v>
      </c>
    </row>
    <row r="899" spans="1:18" x14ac:dyDescent="0.35">
      <c r="A899" s="3" t="s">
        <v>920</v>
      </c>
      <c r="B899">
        <v>14</v>
      </c>
      <c r="C899">
        <v>0</v>
      </c>
      <c r="D899">
        <v>17</v>
      </c>
      <c r="E899">
        <v>4</v>
      </c>
      <c r="F899">
        <v>3562</v>
      </c>
      <c r="G899">
        <v>56</v>
      </c>
      <c r="H899">
        <v>39</v>
      </c>
      <c r="I899">
        <v>19</v>
      </c>
      <c r="J899">
        <v>3</v>
      </c>
      <c r="K899">
        <v>2</v>
      </c>
      <c r="L899">
        <v>1</v>
      </c>
      <c r="M899">
        <v>30</v>
      </c>
      <c r="N899">
        <v>300.72000000000003</v>
      </c>
      <c r="O899">
        <v>0</v>
      </c>
      <c r="P8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899" t="str">
        <f>IF(Table1[[#This Row],[Fraud_Score]]&gt;=6, "High Risk",IF(Table1[[#This Row],[Fraud_Score]]&gt;=3, "Medium Risk", "Low Risk"))</f>
        <v>Low Risk</v>
      </c>
      <c r="R899">
        <f>IF(Table1[[#This Row],[Seconds of Use]]=0,0,Table1[[#This Row],[Customer Value]]/Table1[[#This Row],[Seconds of Use]]*100)</f>
        <v>8.4424480628860188</v>
      </c>
    </row>
    <row r="900" spans="1:18" x14ac:dyDescent="0.35">
      <c r="A900" s="3" t="s">
        <v>921</v>
      </c>
      <c r="B900">
        <v>8</v>
      </c>
      <c r="C900">
        <v>0</v>
      </c>
      <c r="D900">
        <v>10</v>
      </c>
      <c r="E900">
        <v>2</v>
      </c>
      <c r="F900">
        <v>5100</v>
      </c>
      <c r="G900">
        <v>51</v>
      </c>
      <c r="H900">
        <v>223</v>
      </c>
      <c r="I900">
        <v>10</v>
      </c>
      <c r="J900">
        <v>3</v>
      </c>
      <c r="K900">
        <v>1</v>
      </c>
      <c r="L900">
        <v>1</v>
      </c>
      <c r="M900">
        <v>30</v>
      </c>
      <c r="N900">
        <v>1098.04</v>
      </c>
      <c r="O900">
        <v>0</v>
      </c>
      <c r="P9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00" t="str">
        <f>IF(Table1[[#This Row],[Fraud_Score]]&gt;=6, "High Risk",IF(Table1[[#This Row],[Fraud_Score]]&gt;=3, "Medium Risk", "Low Risk"))</f>
        <v>Low Risk</v>
      </c>
      <c r="R900">
        <f>IF(Table1[[#This Row],[Seconds of Use]]=0,0,Table1[[#This Row],[Customer Value]]/Table1[[#This Row],[Seconds of Use]]*100)</f>
        <v>21.53019607843137</v>
      </c>
    </row>
    <row r="901" spans="1:18" x14ac:dyDescent="0.35">
      <c r="A901" s="3" t="s">
        <v>922</v>
      </c>
      <c r="B901">
        <v>9</v>
      </c>
      <c r="C901">
        <v>0</v>
      </c>
      <c r="D901">
        <v>10</v>
      </c>
      <c r="E901">
        <v>2</v>
      </c>
      <c r="F901">
        <v>2197</v>
      </c>
      <c r="G901">
        <v>30</v>
      </c>
      <c r="H901">
        <v>8</v>
      </c>
      <c r="I901">
        <v>7</v>
      </c>
      <c r="J901">
        <v>3</v>
      </c>
      <c r="K901">
        <v>1</v>
      </c>
      <c r="L901">
        <v>1</v>
      </c>
      <c r="M901">
        <v>30</v>
      </c>
      <c r="N901">
        <v>121.08</v>
      </c>
      <c r="O901">
        <v>1</v>
      </c>
      <c r="P9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01" t="str">
        <f>IF(Table1[[#This Row],[Fraud_Score]]&gt;=6, "High Risk",IF(Table1[[#This Row],[Fraud_Score]]&gt;=3, "Medium Risk", "Low Risk"))</f>
        <v>Low Risk</v>
      </c>
      <c r="R901">
        <f>IF(Table1[[#This Row],[Seconds of Use]]=0,0,Table1[[#This Row],[Customer Value]]/Table1[[#This Row],[Seconds of Use]]*100)</f>
        <v>5.5111515703231682</v>
      </c>
    </row>
    <row r="902" spans="1:18" x14ac:dyDescent="0.35">
      <c r="A902" s="3" t="s">
        <v>923</v>
      </c>
      <c r="B902">
        <v>2</v>
      </c>
      <c r="C902">
        <v>0</v>
      </c>
      <c r="D902">
        <v>37</v>
      </c>
      <c r="E902">
        <v>0</v>
      </c>
      <c r="F902">
        <v>3660</v>
      </c>
      <c r="G902">
        <v>60</v>
      </c>
      <c r="H902">
        <v>0</v>
      </c>
      <c r="I902">
        <v>17</v>
      </c>
      <c r="J902">
        <v>2</v>
      </c>
      <c r="K902">
        <v>1</v>
      </c>
      <c r="L902">
        <v>1</v>
      </c>
      <c r="M902">
        <v>25</v>
      </c>
      <c r="N902">
        <v>167.4</v>
      </c>
      <c r="O902">
        <v>0</v>
      </c>
      <c r="P9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02" t="str">
        <f>IF(Table1[[#This Row],[Fraud_Score]]&gt;=6, "High Risk",IF(Table1[[#This Row],[Fraud_Score]]&gt;=3, "Medium Risk", "Low Risk"))</f>
        <v>Low Risk</v>
      </c>
      <c r="R902">
        <f>IF(Table1[[#This Row],[Seconds of Use]]=0,0,Table1[[#This Row],[Customer Value]]/Table1[[#This Row],[Seconds of Use]]*100)</f>
        <v>4.5737704918032787</v>
      </c>
    </row>
    <row r="903" spans="1:18" x14ac:dyDescent="0.35">
      <c r="A903" s="3" t="s">
        <v>924</v>
      </c>
      <c r="B903">
        <v>0</v>
      </c>
      <c r="C903">
        <v>0</v>
      </c>
      <c r="D903">
        <v>38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</v>
      </c>
      <c r="K903">
        <v>1</v>
      </c>
      <c r="L903">
        <v>2</v>
      </c>
      <c r="M903">
        <v>25</v>
      </c>
      <c r="N903">
        <v>0</v>
      </c>
      <c r="O903">
        <v>0</v>
      </c>
      <c r="P9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03" t="str">
        <f>IF(Table1[[#This Row],[Fraud_Score]]&gt;=6, "High Risk",IF(Table1[[#This Row],[Fraud_Score]]&gt;=3, "Medium Risk", "Low Risk"))</f>
        <v>Low Risk</v>
      </c>
      <c r="R903">
        <f>IF(Table1[[#This Row],[Seconds of Use]]=0,0,Table1[[#This Row],[Customer Value]]/Table1[[#This Row],[Seconds of Use]]*100)</f>
        <v>0</v>
      </c>
    </row>
    <row r="904" spans="1:18" x14ac:dyDescent="0.35">
      <c r="A904" s="3" t="s">
        <v>925</v>
      </c>
      <c r="B904">
        <v>4</v>
      </c>
      <c r="C904">
        <v>0</v>
      </c>
      <c r="D904">
        <v>36</v>
      </c>
      <c r="E904">
        <v>0</v>
      </c>
      <c r="F904">
        <v>1743</v>
      </c>
      <c r="G904">
        <v>49</v>
      </c>
      <c r="H904">
        <v>334</v>
      </c>
      <c r="I904">
        <v>24</v>
      </c>
      <c r="J904">
        <v>2</v>
      </c>
      <c r="K904">
        <v>1</v>
      </c>
      <c r="L904">
        <v>1</v>
      </c>
      <c r="M904">
        <v>25</v>
      </c>
      <c r="N904">
        <v>1583.64</v>
      </c>
      <c r="O904">
        <v>0</v>
      </c>
      <c r="P9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04" t="str">
        <f>IF(Table1[[#This Row],[Fraud_Score]]&gt;=6, "High Risk",IF(Table1[[#This Row],[Fraud_Score]]&gt;=3, "Medium Risk", "Low Risk"))</f>
        <v>Low Risk</v>
      </c>
      <c r="R904">
        <f>IF(Table1[[#This Row],[Seconds of Use]]=0,0,Table1[[#This Row],[Customer Value]]/Table1[[#This Row],[Seconds of Use]]*100)</f>
        <v>90.857142857142861</v>
      </c>
    </row>
    <row r="905" spans="1:18" x14ac:dyDescent="0.35">
      <c r="A905" s="3" t="s">
        <v>926</v>
      </c>
      <c r="B905">
        <v>4</v>
      </c>
      <c r="C905">
        <v>0</v>
      </c>
      <c r="D905">
        <v>37</v>
      </c>
      <c r="E905">
        <v>0</v>
      </c>
      <c r="F905">
        <v>3488</v>
      </c>
      <c r="G905">
        <v>55</v>
      </c>
      <c r="H905">
        <v>0</v>
      </c>
      <c r="I905">
        <v>35</v>
      </c>
      <c r="J905">
        <v>1</v>
      </c>
      <c r="K905">
        <v>1</v>
      </c>
      <c r="L905">
        <v>1</v>
      </c>
      <c r="M905">
        <v>15</v>
      </c>
      <c r="N905">
        <v>194.86500000000001</v>
      </c>
      <c r="O905">
        <v>0</v>
      </c>
      <c r="P9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05" t="str">
        <f>IF(Table1[[#This Row],[Fraud_Score]]&gt;=6, "High Risk",IF(Table1[[#This Row],[Fraud_Score]]&gt;=3, "Medium Risk", "Low Risk"))</f>
        <v>Low Risk</v>
      </c>
      <c r="R905">
        <f>IF(Table1[[#This Row],[Seconds of Use]]=0,0,Table1[[#This Row],[Customer Value]]/Table1[[#This Row],[Seconds of Use]]*100)</f>
        <v>5.5867259174311927</v>
      </c>
    </row>
    <row r="906" spans="1:18" x14ac:dyDescent="0.35">
      <c r="A906" s="3" t="s">
        <v>927</v>
      </c>
      <c r="B906">
        <v>0</v>
      </c>
      <c r="C906">
        <v>0</v>
      </c>
      <c r="D906">
        <v>37</v>
      </c>
      <c r="E906">
        <v>0</v>
      </c>
      <c r="F906">
        <v>1683</v>
      </c>
      <c r="G906">
        <v>47</v>
      </c>
      <c r="H906">
        <v>0</v>
      </c>
      <c r="I906">
        <v>33</v>
      </c>
      <c r="J906">
        <v>1</v>
      </c>
      <c r="K906">
        <v>1</v>
      </c>
      <c r="L906">
        <v>1</v>
      </c>
      <c r="M906">
        <v>15</v>
      </c>
      <c r="N906">
        <v>95.15</v>
      </c>
      <c r="O906">
        <v>0</v>
      </c>
      <c r="P9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06" t="str">
        <f>IF(Table1[[#This Row],[Fraud_Score]]&gt;=6, "High Risk",IF(Table1[[#This Row],[Fraud_Score]]&gt;=3, "Medium Risk", "Low Risk"))</f>
        <v>Low Risk</v>
      </c>
      <c r="R906">
        <f>IF(Table1[[#This Row],[Seconds of Use]]=0,0,Table1[[#This Row],[Customer Value]]/Table1[[#This Row],[Seconds of Use]]*100)</f>
        <v>5.6535947712418304</v>
      </c>
    </row>
    <row r="907" spans="1:18" x14ac:dyDescent="0.35">
      <c r="A907" s="3" t="s">
        <v>928</v>
      </c>
      <c r="B907">
        <v>5</v>
      </c>
      <c r="C907">
        <v>0</v>
      </c>
      <c r="D907">
        <v>37</v>
      </c>
      <c r="E907">
        <v>0</v>
      </c>
      <c r="F907">
        <v>3065</v>
      </c>
      <c r="G907">
        <v>71</v>
      </c>
      <c r="H907">
        <v>7</v>
      </c>
      <c r="I907">
        <v>28</v>
      </c>
      <c r="J907">
        <v>3</v>
      </c>
      <c r="K907">
        <v>1</v>
      </c>
      <c r="L907">
        <v>1</v>
      </c>
      <c r="M907">
        <v>30</v>
      </c>
      <c r="N907">
        <v>153.44</v>
      </c>
      <c r="O907">
        <v>0</v>
      </c>
      <c r="P9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07" t="str">
        <f>IF(Table1[[#This Row],[Fraud_Score]]&gt;=6, "High Risk",IF(Table1[[#This Row],[Fraud_Score]]&gt;=3, "Medium Risk", "Low Risk"))</f>
        <v>Low Risk</v>
      </c>
      <c r="R907">
        <f>IF(Table1[[#This Row],[Seconds of Use]]=0,0,Table1[[#This Row],[Customer Value]]/Table1[[#This Row],[Seconds of Use]]*100)</f>
        <v>5.0061990212071779</v>
      </c>
    </row>
    <row r="908" spans="1:18" x14ac:dyDescent="0.35">
      <c r="A908" s="3" t="s">
        <v>929</v>
      </c>
      <c r="B908">
        <v>0</v>
      </c>
      <c r="C908">
        <v>0</v>
      </c>
      <c r="D908">
        <v>37</v>
      </c>
      <c r="E908">
        <v>0</v>
      </c>
      <c r="F908">
        <v>1650</v>
      </c>
      <c r="G908">
        <v>28</v>
      </c>
      <c r="H908">
        <v>260</v>
      </c>
      <c r="I908">
        <v>18</v>
      </c>
      <c r="J908">
        <v>3</v>
      </c>
      <c r="K908">
        <v>1</v>
      </c>
      <c r="L908">
        <v>1</v>
      </c>
      <c r="M908">
        <v>30</v>
      </c>
      <c r="N908">
        <v>1107.1199999999999</v>
      </c>
      <c r="O908">
        <v>0</v>
      </c>
      <c r="P9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08" t="str">
        <f>IF(Table1[[#This Row],[Fraud_Score]]&gt;=6, "High Risk",IF(Table1[[#This Row],[Fraud_Score]]&gt;=3, "Medium Risk", "Low Risk"))</f>
        <v>Low Risk</v>
      </c>
      <c r="R908">
        <f>IF(Table1[[#This Row],[Seconds of Use]]=0,0,Table1[[#This Row],[Customer Value]]/Table1[[#This Row],[Seconds of Use]]*100)</f>
        <v>67.098181818181814</v>
      </c>
    </row>
    <row r="909" spans="1:18" x14ac:dyDescent="0.35">
      <c r="A909" s="3" t="s">
        <v>930</v>
      </c>
      <c r="B909">
        <v>7</v>
      </c>
      <c r="C909">
        <v>0</v>
      </c>
      <c r="D909">
        <v>36</v>
      </c>
      <c r="E909">
        <v>1</v>
      </c>
      <c r="F909">
        <v>8405</v>
      </c>
      <c r="G909">
        <v>110</v>
      </c>
      <c r="H909">
        <v>119</v>
      </c>
      <c r="I909">
        <v>43</v>
      </c>
      <c r="J909">
        <v>3</v>
      </c>
      <c r="K909">
        <v>1</v>
      </c>
      <c r="L909">
        <v>1</v>
      </c>
      <c r="M909">
        <v>30</v>
      </c>
      <c r="N909">
        <v>816.6</v>
      </c>
      <c r="O909">
        <v>0</v>
      </c>
      <c r="P9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09" t="str">
        <f>IF(Table1[[#This Row],[Fraud_Score]]&gt;=6, "High Risk",IF(Table1[[#This Row],[Fraud_Score]]&gt;=3, "Medium Risk", "Low Risk"))</f>
        <v>Low Risk</v>
      </c>
      <c r="R909">
        <f>IF(Table1[[#This Row],[Seconds of Use]]=0,0,Table1[[#This Row],[Customer Value]]/Table1[[#This Row],[Seconds of Use]]*100)</f>
        <v>9.7156454491374173</v>
      </c>
    </row>
    <row r="910" spans="1:18" x14ac:dyDescent="0.35">
      <c r="A910" s="3" t="s">
        <v>931</v>
      </c>
      <c r="B910">
        <v>1</v>
      </c>
      <c r="C910">
        <v>0</v>
      </c>
      <c r="D910">
        <v>37</v>
      </c>
      <c r="E910">
        <v>0</v>
      </c>
      <c r="F910">
        <v>13063</v>
      </c>
      <c r="G910">
        <v>158</v>
      </c>
      <c r="H910">
        <v>0</v>
      </c>
      <c r="I910">
        <v>44</v>
      </c>
      <c r="J910">
        <v>3</v>
      </c>
      <c r="K910">
        <v>1</v>
      </c>
      <c r="L910">
        <v>1</v>
      </c>
      <c r="M910">
        <v>30</v>
      </c>
      <c r="N910">
        <v>528.84</v>
      </c>
      <c r="O910">
        <v>0</v>
      </c>
      <c r="P9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10" t="str">
        <f>IF(Table1[[#This Row],[Fraud_Score]]&gt;=6, "High Risk",IF(Table1[[#This Row],[Fraud_Score]]&gt;=3, "Medium Risk", "Low Risk"))</f>
        <v>Medium Risk</v>
      </c>
      <c r="R910">
        <f>IF(Table1[[#This Row],[Seconds of Use]]=0,0,Table1[[#This Row],[Customer Value]]/Table1[[#This Row],[Seconds of Use]]*100)</f>
        <v>4.0483809232182502</v>
      </c>
    </row>
    <row r="911" spans="1:18" x14ac:dyDescent="0.35">
      <c r="A911" s="3" t="s">
        <v>932</v>
      </c>
      <c r="B911">
        <v>1</v>
      </c>
      <c r="C911">
        <v>0</v>
      </c>
      <c r="D911">
        <v>37</v>
      </c>
      <c r="E911">
        <v>0</v>
      </c>
      <c r="F911">
        <v>3805</v>
      </c>
      <c r="G911">
        <v>72</v>
      </c>
      <c r="H911">
        <v>0</v>
      </c>
      <c r="I911">
        <v>25</v>
      </c>
      <c r="J911">
        <v>3</v>
      </c>
      <c r="K911">
        <v>1</v>
      </c>
      <c r="L911">
        <v>1</v>
      </c>
      <c r="M911">
        <v>30</v>
      </c>
      <c r="N911">
        <v>155.08000000000001</v>
      </c>
      <c r="O911">
        <v>0</v>
      </c>
      <c r="P9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1" t="str">
        <f>IF(Table1[[#This Row],[Fraud_Score]]&gt;=6, "High Risk",IF(Table1[[#This Row],[Fraud_Score]]&gt;=3, "Medium Risk", "Low Risk"))</f>
        <v>Low Risk</v>
      </c>
      <c r="R911">
        <f>IF(Table1[[#This Row],[Seconds of Use]]=0,0,Table1[[#This Row],[Customer Value]]/Table1[[#This Row],[Seconds of Use]]*100)</f>
        <v>4.0756898817345597</v>
      </c>
    </row>
    <row r="912" spans="1:18" x14ac:dyDescent="0.35">
      <c r="A912" s="3" t="s">
        <v>933</v>
      </c>
      <c r="B912">
        <v>0</v>
      </c>
      <c r="C912">
        <v>0</v>
      </c>
      <c r="D912">
        <v>37</v>
      </c>
      <c r="E912">
        <v>0</v>
      </c>
      <c r="F912">
        <v>5208</v>
      </c>
      <c r="G912">
        <v>84</v>
      </c>
      <c r="H912">
        <v>0</v>
      </c>
      <c r="I912">
        <v>12</v>
      </c>
      <c r="J912">
        <v>2</v>
      </c>
      <c r="K912">
        <v>1</v>
      </c>
      <c r="L912">
        <v>1</v>
      </c>
      <c r="M912">
        <v>25</v>
      </c>
      <c r="N912">
        <v>238.14</v>
      </c>
      <c r="O912">
        <v>0</v>
      </c>
      <c r="P9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2" t="str">
        <f>IF(Table1[[#This Row],[Fraud_Score]]&gt;=6, "High Risk",IF(Table1[[#This Row],[Fraud_Score]]&gt;=3, "Medium Risk", "Low Risk"))</f>
        <v>Low Risk</v>
      </c>
      <c r="R912">
        <f>IF(Table1[[#This Row],[Seconds of Use]]=0,0,Table1[[#This Row],[Customer Value]]/Table1[[#This Row],[Seconds of Use]]*100)</f>
        <v>4.57258064516129</v>
      </c>
    </row>
    <row r="913" spans="1:18" x14ac:dyDescent="0.35">
      <c r="A913" s="3" t="s">
        <v>934</v>
      </c>
      <c r="B913">
        <v>3</v>
      </c>
      <c r="C913">
        <v>0</v>
      </c>
      <c r="D913">
        <v>37</v>
      </c>
      <c r="E913">
        <v>0</v>
      </c>
      <c r="F913">
        <v>1528</v>
      </c>
      <c r="G913">
        <v>43</v>
      </c>
      <c r="H913">
        <v>0</v>
      </c>
      <c r="I913">
        <v>17</v>
      </c>
      <c r="J913">
        <v>3</v>
      </c>
      <c r="K913">
        <v>1</v>
      </c>
      <c r="L913">
        <v>2</v>
      </c>
      <c r="M913">
        <v>30</v>
      </c>
      <c r="N913">
        <v>62.84</v>
      </c>
      <c r="O913">
        <v>0</v>
      </c>
      <c r="P9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3" t="str">
        <f>IF(Table1[[#This Row],[Fraud_Score]]&gt;=6, "High Risk",IF(Table1[[#This Row],[Fraud_Score]]&gt;=3, "Medium Risk", "Low Risk"))</f>
        <v>Low Risk</v>
      </c>
      <c r="R913">
        <f>IF(Table1[[#This Row],[Seconds of Use]]=0,0,Table1[[#This Row],[Customer Value]]/Table1[[#This Row],[Seconds of Use]]*100)</f>
        <v>4.1125654450261786</v>
      </c>
    </row>
    <row r="914" spans="1:18" x14ac:dyDescent="0.35">
      <c r="A914" s="3" t="s">
        <v>935</v>
      </c>
      <c r="B914">
        <v>19</v>
      </c>
      <c r="C914">
        <v>0</v>
      </c>
      <c r="D914">
        <v>37</v>
      </c>
      <c r="E914">
        <v>2</v>
      </c>
      <c r="F914">
        <v>14430</v>
      </c>
      <c r="G914">
        <v>214</v>
      </c>
      <c r="H914">
        <v>29</v>
      </c>
      <c r="I914">
        <v>32</v>
      </c>
      <c r="J914">
        <v>3</v>
      </c>
      <c r="K914">
        <v>1</v>
      </c>
      <c r="L914">
        <v>1</v>
      </c>
      <c r="M914">
        <v>30</v>
      </c>
      <c r="N914">
        <v>701.76</v>
      </c>
      <c r="O914">
        <v>0</v>
      </c>
      <c r="P9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914" t="str">
        <f>IF(Table1[[#This Row],[Fraud_Score]]&gt;=6, "High Risk",IF(Table1[[#This Row],[Fraud_Score]]&gt;=3, "Medium Risk", "Low Risk"))</f>
        <v>Medium Risk</v>
      </c>
      <c r="R914">
        <f>IF(Table1[[#This Row],[Seconds of Use]]=0,0,Table1[[#This Row],[Customer Value]]/Table1[[#This Row],[Seconds of Use]]*100)</f>
        <v>4.8632016632016635</v>
      </c>
    </row>
    <row r="915" spans="1:18" x14ac:dyDescent="0.35">
      <c r="A915" s="3" t="s">
        <v>936</v>
      </c>
      <c r="B915">
        <v>0</v>
      </c>
      <c r="C915">
        <v>0</v>
      </c>
      <c r="D915">
        <v>37</v>
      </c>
      <c r="E915">
        <v>0</v>
      </c>
      <c r="F915">
        <v>2385</v>
      </c>
      <c r="G915">
        <v>16</v>
      </c>
      <c r="H915">
        <v>458</v>
      </c>
      <c r="I915">
        <v>8</v>
      </c>
      <c r="J915">
        <v>3</v>
      </c>
      <c r="K915">
        <v>1</v>
      </c>
      <c r="L915">
        <v>1</v>
      </c>
      <c r="M915">
        <v>30</v>
      </c>
      <c r="N915">
        <v>1928.04</v>
      </c>
      <c r="O915">
        <v>0</v>
      </c>
      <c r="P9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5" t="str">
        <f>IF(Table1[[#This Row],[Fraud_Score]]&gt;=6, "High Risk",IF(Table1[[#This Row],[Fraud_Score]]&gt;=3, "Medium Risk", "Low Risk"))</f>
        <v>Low Risk</v>
      </c>
      <c r="R915">
        <f>IF(Table1[[#This Row],[Seconds of Use]]=0,0,Table1[[#This Row],[Customer Value]]/Table1[[#This Row],[Seconds of Use]]*100)</f>
        <v>80.840251572327034</v>
      </c>
    </row>
    <row r="916" spans="1:18" x14ac:dyDescent="0.35">
      <c r="A916" s="3" t="s">
        <v>937</v>
      </c>
      <c r="B916">
        <v>3</v>
      </c>
      <c r="C916">
        <v>0</v>
      </c>
      <c r="D916">
        <v>36</v>
      </c>
      <c r="E916">
        <v>0</v>
      </c>
      <c r="F916">
        <v>14775</v>
      </c>
      <c r="G916">
        <v>171</v>
      </c>
      <c r="H916">
        <v>125</v>
      </c>
      <c r="I916">
        <v>30</v>
      </c>
      <c r="J916">
        <v>2</v>
      </c>
      <c r="K916">
        <v>1</v>
      </c>
      <c r="L916">
        <v>1</v>
      </c>
      <c r="M916">
        <v>25</v>
      </c>
      <c r="N916">
        <v>1235.07</v>
      </c>
      <c r="O916">
        <v>0</v>
      </c>
      <c r="P9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16" t="str">
        <f>IF(Table1[[#This Row],[Fraud_Score]]&gt;=6, "High Risk",IF(Table1[[#This Row],[Fraud_Score]]&gt;=3, "Medium Risk", "Low Risk"))</f>
        <v>Medium Risk</v>
      </c>
      <c r="R916">
        <f>IF(Table1[[#This Row],[Seconds of Use]]=0,0,Table1[[#This Row],[Customer Value]]/Table1[[#This Row],[Seconds of Use]]*100)</f>
        <v>8.3591878172588832</v>
      </c>
    </row>
    <row r="917" spans="1:18" x14ac:dyDescent="0.35">
      <c r="A917" s="3" t="s">
        <v>938</v>
      </c>
      <c r="B917">
        <v>0</v>
      </c>
      <c r="C917">
        <v>0</v>
      </c>
      <c r="D917">
        <v>36</v>
      </c>
      <c r="E917">
        <v>0</v>
      </c>
      <c r="F917">
        <v>5790</v>
      </c>
      <c r="G917">
        <v>75</v>
      </c>
      <c r="H917">
        <v>161</v>
      </c>
      <c r="I917">
        <v>26</v>
      </c>
      <c r="J917">
        <v>3</v>
      </c>
      <c r="K917">
        <v>1</v>
      </c>
      <c r="L917">
        <v>1</v>
      </c>
      <c r="M917">
        <v>30</v>
      </c>
      <c r="N917">
        <v>878.6</v>
      </c>
      <c r="O917">
        <v>0</v>
      </c>
      <c r="P9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7" t="str">
        <f>IF(Table1[[#This Row],[Fraud_Score]]&gt;=6, "High Risk",IF(Table1[[#This Row],[Fraud_Score]]&gt;=3, "Medium Risk", "Low Risk"))</f>
        <v>Low Risk</v>
      </c>
      <c r="R917">
        <f>IF(Table1[[#This Row],[Seconds of Use]]=0,0,Table1[[#This Row],[Customer Value]]/Table1[[#This Row],[Seconds of Use]]*100)</f>
        <v>15.174438687392055</v>
      </c>
    </row>
    <row r="918" spans="1:18" x14ac:dyDescent="0.35">
      <c r="A918" s="3" t="s">
        <v>939</v>
      </c>
      <c r="B918">
        <v>0</v>
      </c>
      <c r="C918">
        <v>0</v>
      </c>
      <c r="D918">
        <v>36</v>
      </c>
      <c r="E918">
        <v>0</v>
      </c>
      <c r="F918">
        <v>165</v>
      </c>
      <c r="G918">
        <v>3</v>
      </c>
      <c r="H918">
        <v>0</v>
      </c>
      <c r="I918">
        <v>11</v>
      </c>
      <c r="J918">
        <v>2</v>
      </c>
      <c r="K918">
        <v>1</v>
      </c>
      <c r="L918">
        <v>2</v>
      </c>
      <c r="M918">
        <v>25</v>
      </c>
      <c r="N918">
        <v>7.56</v>
      </c>
      <c r="O918">
        <v>0</v>
      </c>
      <c r="P9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8" t="str">
        <f>IF(Table1[[#This Row],[Fraud_Score]]&gt;=6, "High Risk",IF(Table1[[#This Row],[Fraud_Score]]&gt;=3, "Medium Risk", "Low Risk"))</f>
        <v>Low Risk</v>
      </c>
      <c r="R918">
        <f>IF(Table1[[#This Row],[Seconds of Use]]=0,0,Table1[[#This Row],[Customer Value]]/Table1[[#This Row],[Seconds of Use]]*100)</f>
        <v>4.5818181818181811</v>
      </c>
    </row>
    <row r="919" spans="1:18" x14ac:dyDescent="0.35">
      <c r="A919" s="3" t="s">
        <v>940</v>
      </c>
      <c r="B919">
        <v>0</v>
      </c>
      <c r="C919">
        <v>0</v>
      </c>
      <c r="D919">
        <v>37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1</v>
      </c>
      <c r="L919">
        <v>2</v>
      </c>
      <c r="M919">
        <v>25</v>
      </c>
      <c r="N919">
        <v>0</v>
      </c>
      <c r="O919">
        <v>0</v>
      </c>
      <c r="P9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19" t="str">
        <f>IF(Table1[[#This Row],[Fraud_Score]]&gt;=6, "High Risk",IF(Table1[[#This Row],[Fraud_Score]]&gt;=3, "Medium Risk", "Low Risk"))</f>
        <v>Low Risk</v>
      </c>
      <c r="R919">
        <f>IF(Table1[[#This Row],[Seconds of Use]]=0,0,Table1[[#This Row],[Customer Value]]/Table1[[#This Row],[Seconds of Use]]*100)</f>
        <v>0</v>
      </c>
    </row>
    <row r="920" spans="1:18" x14ac:dyDescent="0.35">
      <c r="A920" s="3" t="s">
        <v>941</v>
      </c>
      <c r="B920">
        <v>0</v>
      </c>
      <c r="C920">
        <v>0</v>
      </c>
      <c r="D920">
        <v>36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1</v>
      </c>
      <c r="L920">
        <v>2</v>
      </c>
      <c r="M920">
        <v>25</v>
      </c>
      <c r="N920">
        <v>0</v>
      </c>
      <c r="O920">
        <v>1</v>
      </c>
      <c r="P9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20" t="str">
        <f>IF(Table1[[#This Row],[Fraud_Score]]&gt;=6, "High Risk",IF(Table1[[#This Row],[Fraud_Score]]&gt;=3, "Medium Risk", "Low Risk"))</f>
        <v>Low Risk</v>
      </c>
      <c r="R920">
        <f>IF(Table1[[#This Row],[Seconds of Use]]=0,0,Table1[[#This Row],[Customer Value]]/Table1[[#This Row],[Seconds of Use]]*100)</f>
        <v>0</v>
      </c>
    </row>
    <row r="921" spans="1:18" x14ac:dyDescent="0.35">
      <c r="A921" s="3" t="s">
        <v>942</v>
      </c>
      <c r="B921">
        <v>0</v>
      </c>
      <c r="C921">
        <v>0</v>
      </c>
      <c r="D921">
        <v>36</v>
      </c>
      <c r="E921">
        <v>0</v>
      </c>
      <c r="F921">
        <v>6798</v>
      </c>
      <c r="G921">
        <v>116</v>
      </c>
      <c r="H921">
        <v>359</v>
      </c>
      <c r="I921">
        <v>43</v>
      </c>
      <c r="J921">
        <v>2</v>
      </c>
      <c r="K921">
        <v>1</v>
      </c>
      <c r="L921">
        <v>1</v>
      </c>
      <c r="M921">
        <v>25</v>
      </c>
      <c r="N921">
        <v>1926.63</v>
      </c>
      <c r="O921">
        <v>0</v>
      </c>
      <c r="P9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21" t="str">
        <f>IF(Table1[[#This Row],[Fraud_Score]]&gt;=6, "High Risk",IF(Table1[[#This Row],[Fraud_Score]]&gt;=3, "Medium Risk", "Low Risk"))</f>
        <v>Low Risk</v>
      </c>
      <c r="R921">
        <f>IF(Table1[[#This Row],[Seconds of Use]]=0,0,Table1[[#This Row],[Customer Value]]/Table1[[#This Row],[Seconds of Use]]*100)</f>
        <v>28.341129744042366</v>
      </c>
    </row>
    <row r="922" spans="1:18" x14ac:dyDescent="0.35">
      <c r="A922" s="3" t="s">
        <v>943</v>
      </c>
      <c r="B922">
        <v>1</v>
      </c>
      <c r="C922">
        <v>0</v>
      </c>
      <c r="D922">
        <v>36</v>
      </c>
      <c r="E922">
        <v>0</v>
      </c>
      <c r="F922">
        <v>10755</v>
      </c>
      <c r="G922">
        <v>143</v>
      </c>
      <c r="H922">
        <v>0</v>
      </c>
      <c r="I922">
        <v>47</v>
      </c>
      <c r="J922">
        <v>3</v>
      </c>
      <c r="K922">
        <v>1</v>
      </c>
      <c r="L922">
        <v>1</v>
      </c>
      <c r="M922">
        <v>30</v>
      </c>
      <c r="N922">
        <v>435.92</v>
      </c>
      <c r="O922">
        <v>0</v>
      </c>
      <c r="P9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22" t="str">
        <f>IF(Table1[[#This Row],[Fraud_Score]]&gt;=6, "High Risk",IF(Table1[[#This Row],[Fraud_Score]]&gt;=3, "Medium Risk", "Low Risk"))</f>
        <v>Medium Risk</v>
      </c>
      <c r="R922">
        <f>IF(Table1[[#This Row],[Seconds of Use]]=0,0,Table1[[#This Row],[Customer Value]]/Table1[[#This Row],[Seconds of Use]]*100)</f>
        <v>4.0531845653184568</v>
      </c>
    </row>
    <row r="923" spans="1:18" x14ac:dyDescent="0.35">
      <c r="A923" s="3" t="s">
        <v>944</v>
      </c>
      <c r="B923">
        <v>2</v>
      </c>
      <c r="C923">
        <v>0</v>
      </c>
      <c r="D923">
        <v>36</v>
      </c>
      <c r="E923">
        <v>0</v>
      </c>
      <c r="F923">
        <v>6008</v>
      </c>
      <c r="G923">
        <v>64</v>
      </c>
      <c r="H923">
        <v>83</v>
      </c>
      <c r="I923">
        <v>37</v>
      </c>
      <c r="J923">
        <v>2</v>
      </c>
      <c r="K923">
        <v>1</v>
      </c>
      <c r="L923">
        <v>1</v>
      </c>
      <c r="M923">
        <v>25</v>
      </c>
      <c r="N923">
        <v>646.74</v>
      </c>
      <c r="O923">
        <v>0</v>
      </c>
      <c r="P9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23" t="str">
        <f>IF(Table1[[#This Row],[Fraud_Score]]&gt;=6, "High Risk",IF(Table1[[#This Row],[Fraud_Score]]&gt;=3, "Medium Risk", "Low Risk"))</f>
        <v>Low Risk</v>
      </c>
      <c r="R923">
        <f>IF(Table1[[#This Row],[Seconds of Use]]=0,0,Table1[[#This Row],[Customer Value]]/Table1[[#This Row],[Seconds of Use]]*100)</f>
        <v>10.764647137150467</v>
      </c>
    </row>
    <row r="924" spans="1:18" x14ac:dyDescent="0.35">
      <c r="A924" s="3" t="s">
        <v>945</v>
      </c>
      <c r="B924">
        <v>17</v>
      </c>
      <c r="C924">
        <v>0</v>
      </c>
      <c r="D924">
        <v>32</v>
      </c>
      <c r="E924">
        <v>0</v>
      </c>
      <c r="F924">
        <v>245</v>
      </c>
      <c r="G924">
        <v>36</v>
      </c>
      <c r="H924">
        <v>0</v>
      </c>
      <c r="I924">
        <v>17</v>
      </c>
      <c r="J924">
        <v>2</v>
      </c>
      <c r="K924">
        <v>1</v>
      </c>
      <c r="L924">
        <v>2</v>
      </c>
      <c r="M924">
        <v>25</v>
      </c>
      <c r="N924">
        <v>12.645</v>
      </c>
      <c r="O924">
        <v>1</v>
      </c>
      <c r="P9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24" t="str">
        <f>IF(Table1[[#This Row],[Fraud_Score]]&gt;=6, "High Risk",IF(Table1[[#This Row],[Fraud_Score]]&gt;=3, "Medium Risk", "Low Risk"))</f>
        <v>Medium Risk</v>
      </c>
      <c r="R924">
        <f>IF(Table1[[#This Row],[Seconds of Use]]=0,0,Table1[[#This Row],[Customer Value]]/Table1[[#This Row],[Seconds of Use]]*100)</f>
        <v>5.1612244897959183</v>
      </c>
    </row>
    <row r="925" spans="1:18" x14ac:dyDescent="0.35">
      <c r="A925" s="3" t="s">
        <v>946</v>
      </c>
      <c r="B925">
        <v>15</v>
      </c>
      <c r="C925">
        <v>0</v>
      </c>
      <c r="D925">
        <v>35</v>
      </c>
      <c r="E925">
        <v>7</v>
      </c>
      <c r="F925">
        <v>9725</v>
      </c>
      <c r="G925">
        <v>82</v>
      </c>
      <c r="H925">
        <v>0</v>
      </c>
      <c r="I925">
        <v>42</v>
      </c>
      <c r="J925">
        <v>4</v>
      </c>
      <c r="K925">
        <v>1</v>
      </c>
      <c r="L925">
        <v>1</v>
      </c>
      <c r="M925">
        <v>45</v>
      </c>
      <c r="N925">
        <v>245.17500000000001</v>
      </c>
      <c r="O925">
        <v>0</v>
      </c>
      <c r="P9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25" t="str">
        <f>IF(Table1[[#This Row],[Fraud_Score]]&gt;=6, "High Risk",IF(Table1[[#This Row],[Fraud_Score]]&gt;=3, "Medium Risk", "Low Risk"))</f>
        <v>Low Risk</v>
      </c>
      <c r="R925">
        <f>IF(Table1[[#This Row],[Seconds of Use]]=0,0,Table1[[#This Row],[Customer Value]]/Table1[[#This Row],[Seconds of Use]]*100)</f>
        <v>2.5210796915167095</v>
      </c>
    </row>
    <row r="926" spans="1:18" x14ac:dyDescent="0.35">
      <c r="A926" s="3" t="s">
        <v>947</v>
      </c>
      <c r="B926">
        <v>7</v>
      </c>
      <c r="C926">
        <v>0</v>
      </c>
      <c r="D926">
        <v>35</v>
      </c>
      <c r="E926">
        <v>0</v>
      </c>
      <c r="F926">
        <v>5108</v>
      </c>
      <c r="G926">
        <v>87</v>
      </c>
      <c r="H926">
        <v>1</v>
      </c>
      <c r="I926">
        <v>24</v>
      </c>
      <c r="J926">
        <v>2</v>
      </c>
      <c r="K926">
        <v>1</v>
      </c>
      <c r="L926">
        <v>1</v>
      </c>
      <c r="M926">
        <v>25</v>
      </c>
      <c r="N926">
        <v>238.27500000000001</v>
      </c>
      <c r="O926">
        <v>1</v>
      </c>
      <c r="P9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26" t="str">
        <f>IF(Table1[[#This Row],[Fraud_Score]]&gt;=6, "High Risk",IF(Table1[[#This Row],[Fraud_Score]]&gt;=3, "Medium Risk", "Low Risk"))</f>
        <v>Low Risk</v>
      </c>
      <c r="R926">
        <f>IF(Table1[[#This Row],[Seconds of Use]]=0,0,Table1[[#This Row],[Customer Value]]/Table1[[#This Row],[Seconds of Use]]*100)</f>
        <v>4.6647415818324198</v>
      </c>
    </row>
    <row r="927" spans="1:18" x14ac:dyDescent="0.35">
      <c r="A927" s="3" t="s">
        <v>948</v>
      </c>
      <c r="B927">
        <v>0</v>
      </c>
      <c r="C927">
        <v>0</v>
      </c>
      <c r="D927">
        <v>33</v>
      </c>
      <c r="E927">
        <v>0</v>
      </c>
      <c r="F927">
        <v>2130</v>
      </c>
      <c r="G927">
        <v>11</v>
      </c>
      <c r="H927">
        <v>0</v>
      </c>
      <c r="I927">
        <v>14</v>
      </c>
      <c r="J927">
        <v>3</v>
      </c>
      <c r="K927">
        <v>1</v>
      </c>
      <c r="L927">
        <v>1</v>
      </c>
      <c r="M927">
        <v>30</v>
      </c>
      <c r="N927">
        <v>85.64</v>
      </c>
      <c r="O927">
        <v>0</v>
      </c>
      <c r="P9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27" t="str">
        <f>IF(Table1[[#This Row],[Fraud_Score]]&gt;=6, "High Risk",IF(Table1[[#This Row],[Fraud_Score]]&gt;=3, "Medium Risk", "Low Risk"))</f>
        <v>Low Risk</v>
      </c>
      <c r="R927">
        <f>IF(Table1[[#This Row],[Seconds of Use]]=0,0,Table1[[#This Row],[Customer Value]]/Table1[[#This Row],[Seconds of Use]]*100)</f>
        <v>4.0206572769953048</v>
      </c>
    </row>
    <row r="928" spans="1:18" x14ac:dyDescent="0.35">
      <c r="A928" s="3" t="s">
        <v>949</v>
      </c>
      <c r="B928">
        <v>3</v>
      </c>
      <c r="C928">
        <v>1</v>
      </c>
      <c r="D928">
        <v>34</v>
      </c>
      <c r="E928">
        <v>0</v>
      </c>
      <c r="F928">
        <v>2280</v>
      </c>
      <c r="G928">
        <v>30</v>
      </c>
      <c r="H928">
        <v>0</v>
      </c>
      <c r="I928">
        <v>16</v>
      </c>
      <c r="J928">
        <v>2</v>
      </c>
      <c r="K928">
        <v>1</v>
      </c>
      <c r="L928">
        <v>2</v>
      </c>
      <c r="M928">
        <v>25</v>
      </c>
      <c r="N928">
        <v>103.95</v>
      </c>
      <c r="O928">
        <v>1</v>
      </c>
      <c r="P9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28" t="str">
        <f>IF(Table1[[#This Row],[Fraud_Score]]&gt;=6, "High Risk",IF(Table1[[#This Row],[Fraud_Score]]&gt;=3, "Medium Risk", "Low Risk"))</f>
        <v>Medium Risk</v>
      </c>
      <c r="R928">
        <f>IF(Table1[[#This Row],[Seconds of Use]]=0,0,Table1[[#This Row],[Customer Value]]/Table1[[#This Row],[Seconds of Use]]*100)</f>
        <v>4.5592105263157903</v>
      </c>
    </row>
    <row r="929" spans="1:18" x14ac:dyDescent="0.35">
      <c r="A929" s="3" t="s">
        <v>950</v>
      </c>
      <c r="B929">
        <v>3</v>
      </c>
      <c r="C929">
        <v>0</v>
      </c>
      <c r="D929">
        <v>35</v>
      </c>
      <c r="E929">
        <v>0</v>
      </c>
      <c r="F929">
        <v>1558</v>
      </c>
      <c r="G929">
        <v>33</v>
      </c>
      <c r="H929">
        <v>9</v>
      </c>
      <c r="I929">
        <v>31</v>
      </c>
      <c r="J929">
        <v>3</v>
      </c>
      <c r="K929">
        <v>1</v>
      </c>
      <c r="L929">
        <v>2</v>
      </c>
      <c r="M929">
        <v>30</v>
      </c>
      <c r="N929">
        <v>99.64</v>
      </c>
      <c r="O929">
        <v>1</v>
      </c>
      <c r="P9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29" t="str">
        <f>IF(Table1[[#This Row],[Fraud_Score]]&gt;=6, "High Risk",IF(Table1[[#This Row],[Fraud_Score]]&gt;=3, "Medium Risk", "Low Risk"))</f>
        <v>Low Risk</v>
      </c>
      <c r="R929">
        <f>IF(Table1[[#This Row],[Seconds of Use]]=0,0,Table1[[#This Row],[Customer Value]]/Table1[[#This Row],[Seconds of Use]]*100)</f>
        <v>6.3953786906290109</v>
      </c>
    </row>
    <row r="930" spans="1:18" x14ac:dyDescent="0.35">
      <c r="A930" s="3" t="s">
        <v>951</v>
      </c>
      <c r="B930">
        <v>0</v>
      </c>
      <c r="C930">
        <v>0</v>
      </c>
      <c r="D930">
        <v>35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3</v>
      </c>
      <c r="K930">
        <v>1</v>
      </c>
      <c r="L930">
        <v>2</v>
      </c>
      <c r="M930">
        <v>30</v>
      </c>
      <c r="N930">
        <v>0</v>
      </c>
      <c r="O930">
        <v>1</v>
      </c>
      <c r="P9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0" t="str">
        <f>IF(Table1[[#This Row],[Fraud_Score]]&gt;=6, "High Risk",IF(Table1[[#This Row],[Fraud_Score]]&gt;=3, "Medium Risk", "Low Risk"))</f>
        <v>Low Risk</v>
      </c>
      <c r="R930">
        <f>IF(Table1[[#This Row],[Seconds of Use]]=0,0,Table1[[#This Row],[Customer Value]]/Table1[[#This Row],[Seconds of Use]]*100)</f>
        <v>0</v>
      </c>
    </row>
    <row r="931" spans="1:18" x14ac:dyDescent="0.35">
      <c r="A931" s="3" t="s">
        <v>952</v>
      </c>
      <c r="B931">
        <v>0</v>
      </c>
      <c r="C931">
        <v>0</v>
      </c>
      <c r="D931">
        <v>35</v>
      </c>
      <c r="E931">
        <v>0</v>
      </c>
      <c r="F931">
        <v>958</v>
      </c>
      <c r="G931">
        <v>14</v>
      </c>
      <c r="H931">
        <v>0</v>
      </c>
      <c r="I931">
        <v>6</v>
      </c>
      <c r="J931">
        <v>3</v>
      </c>
      <c r="K931">
        <v>1</v>
      </c>
      <c r="L931">
        <v>1</v>
      </c>
      <c r="M931">
        <v>30</v>
      </c>
      <c r="N931">
        <v>38.880000000000003</v>
      </c>
      <c r="O931">
        <v>0</v>
      </c>
      <c r="P9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1" t="str">
        <f>IF(Table1[[#This Row],[Fraud_Score]]&gt;=6, "High Risk",IF(Table1[[#This Row],[Fraud_Score]]&gt;=3, "Medium Risk", "Low Risk"))</f>
        <v>Low Risk</v>
      </c>
      <c r="R931">
        <f>IF(Table1[[#This Row],[Seconds of Use]]=0,0,Table1[[#This Row],[Customer Value]]/Table1[[#This Row],[Seconds of Use]]*100)</f>
        <v>4.0584551148225474</v>
      </c>
    </row>
    <row r="932" spans="1:18" x14ac:dyDescent="0.35">
      <c r="A932" s="3" t="s">
        <v>953</v>
      </c>
      <c r="B932">
        <v>0</v>
      </c>
      <c r="C932">
        <v>0</v>
      </c>
      <c r="D932">
        <v>32</v>
      </c>
      <c r="E932">
        <v>0</v>
      </c>
      <c r="F932">
        <v>6075</v>
      </c>
      <c r="G932">
        <v>86</v>
      </c>
      <c r="H932">
        <v>0</v>
      </c>
      <c r="I932">
        <v>22</v>
      </c>
      <c r="J932">
        <v>4</v>
      </c>
      <c r="K932">
        <v>1</v>
      </c>
      <c r="L932">
        <v>1</v>
      </c>
      <c r="M932">
        <v>45</v>
      </c>
      <c r="N932">
        <v>154.02500000000001</v>
      </c>
      <c r="O932">
        <v>0</v>
      </c>
      <c r="P9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2" t="str">
        <f>IF(Table1[[#This Row],[Fraud_Score]]&gt;=6, "High Risk",IF(Table1[[#This Row],[Fraud_Score]]&gt;=3, "Medium Risk", "Low Risk"))</f>
        <v>Low Risk</v>
      </c>
      <c r="R932">
        <f>IF(Table1[[#This Row],[Seconds of Use]]=0,0,Table1[[#This Row],[Customer Value]]/Table1[[#This Row],[Seconds of Use]]*100)</f>
        <v>2.5353909465020577</v>
      </c>
    </row>
    <row r="933" spans="1:18" x14ac:dyDescent="0.35">
      <c r="A933" s="3" t="s">
        <v>954</v>
      </c>
      <c r="B933">
        <v>0</v>
      </c>
      <c r="C933">
        <v>0</v>
      </c>
      <c r="D933">
        <v>35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4</v>
      </c>
      <c r="K933">
        <v>1</v>
      </c>
      <c r="L933">
        <v>2</v>
      </c>
      <c r="M933">
        <v>45</v>
      </c>
      <c r="N933">
        <v>0</v>
      </c>
      <c r="O933">
        <v>1</v>
      </c>
      <c r="P9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3" t="str">
        <f>IF(Table1[[#This Row],[Fraud_Score]]&gt;=6, "High Risk",IF(Table1[[#This Row],[Fraud_Score]]&gt;=3, "Medium Risk", "Low Risk"))</f>
        <v>Low Risk</v>
      </c>
      <c r="R933">
        <f>IF(Table1[[#This Row],[Seconds of Use]]=0,0,Table1[[#This Row],[Customer Value]]/Table1[[#This Row],[Seconds of Use]]*100)</f>
        <v>0</v>
      </c>
    </row>
    <row r="934" spans="1:18" x14ac:dyDescent="0.35">
      <c r="A934" s="3" t="s">
        <v>955</v>
      </c>
      <c r="B934">
        <v>0</v>
      </c>
      <c r="C934">
        <v>0</v>
      </c>
      <c r="D934">
        <v>35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5</v>
      </c>
      <c r="K934">
        <v>1</v>
      </c>
      <c r="L934">
        <v>1</v>
      </c>
      <c r="M934">
        <v>55</v>
      </c>
      <c r="N934">
        <v>0</v>
      </c>
      <c r="O934">
        <v>0</v>
      </c>
      <c r="P9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4" t="str">
        <f>IF(Table1[[#This Row],[Fraud_Score]]&gt;=6, "High Risk",IF(Table1[[#This Row],[Fraud_Score]]&gt;=3, "Medium Risk", "Low Risk"))</f>
        <v>Low Risk</v>
      </c>
      <c r="R934">
        <f>IF(Table1[[#This Row],[Seconds of Use]]=0,0,Table1[[#This Row],[Customer Value]]/Table1[[#This Row],[Seconds of Use]]*100)</f>
        <v>0</v>
      </c>
    </row>
    <row r="935" spans="1:18" x14ac:dyDescent="0.35">
      <c r="A935" s="3" t="s">
        <v>956</v>
      </c>
      <c r="B935">
        <v>19</v>
      </c>
      <c r="C935">
        <v>0</v>
      </c>
      <c r="D935">
        <v>30</v>
      </c>
      <c r="E935">
        <v>2</v>
      </c>
      <c r="F935">
        <v>15365</v>
      </c>
      <c r="G935">
        <v>227</v>
      </c>
      <c r="H935">
        <v>0</v>
      </c>
      <c r="I935">
        <v>80</v>
      </c>
      <c r="J935">
        <v>2</v>
      </c>
      <c r="K935">
        <v>1</v>
      </c>
      <c r="L935">
        <v>1</v>
      </c>
      <c r="M935">
        <v>25</v>
      </c>
      <c r="N935">
        <v>701.64</v>
      </c>
      <c r="O935">
        <v>0</v>
      </c>
      <c r="P9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935" t="str">
        <f>IF(Table1[[#This Row],[Fraud_Score]]&gt;=6, "High Risk",IF(Table1[[#This Row],[Fraud_Score]]&gt;=3, "Medium Risk", "Low Risk"))</f>
        <v>Medium Risk</v>
      </c>
      <c r="R935">
        <f>IF(Table1[[#This Row],[Seconds of Use]]=0,0,Table1[[#This Row],[Customer Value]]/Table1[[#This Row],[Seconds of Use]]*100)</f>
        <v>4.5664822648877319</v>
      </c>
    </row>
    <row r="936" spans="1:18" x14ac:dyDescent="0.35">
      <c r="A936" s="3" t="s">
        <v>957</v>
      </c>
      <c r="B936">
        <v>0</v>
      </c>
      <c r="C936">
        <v>0</v>
      </c>
      <c r="D936">
        <v>33</v>
      </c>
      <c r="E936">
        <v>2</v>
      </c>
      <c r="F936">
        <v>6255</v>
      </c>
      <c r="G936">
        <v>105</v>
      </c>
      <c r="H936">
        <v>246</v>
      </c>
      <c r="I936">
        <v>33</v>
      </c>
      <c r="J936">
        <v>2</v>
      </c>
      <c r="K936">
        <v>2</v>
      </c>
      <c r="L936">
        <v>1</v>
      </c>
      <c r="M936">
        <v>25</v>
      </c>
      <c r="N936">
        <v>1393.2</v>
      </c>
      <c r="O936">
        <v>0</v>
      </c>
      <c r="P9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36" t="str">
        <f>IF(Table1[[#This Row],[Fraud_Score]]&gt;=6, "High Risk",IF(Table1[[#This Row],[Fraud_Score]]&gt;=3, "Medium Risk", "Low Risk"))</f>
        <v>Low Risk</v>
      </c>
      <c r="R936">
        <f>IF(Table1[[#This Row],[Seconds of Use]]=0,0,Table1[[#This Row],[Customer Value]]/Table1[[#This Row],[Seconds of Use]]*100)</f>
        <v>22.273381294964029</v>
      </c>
    </row>
    <row r="937" spans="1:18" x14ac:dyDescent="0.35">
      <c r="A937" s="3" t="s">
        <v>958</v>
      </c>
      <c r="B937">
        <v>0</v>
      </c>
      <c r="C937">
        <v>0</v>
      </c>
      <c r="D937">
        <v>35</v>
      </c>
      <c r="E937">
        <v>0</v>
      </c>
      <c r="F937">
        <v>3008</v>
      </c>
      <c r="G937">
        <v>71</v>
      </c>
      <c r="H937">
        <v>0</v>
      </c>
      <c r="I937">
        <v>28</v>
      </c>
      <c r="J937">
        <v>2</v>
      </c>
      <c r="K937">
        <v>1</v>
      </c>
      <c r="L937">
        <v>1</v>
      </c>
      <c r="M937">
        <v>25</v>
      </c>
      <c r="N937">
        <v>138.55500000000001</v>
      </c>
      <c r="O937">
        <v>0</v>
      </c>
      <c r="P9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7" t="str">
        <f>IF(Table1[[#This Row],[Fraud_Score]]&gt;=6, "High Risk",IF(Table1[[#This Row],[Fraud_Score]]&gt;=3, "Medium Risk", "Low Risk"))</f>
        <v>Low Risk</v>
      </c>
      <c r="R937">
        <f>IF(Table1[[#This Row],[Seconds of Use]]=0,0,Table1[[#This Row],[Customer Value]]/Table1[[#This Row],[Seconds of Use]]*100)</f>
        <v>4.6062167553191493</v>
      </c>
    </row>
    <row r="938" spans="1:18" x14ac:dyDescent="0.35">
      <c r="A938" s="3" t="s">
        <v>959</v>
      </c>
      <c r="B938">
        <v>0</v>
      </c>
      <c r="C938">
        <v>0</v>
      </c>
      <c r="D938">
        <v>34</v>
      </c>
      <c r="E938">
        <v>0</v>
      </c>
      <c r="F938">
        <v>955</v>
      </c>
      <c r="G938">
        <v>33</v>
      </c>
      <c r="H938">
        <v>13</v>
      </c>
      <c r="I938">
        <v>20</v>
      </c>
      <c r="J938">
        <v>3</v>
      </c>
      <c r="K938">
        <v>1</v>
      </c>
      <c r="L938">
        <v>2</v>
      </c>
      <c r="M938">
        <v>30</v>
      </c>
      <c r="N938">
        <v>91.52</v>
      </c>
      <c r="O938">
        <v>0</v>
      </c>
      <c r="P9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8" t="str">
        <f>IF(Table1[[#This Row],[Fraud_Score]]&gt;=6, "High Risk",IF(Table1[[#This Row],[Fraud_Score]]&gt;=3, "Medium Risk", "Low Risk"))</f>
        <v>Low Risk</v>
      </c>
      <c r="R938">
        <f>IF(Table1[[#This Row],[Seconds of Use]]=0,0,Table1[[#This Row],[Customer Value]]/Table1[[#This Row],[Seconds of Use]]*100)</f>
        <v>9.5832460732984295</v>
      </c>
    </row>
    <row r="939" spans="1:18" x14ac:dyDescent="0.35">
      <c r="A939" s="3" t="s">
        <v>960</v>
      </c>
      <c r="B939">
        <v>0</v>
      </c>
      <c r="C939">
        <v>0</v>
      </c>
      <c r="D939">
        <v>35</v>
      </c>
      <c r="E939">
        <v>0</v>
      </c>
      <c r="F939">
        <v>2070</v>
      </c>
      <c r="G939">
        <v>42</v>
      </c>
      <c r="H939">
        <v>150</v>
      </c>
      <c r="I939">
        <v>23</v>
      </c>
      <c r="J939">
        <v>2</v>
      </c>
      <c r="K939">
        <v>1</v>
      </c>
      <c r="L939">
        <v>1</v>
      </c>
      <c r="M939">
        <v>25</v>
      </c>
      <c r="N939">
        <v>770.04</v>
      </c>
      <c r="O939">
        <v>0</v>
      </c>
      <c r="P9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39" t="str">
        <f>IF(Table1[[#This Row],[Fraud_Score]]&gt;=6, "High Risk",IF(Table1[[#This Row],[Fraud_Score]]&gt;=3, "Medium Risk", "Low Risk"))</f>
        <v>Low Risk</v>
      </c>
      <c r="R939">
        <f>IF(Table1[[#This Row],[Seconds of Use]]=0,0,Table1[[#This Row],[Customer Value]]/Table1[[#This Row],[Seconds of Use]]*100)</f>
        <v>37.200000000000003</v>
      </c>
    </row>
    <row r="940" spans="1:18" x14ac:dyDescent="0.35">
      <c r="A940" s="3" t="s">
        <v>961</v>
      </c>
      <c r="B940">
        <v>0</v>
      </c>
      <c r="C940">
        <v>0</v>
      </c>
      <c r="D940">
        <v>26</v>
      </c>
      <c r="E940">
        <v>0</v>
      </c>
      <c r="F940">
        <v>605</v>
      </c>
      <c r="G940">
        <v>25</v>
      </c>
      <c r="H940">
        <v>168</v>
      </c>
      <c r="I940">
        <v>11</v>
      </c>
      <c r="J940">
        <v>2</v>
      </c>
      <c r="K940">
        <v>2</v>
      </c>
      <c r="L940">
        <v>1</v>
      </c>
      <c r="M940">
        <v>25</v>
      </c>
      <c r="N940">
        <v>784.35</v>
      </c>
      <c r="O940">
        <v>0</v>
      </c>
      <c r="P9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40" t="str">
        <f>IF(Table1[[#This Row],[Fraud_Score]]&gt;=6, "High Risk",IF(Table1[[#This Row],[Fraud_Score]]&gt;=3, "Medium Risk", "Low Risk"))</f>
        <v>Low Risk</v>
      </c>
      <c r="R940">
        <f>IF(Table1[[#This Row],[Seconds of Use]]=0,0,Table1[[#This Row],[Customer Value]]/Table1[[#This Row],[Seconds of Use]]*100)</f>
        <v>129.64462809917356</v>
      </c>
    </row>
    <row r="941" spans="1:18" x14ac:dyDescent="0.35">
      <c r="A941" s="3" t="s">
        <v>962</v>
      </c>
      <c r="B941">
        <v>0</v>
      </c>
      <c r="C941">
        <v>0</v>
      </c>
      <c r="D941">
        <v>25</v>
      </c>
      <c r="E941">
        <v>0</v>
      </c>
      <c r="F941">
        <v>858</v>
      </c>
      <c r="G941">
        <v>28</v>
      </c>
      <c r="H941">
        <v>5</v>
      </c>
      <c r="I941">
        <v>68</v>
      </c>
      <c r="J941">
        <v>4</v>
      </c>
      <c r="K941">
        <v>1</v>
      </c>
      <c r="L941">
        <v>1</v>
      </c>
      <c r="M941">
        <v>45</v>
      </c>
      <c r="N941">
        <v>34.65</v>
      </c>
      <c r="O941">
        <v>0</v>
      </c>
      <c r="P9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41" t="str">
        <f>IF(Table1[[#This Row],[Fraud_Score]]&gt;=6, "High Risk",IF(Table1[[#This Row],[Fraud_Score]]&gt;=3, "Medium Risk", "Low Risk"))</f>
        <v>Low Risk</v>
      </c>
      <c r="R941">
        <f>IF(Table1[[#This Row],[Seconds of Use]]=0,0,Table1[[#This Row],[Customer Value]]/Table1[[#This Row],[Seconds of Use]]*100)</f>
        <v>4.0384615384615383</v>
      </c>
    </row>
    <row r="942" spans="1:18" x14ac:dyDescent="0.35">
      <c r="A942" s="3" t="s">
        <v>963</v>
      </c>
      <c r="B942">
        <v>0</v>
      </c>
      <c r="C942">
        <v>0</v>
      </c>
      <c r="D942">
        <v>26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2</v>
      </c>
      <c r="K942">
        <v>1</v>
      </c>
      <c r="L942">
        <v>2</v>
      </c>
      <c r="M942">
        <v>25</v>
      </c>
      <c r="N942">
        <v>0</v>
      </c>
      <c r="O942">
        <v>0</v>
      </c>
      <c r="P9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42" t="str">
        <f>IF(Table1[[#This Row],[Fraud_Score]]&gt;=6, "High Risk",IF(Table1[[#This Row],[Fraud_Score]]&gt;=3, "Medium Risk", "Low Risk"))</f>
        <v>Low Risk</v>
      </c>
      <c r="R942">
        <f>IF(Table1[[#This Row],[Seconds of Use]]=0,0,Table1[[#This Row],[Customer Value]]/Table1[[#This Row],[Seconds of Use]]*100)</f>
        <v>0</v>
      </c>
    </row>
    <row r="943" spans="1:18" x14ac:dyDescent="0.35">
      <c r="A943" s="3" t="s">
        <v>964</v>
      </c>
      <c r="B943">
        <v>0</v>
      </c>
      <c r="C943">
        <v>0</v>
      </c>
      <c r="D943">
        <v>25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4</v>
      </c>
      <c r="K943">
        <v>1</v>
      </c>
      <c r="L943">
        <v>2</v>
      </c>
      <c r="M943">
        <v>45</v>
      </c>
      <c r="N943">
        <v>0</v>
      </c>
      <c r="O943">
        <v>0</v>
      </c>
      <c r="P9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43" t="str">
        <f>IF(Table1[[#This Row],[Fraud_Score]]&gt;=6, "High Risk",IF(Table1[[#This Row],[Fraud_Score]]&gt;=3, "Medium Risk", "Low Risk"))</f>
        <v>Low Risk</v>
      </c>
      <c r="R943">
        <f>IF(Table1[[#This Row],[Seconds of Use]]=0,0,Table1[[#This Row],[Customer Value]]/Table1[[#This Row],[Seconds of Use]]*100)</f>
        <v>0</v>
      </c>
    </row>
    <row r="944" spans="1:18" x14ac:dyDescent="0.35">
      <c r="A944" s="3" t="s">
        <v>965</v>
      </c>
      <c r="B944">
        <v>4</v>
      </c>
      <c r="C944">
        <v>0</v>
      </c>
      <c r="D944">
        <v>24</v>
      </c>
      <c r="E944">
        <v>0</v>
      </c>
      <c r="F944">
        <v>515</v>
      </c>
      <c r="G944">
        <v>21</v>
      </c>
      <c r="H944">
        <v>0</v>
      </c>
      <c r="I944">
        <v>13</v>
      </c>
      <c r="J944">
        <v>2</v>
      </c>
      <c r="K944">
        <v>1</v>
      </c>
      <c r="L944">
        <v>1</v>
      </c>
      <c r="M944">
        <v>25</v>
      </c>
      <c r="N944">
        <v>24.12</v>
      </c>
      <c r="O944">
        <v>0</v>
      </c>
      <c r="P9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44" t="str">
        <f>IF(Table1[[#This Row],[Fraud_Score]]&gt;=6, "High Risk",IF(Table1[[#This Row],[Fraud_Score]]&gt;=3, "Medium Risk", "Low Risk"))</f>
        <v>Low Risk</v>
      </c>
      <c r="R944">
        <f>IF(Table1[[#This Row],[Seconds of Use]]=0,0,Table1[[#This Row],[Customer Value]]/Table1[[#This Row],[Seconds of Use]]*100)</f>
        <v>4.6834951456310687</v>
      </c>
    </row>
    <row r="945" spans="1:18" x14ac:dyDescent="0.35">
      <c r="A945" s="3" t="s">
        <v>966</v>
      </c>
      <c r="B945">
        <v>0</v>
      </c>
      <c r="C945">
        <v>0</v>
      </c>
      <c r="D945">
        <v>24</v>
      </c>
      <c r="E945">
        <v>0</v>
      </c>
      <c r="F945">
        <v>2515</v>
      </c>
      <c r="G945">
        <v>50</v>
      </c>
      <c r="H945">
        <v>0</v>
      </c>
      <c r="I945">
        <v>23</v>
      </c>
      <c r="J945">
        <v>3</v>
      </c>
      <c r="K945">
        <v>1</v>
      </c>
      <c r="L945">
        <v>1</v>
      </c>
      <c r="M945">
        <v>30</v>
      </c>
      <c r="N945">
        <v>102.6</v>
      </c>
      <c r="O945">
        <v>0</v>
      </c>
      <c r="P9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45" t="str">
        <f>IF(Table1[[#This Row],[Fraud_Score]]&gt;=6, "High Risk",IF(Table1[[#This Row],[Fraud_Score]]&gt;=3, "Medium Risk", "Low Risk"))</f>
        <v>Low Risk</v>
      </c>
      <c r="R945">
        <f>IF(Table1[[#This Row],[Seconds of Use]]=0,0,Table1[[#This Row],[Customer Value]]/Table1[[#This Row],[Seconds of Use]]*100)</f>
        <v>4.0795228628230618</v>
      </c>
    </row>
    <row r="946" spans="1:18" x14ac:dyDescent="0.35">
      <c r="A946" s="3" t="s">
        <v>967</v>
      </c>
      <c r="B946">
        <v>0</v>
      </c>
      <c r="C946">
        <v>0</v>
      </c>
      <c r="D946">
        <v>17</v>
      </c>
      <c r="E946">
        <v>0</v>
      </c>
      <c r="F946">
        <v>985</v>
      </c>
      <c r="G946">
        <v>15</v>
      </c>
      <c r="H946">
        <v>3</v>
      </c>
      <c r="I946">
        <v>14</v>
      </c>
      <c r="J946">
        <v>2</v>
      </c>
      <c r="K946">
        <v>1</v>
      </c>
      <c r="L946">
        <v>1</v>
      </c>
      <c r="M946">
        <v>25</v>
      </c>
      <c r="N946">
        <v>58.5</v>
      </c>
      <c r="O946">
        <v>0</v>
      </c>
      <c r="P9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46" t="str">
        <f>IF(Table1[[#This Row],[Fraud_Score]]&gt;=6, "High Risk",IF(Table1[[#This Row],[Fraud_Score]]&gt;=3, "Medium Risk", "Low Risk"))</f>
        <v>Low Risk</v>
      </c>
      <c r="R946">
        <f>IF(Table1[[#This Row],[Seconds of Use]]=0,0,Table1[[#This Row],[Customer Value]]/Table1[[#This Row],[Seconds of Use]]*100)</f>
        <v>5.9390862944162439</v>
      </c>
    </row>
    <row r="947" spans="1:18" x14ac:dyDescent="0.35">
      <c r="A947" s="3" t="s">
        <v>968</v>
      </c>
      <c r="B947">
        <v>10</v>
      </c>
      <c r="C947">
        <v>0</v>
      </c>
      <c r="D947">
        <v>16</v>
      </c>
      <c r="E947">
        <v>0</v>
      </c>
      <c r="F947">
        <v>5682</v>
      </c>
      <c r="G947">
        <v>130</v>
      </c>
      <c r="H947">
        <v>60</v>
      </c>
      <c r="I947">
        <v>42</v>
      </c>
      <c r="J947">
        <v>1</v>
      </c>
      <c r="K947">
        <v>2</v>
      </c>
      <c r="L947">
        <v>1</v>
      </c>
      <c r="M947">
        <v>15</v>
      </c>
      <c r="N947">
        <v>649.66</v>
      </c>
      <c r="O947">
        <v>0</v>
      </c>
      <c r="P9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47" t="str">
        <f>IF(Table1[[#This Row],[Fraud_Score]]&gt;=6, "High Risk",IF(Table1[[#This Row],[Fraud_Score]]&gt;=3, "Medium Risk", "Low Risk"))</f>
        <v>Low Risk</v>
      </c>
      <c r="R947">
        <f>IF(Table1[[#This Row],[Seconds of Use]]=0,0,Table1[[#This Row],[Customer Value]]/Table1[[#This Row],[Seconds of Use]]*100)</f>
        <v>11.433650123196056</v>
      </c>
    </row>
    <row r="948" spans="1:18" x14ac:dyDescent="0.35">
      <c r="A948" s="3" t="s">
        <v>969</v>
      </c>
      <c r="B948">
        <v>6</v>
      </c>
      <c r="C948">
        <v>0</v>
      </c>
      <c r="D948">
        <v>14</v>
      </c>
      <c r="E948">
        <v>0</v>
      </c>
      <c r="F948">
        <v>8222</v>
      </c>
      <c r="G948">
        <v>160</v>
      </c>
      <c r="H948">
        <v>48</v>
      </c>
      <c r="I948">
        <v>40</v>
      </c>
      <c r="J948">
        <v>4</v>
      </c>
      <c r="K948">
        <v>1</v>
      </c>
      <c r="L948">
        <v>1</v>
      </c>
      <c r="M948">
        <v>45</v>
      </c>
      <c r="N948">
        <v>329.55</v>
      </c>
      <c r="O948">
        <v>0</v>
      </c>
      <c r="P9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48" t="str">
        <f>IF(Table1[[#This Row],[Fraud_Score]]&gt;=6, "High Risk",IF(Table1[[#This Row],[Fraud_Score]]&gt;=3, "Medium Risk", "Low Risk"))</f>
        <v>Medium Risk</v>
      </c>
      <c r="R948">
        <f>IF(Table1[[#This Row],[Seconds of Use]]=0,0,Table1[[#This Row],[Customer Value]]/Table1[[#This Row],[Seconds of Use]]*100)</f>
        <v>4.0081488688883482</v>
      </c>
    </row>
    <row r="949" spans="1:18" x14ac:dyDescent="0.35">
      <c r="A949" s="3" t="s">
        <v>970</v>
      </c>
      <c r="B949">
        <v>2</v>
      </c>
      <c r="C949">
        <v>0</v>
      </c>
      <c r="D949">
        <v>15</v>
      </c>
      <c r="E949">
        <v>2</v>
      </c>
      <c r="F949">
        <v>2142</v>
      </c>
      <c r="G949">
        <v>34</v>
      </c>
      <c r="H949">
        <v>6</v>
      </c>
      <c r="I949">
        <v>19</v>
      </c>
      <c r="J949">
        <v>3</v>
      </c>
      <c r="K949">
        <v>1</v>
      </c>
      <c r="L949">
        <v>1</v>
      </c>
      <c r="M949">
        <v>30</v>
      </c>
      <c r="N949">
        <v>111.04</v>
      </c>
      <c r="O949">
        <v>0</v>
      </c>
      <c r="P9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49" t="str">
        <f>IF(Table1[[#This Row],[Fraud_Score]]&gt;=6, "High Risk",IF(Table1[[#This Row],[Fraud_Score]]&gt;=3, "Medium Risk", "Low Risk"))</f>
        <v>Low Risk</v>
      </c>
      <c r="R949">
        <f>IF(Table1[[#This Row],[Seconds of Use]]=0,0,Table1[[#This Row],[Customer Value]]/Table1[[#This Row],[Seconds of Use]]*100)</f>
        <v>5.1839402427637724</v>
      </c>
    </row>
    <row r="950" spans="1:18" x14ac:dyDescent="0.35">
      <c r="A950" s="3" t="s">
        <v>971</v>
      </c>
      <c r="B950">
        <v>0</v>
      </c>
      <c r="C950">
        <v>0</v>
      </c>
      <c r="D950">
        <v>8</v>
      </c>
      <c r="E950">
        <v>0</v>
      </c>
      <c r="F950">
        <v>3680</v>
      </c>
      <c r="G950">
        <v>29</v>
      </c>
      <c r="H950">
        <v>190</v>
      </c>
      <c r="I950">
        <v>10</v>
      </c>
      <c r="J950">
        <v>3</v>
      </c>
      <c r="K950">
        <v>1</v>
      </c>
      <c r="L950">
        <v>1</v>
      </c>
      <c r="M950">
        <v>30</v>
      </c>
      <c r="N950">
        <v>908.36</v>
      </c>
      <c r="O950">
        <v>0</v>
      </c>
      <c r="P9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0" t="str">
        <f>IF(Table1[[#This Row],[Fraud_Score]]&gt;=6, "High Risk",IF(Table1[[#This Row],[Fraud_Score]]&gt;=3, "Medium Risk", "Low Risk"))</f>
        <v>Low Risk</v>
      </c>
      <c r="R950">
        <f>IF(Table1[[#This Row],[Seconds of Use]]=0,0,Table1[[#This Row],[Customer Value]]/Table1[[#This Row],[Seconds of Use]]*100)</f>
        <v>24.683695652173913</v>
      </c>
    </row>
    <row r="951" spans="1:18" x14ac:dyDescent="0.35">
      <c r="A951" s="3" t="s">
        <v>972</v>
      </c>
      <c r="B951">
        <v>0</v>
      </c>
      <c r="C951">
        <v>0</v>
      </c>
      <c r="D951">
        <v>8</v>
      </c>
      <c r="E951">
        <v>0</v>
      </c>
      <c r="F951">
        <v>777</v>
      </c>
      <c r="G951">
        <v>8</v>
      </c>
      <c r="H951">
        <v>0</v>
      </c>
      <c r="I951">
        <v>7</v>
      </c>
      <c r="J951">
        <v>3</v>
      </c>
      <c r="K951">
        <v>1</v>
      </c>
      <c r="L951">
        <v>1</v>
      </c>
      <c r="M951">
        <v>30</v>
      </c>
      <c r="N951">
        <v>31.4</v>
      </c>
      <c r="O951">
        <v>1</v>
      </c>
      <c r="P9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1" t="str">
        <f>IF(Table1[[#This Row],[Fraud_Score]]&gt;=6, "High Risk",IF(Table1[[#This Row],[Fraud_Score]]&gt;=3, "Medium Risk", "Low Risk"))</f>
        <v>Low Risk</v>
      </c>
      <c r="R951">
        <f>IF(Table1[[#This Row],[Seconds of Use]]=0,0,Table1[[#This Row],[Customer Value]]/Table1[[#This Row],[Seconds of Use]]*100)</f>
        <v>4.0411840411840414</v>
      </c>
    </row>
    <row r="952" spans="1:18" x14ac:dyDescent="0.35">
      <c r="A952" s="3" t="s">
        <v>973</v>
      </c>
      <c r="B952">
        <v>8</v>
      </c>
      <c r="C952">
        <v>0</v>
      </c>
      <c r="D952">
        <v>38</v>
      </c>
      <c r="E952">
        <v>0</v>
      </c>
      <c r="F952">
        <v>4370</v>
      </c>
      <c r="G952">
        <v>71</v>
      </c>
      <c r="H952">
        <v>5</v>
      </c>
      <c r="I952">
        <v>17</v>
      </c>
      <c r="J952">
        <v>3</v>
      </c>
      <c r="K952">
        <v>1</v>
      </c>
      <c r="L952">
        <v>1</v>
      </c>
      <c r="M952">
        <v>30</v>
      </c>
      <c r="N952">
        <v>197.64</v>
      </c>
      <c r="O952">
        <v>0</v>
      </c>
      <c r="P9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2" t="str">
        <f>IF(Table1[[#This Row],[Fraud_Score]]&gt;=6, "High Risk",IF(Table1[[#This Row],[Fraud_Score]]&gt;=3, "Medium Risk", "Low Risk"))</f>
        <v>Low Risk</v>
      </c>
      <c r="R952">
        <f>IF(Table1[[#This Row],[Seconds of Use]]=0,0,Table1[[#This Row],[Customer Value]]/Table1[[#This Row],[Seconds of Use]]*100)</f>
        <v>4.5226544622425626</v>
      </c>
    </row>
    <row r="953" spans="1:18" x14ac:dyDescent="0.35">
      <c r="A953" s="3" t="s">
        <v>974</v>
      </c>
      <c r="B953">
        <v>0</v>
      </c>
      <c r="C953">
        <v>0</v>
      </c>
      <c r="D953">
        <v>39</v>
      </c>
      <c r="E953">
        <v>0</v>
      </c>
      <c r="F953">
        <v>318</v>
      </c>
      <c r="G953">
        <v>5</v>
      </c>
      <c r="H953">
        <v>7</v>
      </c>
      <c r="I953">
        <v>4</v>
      </c>
      <c r="J953">
        <v>2</v>
      </c>
      <c r="K953">
        <v>1</v>
      </c>
      <c r="L953">
        <v>2</v>
      </c>
      <c r="M953">
        <v>25</v>
      </c>
      <c r="N953">
        <v>46.034999999999997</v>
      </c>
      <c r="O953">
        <v>0</v>
      </c>
      <c r="P9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3" t="str">
        <f>IF(Table1[[#This Row],[Fraud_Score]]&gt;=6, "High Risk",IF(Table1[[#This Row],[Fraud_Score]]&gt;=3, "Medium Risk", "Low Risk"))</f>
        <v>Low Risk</v>
      </c>
      <c r="R953">
        <f>IF(Table1[[#This Row],[Seconds of Use]]=0,0,Table1[[#This Row],[Customer Value]]/Table1[[#This Row],[Seconds of Use]]*100)</f>
        <v>14.47641509433962</v>
      </c>
    </row>
    <row r="954" spans="1:18" x14ac:dyDescent="0.35">
      <c r="A954" s="3" t="s">
        <v>975</v>
      </c>
      <c r="B954">
        <v>10</v>
      </c>
      <c r="C954">
        <v>0</v>
      </c>
      <c r="D954">
        <v>37</v>
      </c>
      <c r="E954">
        <v>0</v>
      </c>
      <c r="F954">
        <v>2453</v>
      </c>
      <c r="G954">
        <v>60</v>
      </c>
      <c r="H954">
        <v>359</v>
      </c>
      <c r="I954">
        <v>24</v>
      </c>
      <c r="J954">
        <v>3</v>
      </c>
      <c r="K954">
        <v>1</v>
      </c>
      <c r="L954">
        <v>1</v>
      </c>
      <c r="M954">
        <v>30</v>
      </c>
      <c r="N954">
        <v>1536.52</v>
      </c>
      <c r="O954">
        <v>0</v>
      </c>
      <c r="P9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4" t="str">
        <f>IF(Table1[[#This Row],[Fraud_Score]]&gt;=6, "High Risk",IF(Table1[[#This Row],[Fraud_Score]]&gt;=3, "Medium Risk", "Low Risk"))</f>
        <v>Low Risk</v>
      </c>
      <c r="R954">
        <f>IF(Table1[[#This Row],[Seconds of Use]]=0,0,Table1[[#This Row],[Customer Value]]/Table1[[#This Row],[Seconds of Use]]*100)</f>
        <v>62.638401956787604</v>
      </c>
    </row>
    <row r="955" spans="1:18" x14ac:dyDescent="0.35">
      <c r="A955" s="3" t="s">
        <v>976</v>
      </c>
      <c r="B955">
        <v>10</v>
      </c>
      <c r="C955">
        <v>0</v>
      </c>
      <c r="D955">
        <v>38</v>
      </c>
      <c r="E955">
        <v>0</v>
      </c>
      <c r="F955">
        <v>4198</v>
      </c>
      <c r="G955">
        <v>66</v>
      </c>
      <c r="H955">
        <v>1</v>
      </c>
      <c r="I955">
        <v>35</v>
      </c>
      <c r="J955">
        <v>1</v>
      </c>
      <c r="K955">
        <v>1</v>
      </c>
      <c r="L955">
        <v>1</v>
      </c>
      <c r="M955">
        <v>15</v>
      </c>
      <c r="N955">
        <v>240.02</v>
      </c>
      <c r="O955">
        <v>0</v>
      </c>
      <c r="P9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5" t="str">
        <f>IF(Table1[[#This Row],[Fraud_Score]]&gt;=6, "High Risk",IF(Table1[[#This Row],[Fraud_Score]]&gt;=3, "Medium Risk", "Low Risk"))</f>
        <v>Low Risk</v>
      </c>
      <c r="R955">
        <f>IF(Table1[[#This Row],[Seconds of Use]]=0,0,Table1[[#This Row],[Customer Value]]/Table1[[#This Row],[Seconds of Use]]*100)</f>
        <v>5.7174845164363983</v>
      </c>
    </row>
    <row r="956" spans="1:18" x14ac:dyDescent="0.35">
      <c r="A956" s="3" t="s">
        <v>977</v>
      </c>
      <c r="B956">
        <v>3</v>
      </c>
      <c r="C956">
        <v>0</v>
      </c>
      <c r="D956">
        <v>38</v>
      </c>
      <c r="E956">
        <v>0</v>
      </c>
      <c r="F956">
        <v>2393</v>
      </c>
      <c r="G956">
        <v>58</v>
      </c>
      <c r="H956">
        <v>2</v>
      </c>
      <c r="I956">
        <v>33</v>
      </c>
      <c r="J956">
        <v>1</v>
      </c>
      <c r="K956">
        <v>1</v>
      </c>
      <c r="L956">
        <v>1</v>
      </c>
      <c r="M956">
        <v>15</v>
      </c>
      <c r="N956">
        <v>145.80500000000001</v>
      </c>
      <c r="O956">
        <v>0</v>
      </c>
      <c r="P9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6" t="str">
        <f>IF(Table1[[#This Row],[Fraud_Score]]&gt;=6, "High Risk",IF(Table1[[#This Row],[Fraud_Score]]&gt;=3, "Medium Risk", "Low Risk"))</f>
        <v>Low Risk</v>
      </c>
      <c r="R956">
        <f>IF(Table1[[#This Row],[Seconds of Use]]=0,0,Table1[[#This Row],[Customer Value]]/Table1[[#This Row],[Seconds of Use]]*100)</f>
        <v>6.0929795236105306</v>
      </c>
    </row>
    <row r="957" spans="1:18" x14ac:dyDescent="0.35">
      <c r="A957" s="3" t="s">
        <v>978</v>
      </c>
      <c r="B957">
        <v>11</v>
      </c>
      <c r="C957">
        <v>0</v>
      </c>
      <c r="D957">
        <v>38</v>
      </c>
      <c r="E957">
        <v>1</v>
      </c>
      <c r="F957">
        <v>3775</v>
      </c>
      <c r="G957">
        <v>82</v>
      </c>
      <c r="H957">
        <v>32</v>
      </c>
      <c r="I957">
        <v>28</v>
      </c>
      <c r="J957">
        <v>3</v>
      </c>
      <c r="K957">
        <v>1</v>
      </c>
      <c r="L957">
        <v>1</v>
      </c>
      <c r="M957">
        <v>30</v>
      </c>
      <c r="N957">
        <v>282.27999999999997</v>
      </c>
      <c r="O957">
        <v>0</v>
      </c>
      <c r="P9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57" t="str">
        <f>IF(Table1[[#This Row],[Fraud_Score]]&gt;=6, "High Risk",IF(Table1[[#This Row],[Fraud_Score]]&gt;=3, "Medium Risk", "Low Risk"))</f>
        <v>Low Risk</v>
      </c>
      <c r="R957">
        <f>IF(Table1[[#This Row],[Seconds of Use]]=0,0,Table1[[#This Row],[Customer Value]]/Table1[[#This Row],[Seconds of Use]]*100)</f>
        <v>7.4776158940397339</v>
      </c>
    </row>
    <row r="958" spans="1:18" x14ac:dyDescent="0.35">
      <c r="A958" s="3" t="s">
        <v>979</v>
      </c>
      <c r="B958">
        <v>4</v>
      </c>
      <c r="C958">
        <v>0</v>
      </c>
      <c r="D958">
        <v>38</v>
      </c>
      <c r="E958">
        <v>0</v>
      </c>
      <c r="F958">
        <v>2360</v>
      </c>
      <c r="G958">
        <v>39</v>
      </c>
      <c r="H958">
        <v>285</v>
      </c>
      <c r="I958">
        <v>18</v>
      </c>
      <c r="J958">
        <v>3</v>
      </c>
      <c r="K958">
        <v>1</v>
      </c>
      <c r="L958">
        <v>1</v>
      </c>
      <c r="M958">
        <v>30</v>
      </c>
      <c r="N958">
        <v>1235.96</v>
      </c>
      <c r="O958">
        <v>0</v>
      </c>
      <c r="P9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58" t="str">
        <f>IF(Table1[[#This Row],[Fraud_Score]]&gt;=6, "High Risk",IF(Table1[[#This Row],[Fraud_Score]]&gt;=3, "Medium Risk", "Low Risk"))</f>
        <v>Low Risk</v>
      </c>
      <c r="R958">
        <f>IF(Table1[[#This Row],[Seconds of Use]]=0,0,Table1[[#This Row],[Customer Value]]/Table1[[#This Row],[Seconds of Use]]*100)</f>
        <v>52.371186440677967</v>
      </c>
    </row>
    <row r="959" spans="1:18" x14ac:dyDescent="0.35">
      <c r="A959" s="3" t="s">
        <v>980</v>
      </c>
      <c r="B959">
        <v>13</v>
      </c>
      <c r="C959">
        <v>0</v>
      </c>
      <c r="D959">
        <v>37</v>
      </c>
      <c r="E959">
        <v>2</v>
      </c>
      <c r="F959">
        <v>9115</v>
      </c>
      <c r="G959">
        <v>121</v>
      </c>
      <c r="H959">
        <v>144</v>
      </c>
      <c r="I959">
        <v>43</v>
      </c>
      <c r="J959">
        <v>3</v>
      </c>
      <c r="K959">
        <v>1</v>
      </c>
      <c r="L959">
        <v>1</v>
      </c>
      <c r="M959">
        <v>30</v>
      </c>
      <c r="N959">
        <v>945.44</v>
      </c>
      <c r="O959">
        <v>0</v>
      </c>
      <c r="P9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59" t="str">
        <f>IF(Table1[[#This Row],[Fraud_Score]]&gt;=6, "High Risk",IF(Table1[[#This Row],[Fraud_Score]]&gt;=3, "Medium Risk", "Low Risk"))</f>
        <v>Low Risk</v>
      </c>
      <c r="R959">
        <f>IF(Table1[[#This Row],[Seconds of Use]]=0,0,Table1[[#This Row],[Customer Value]]/Table1[[#This Row],[Seconds of Use]]*100)</f>
        <v>10.372353263850796</v>
      </c>
    </row>
    <row r="960" spans="1:18" x14ac:dyDescent="0.35">
      <c r="A960" s="3" t="s">
        <v>981</v>
      </c>
      <c r="B960">
        <v>7</v>
      </c>
      <c r="C960">
        <v>0</v>
      </c>
      <c r="D960">
        <v>38</v>
      </c>
      <c r="E960">
        <v>0</v>
      </c>
      <c r="F960">
        <v>13773</v>
      </c>
      <c r="G960">
        <v>169</v>
      </c>
      <c r="H960">
        <v>0</v>
      </c>
      <c r="I960">
        <v>44</v>
      </c>
      <c r="J960">
        <v>3</v>
      </c>
      <c r="K960">
        <v>1</v>
      </c>
      <c r="L960">
        <v>1</v>
      </c>
      <c r="M960">
        <v>30</v>
      </c>
      <c r="N960">
        <v>557.67999999999995</v>
      </c>
      <c r="O960">
        <v>0</v>
      </c>
      <c r="P9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60" t="str">
        <f>IF(Table1[[#This Row],[Fraud_Score]]&gt;=6, "High Risk",IF(Table1[[#This Row],[Fraud_Score]]&gt;=3, "Medium Risk", "Low Risk"))</f>
        <v>Medium Risk</v>
      </c>
      <c r="R960">
        <f>IF(Table1[[#This Row],[Seconds of Use]]=0,0,Table1[[#This Row],[Customer Value]]/Table1[[#This Row],[Seconds of Use]]*100)</f>
        <v>4.0490815363392141</v>
      </c>
    </row>
    <row r="961" spans="1:18" x14ac:dyDescent="0.35">
      <c r="A961" s="3" t="s">
        <v>982</v>
      </c>
      <c r="B961">
        <v>7</v>
      </c>
      <c r="C961">
        <v>0</v>
      </c>
      <c r="D961">
        <v>38</v>
      </c>
      <c r="E961">
        <v>1</v>
      </c>
      <c r="F961">
        <v>4515</v>
      </c>
      <c r="G961">
        <v>83</v>
      </c>
      <c r="H961">
        <v>2</v>
      </c>
      <c r="I961">
        <v>25</v>
      </c>
      <c r="J961">
        <v>3</v>
      </c>
      <c r="K961">
        <v>1</v>
      </c>
      <c r="L961">
        <v>1</v>
      </c>
      <c r="M961">
        <v>30</v>
      </c>
      <c r="N961">
        <v>191.92</v>
      </c>
      <c r="O961">
        <v>0</v>
      </c>
      <c r="P9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61" t="str">
        <f>IF(Table1[[#This Row],[Fraud_Score]]&gt;=6, "High Risk",IF(Table1[[#This Row],[Fraud_Score]]&gt;=3, "Medium Risk", "Low Risk"))</f>
        <v>Low Risk</v>
      </c>
      <c r="R961">
        <f>IF(Table1[[#This Row],[Seconds of Use]]=0,0,Table1[[#This Row],[Customer Value]]/Table1[[#This Row],[Seconds of Use]]*100)</f>
        <v>4.2507198228128455</v>
      </c>
    </row>
    <row r="962" spans="1:18" x14ac:dyDescent="0.35">
      <c r="A962" s="3" t="s">
        <v>983</v>
      </c>
      <c r="B962">
        <v>6</v>
      </c>
      <c r="C962">
        <v>0</v>
      </c>
      <c r="D962">
        <v>38</v>
      </c>
      <c r="E962">
        <v>0</v>
      </c>
      <c r="F962">
        <v>5918</v>
      </c>
      <c r="G962">
        <v>95</v>
      </c>
      <c r="H962">
        <v>7</v>
      </c>
      <c r="I962">
        <v>12</v>
      </c>
      <c r="J962">
        <v>3</v>
      </c>
      <c r="K962">
        <v>1</v>
      </c>
      <c r="L962">
        <v>1</v>
      </c>
      <c r="M962">
        <v>30</v>
      </c>
      <c r="N962">
        <v>268.52</v>
      </c>
      <c r="O962">
        <v>0</v>
      </c>
      <c r="P9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62" t="str">
        <f>IF(Table1[[#This Row],[Fraud_Score]]&gt;=6, "High Risk",IF(Table1[[#This Row],[Fraud_Score]]&gt;=3, "Medium Risk", "Low Risk"))</f>
        <v>Low Risk</v>
      </c>
      <c r="R962">
        <f>IF(Table1[[#This Row],[Seconds of Use]]=0,0,Table1[[#This Row],[Customer Value]]/Table1[[#This Row],[Seconds of Use]]*100)</f>
        <v>4.5373436971949985</v>
      </c>
    </row>
    <row r="963" spans="1:18" x14ac:dyDescent="0.35">
      <c r="A963" s="3" t="s">
        <v>984</v>
      </c>
      <c r="B963">
        <v>9</v>
      </c>
      <c r="C963">
        <v>1</v>
      </c>
      <c r="D963">
        <v>38</v>
      </c>
      <c r="E963">
        <v>0</v>
      </c>
      <c r="F963">
        <v>2238</v>
      </c>
      <c r="G963">
        <v>54</v>
      </c>
      <c r="H963">
        <v>8</v>
      </c>
      <c r="I963">
        <v>17</v>
      </c>
      <c r="J963">
        <v>3</v>
      </c>
      <c r="K963">
        <v>1</v>
      </c>
      <c r="L963">
        <v>2</v>
      </c>
      <c r="M963">
        <v>30</v>
      </c>
      <c r="N963">
        <v>123.68</v>
      </c>
      <c r="O963">
        <v>0</v>
      </c>
      <c r="P9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63" t="str">
        <f>IF(Table1[[#This Row],[Fraud_Score]]&gt;=6, "High Risk",IF(Table1[[#This Row],[Fraud_Score]]&gt;=3, "Medium Risk", "Low Risk"))</f>
        <v>Medium Risk</v>
      </c>
      <c r="R963">
        <f>IF(Table1[[#This Row],[Seconds of Use]]=0,0,Table1[[#This Row],[Customer Value]]/Table1[[#This Row],[Seconds of Use]]*100)</f>
        <v>5.5263628239499551</v>
      </c>
    </row>
    <row r="964" spans="1:18" x14ac:dyDescent="0.35">
      <c r="A964" s="3" t="s">
        <v>985</v>
      </c>
      <c r="B964">
        <v>25</v>
      </c>
      <c r="C964">
        <v>0</v>
      </c>
      <c r="D964">
        <v>38</v>
      </c>
      <c r="E964">
        <v>3</v>
      </c>
      <c r="F964">
        <v>15140</v>
      </c>
      <c r="G964">
        <v>225</v>
      </c>
      <c r="H964">
        <v>54</v>
      </c>
      <c r="I964">
        <v>32</v>
      </c>
      <c r="J964">
        <v>3</v>
      </c>
      <c r="K964">
        <v>1</v>
      </c>
      <c r="L964">
        <v>1</v>
      </c>
      <c r="M964">
        <v>30</v>
      </c>
      <c r="N964">
        <v>830.6</v>
      </c>
      <c r="O964">
        <v>0</v>
      </c>
      <c r="P9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964" t="str">
        <f>IF(Table1[[#This Row],[Fraud_Score]]&gt;=6, "High Risk",IF(Table1[[#This Row],[Fraud_Score]]&gt;=3, "Medium Risk", "Low Risk"))</f>
        <v>Medium Risk</v>
      </c>
      <c r="R964">
        <f>IF(Table1[[#This Row],[Seconds of Use]]=0,0,Table1[[#This Row],[Customer Value]]/Table1[[#This Row],[Seconds of Use]]*100)</f>
        <v>5.4861294583883753</v>
      </c>
    </row>
    <row r="965" spans="1:18" x14ac:dyDescent="0.35">
      <c r="A965" s="3" t="s">
        <v>986</v>
      </c>
      <c r="B965">
        <v>4</v>
      </c>
      <c r="C965">
        <v>0</v>
      </c>
      <c r="D965">
        <v>38</v>
      </c>
      <c r="E965">
        <v>1</v>
      </c>
      <c r="F965">
        <v>3095</v>
      </c>
      <c r="G965">
        <v>27</v>
      </c>
      <c r="H965">
        <v>483</v>
      </c>
      <c r="I965">
        <v>8</v>
      </c>
      <c r="J965">
        <v>3</v>
      </c>
      <c r="K965">
        <v>1</v>
      </c>
      <c r="L965">
        <v>1</v>
      </c>
      <c r="M965">
        <v>30</v>
      </c>
      <c r="N965">
        <v>2056.88</v>
      </c>
      <c r="O965">
        <v>0</v>
      </c>
      <c r="P9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65" t="str">
        <f>IF(Table1[[#This Row],[Fraud_Score]]&gt;=6, "High Risk",IF(Table1[[#This Row],[Fraud_Score]]&gt;=3, "Medium Risk", "Low Risk"))</f>
        <v>Low Risk</v>
      </c>
      <c r="R965">
        <f>IF(Table1[[#This Row],[Seconds of Use]]=0,0,Table1[[#This Row],[Customer Value]]/Table1[[#This Row],[Seconds of Use]]*100)</f>
        <v>66.458158319870762</v>
      </c>
    </row>
    <row r="966" spans="1:18" x14ac:dyDescent="0.35">
      <c r="A966" s="3" t="s">
        <v>987</v>
      </c>
      <c r="B966">
        <v>9</v>
      </c>
      <c r="C966">
        <v>0</v>
      </c>
      <c r="D966">
        <v>37</v>
      </c>
      <c r="E966">
        <v>0</v>
      </c>
      <c r="F966">
        <v>15485</v>
      </c>
      <c r="G966">
        <v>182</v>
      </c>
      <c r="H966">
        <v>150</v>
      </c>
      <c r="I966">
        <v>30</v>
      </c>
      <c r="J966">
        <v>2</v>
      </c>
      <c r="K966">
        <v>1</v>
      </c>
      <c r="L966">
        <v>1</v>
      </c>
      <c r="M966">
        <v>25</v>
      </c>
      <c r="N966">
        <v>1380.0150000000001</v>
      </c>
      <c r="O966">
        <v>0</v>
      </c>
      <c r="P9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66" t="str">
        <f>IF(Table1[[#This Row],[Fraud_Score]]&gt;=6, "High Risk",IF(Table1[[#This Row],[Fraud_Score]]&gt;=3, "Medium Risk", "Low Risk"))</f>
        <v>Medium Risk</v>
      </c>
      <c r="R966">
        <f>IF(Table1[[#This Row],[Seconds of Use]]=0,0,Table1[[#This Row],[Customer Value]]/Table1[[#This Row],[Seconds of Use]]*100)</f>
        <v>8.9119470455279313</v>
      </c>
    </row>
    <row r="967" spans="1:18" x14ac:dyDescent="0.35">
      <c r="A967" s="3" t="s">
        <v>988</v>
      </c>
      <c r="B967">
        <v>3</v>
      </c>
      <c r="C967">
        <v>0</v>
      </c>
      <c r="D967">
        <v>37</v>
      </c>
      <c r="E967">
        <v>1</v>
      </c>
      <c r="F967">
        <v>6500</v>
      </c>
      <c r="G967">
        <v>86</v>
      </c>
      <c r="H967">
        <v>186</v>
      </c>
      <c r="I967">
        <v>26</v>
      </c>
      <c r="J967">
        <v>3</v>
      </c>
      <c r="K967">
        <v>1</v>
      </c>
      <c r="L967">
        <v>1</v>
      </c>
      <c r="M967">
        <v>30</v>
      </c>
      <c r="N967">
        <v>1007.44</v>
      </c>
      <c r="O967">
        <v>0</v>
      </c>
      <c r="P9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67" t="str">
        <f>IF(Table1[[#This Row],[Fraud_Score]]&gt;=6, "High Risk",IF(Table1[[#This Row],[Fraud_Score]]&gt;=3, "Medium Risk", "Low Risk"))</f>
        <v>Low Risk</v>
      </c>
      <c r="R967">
        <f>IF(Table1[[#This Row],[Seconds of Use]]=0,0,Table1[[#This Row],[Customer Value]]/Table1[[#This Row],[Seconds of Use]]*100)</f>
        <v>15.499076923076924</v>
      </c>
    </row>
    <row r="968" spans="1:18" x14ac:dyDescent="0.35">
      <c r="A968" s="3" t="s">
        <v>989</v>
      </c>
      <c r="B968">
        <v>0</v>
      </c>
      <c r="C968">
        <v>0</v>
      </c>
      <c r="D968">
        <v>37</v>
      </c>
      <c r="E968">
        <v>0</v>
      </c>
      <c r="F968">
        <v>875</v>
      </c>
      <c r="G968">
        <v>14</v>
      </c>
      <c r="H968">
        <v>0</v>
      </c>
      <c r="I968">
        <v>11</v>
      </c>
      <c r="J968">
        <v>2</v>
      </c>
      <c r="K968">
        <v>1</v>
      </c>
      <c r="L968">
        <v>2</v>
      </c>
      <c r="M968">
        <v>25</v>
      </c>
      <c r="N968">
        <v>40.005000000000003</v>
      </c>
      <c r="O968">
        <v>0</v>
      </c>
      <c r="P9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68" t="str">
        <f>IF(Table1[[#This Row],[Fraud_Score]]&gt;=6, "High Risk",IF(Table1[[#This Row],[Fraud_Score]]&gt;=3, "Medium Risk", "Low Risk"))</f>
        <v>Low Risk</v>
      </c>
      <c r="R968">
        <f>IF(Table1[[#This Row],[Seconds of Use]]=0,0,Table1[[#This Row],[Customer Value]]/Table1[[#This Row],[Seconds of Use]]*100)</f>
        <v>4.5720000000000001</v>
      </c>
    </row>
    <row r="969" spans="1:18" x14ac:dyDescent="0.35">
      <c r="A969" s="3" t="s">
        <v>990</v>
      </c>
      <c r="B969">
        <v>2</v>
      </c>
      <c r="C969">
        <v>0</v>
      </c>
      <c r="D969">
        <v>38</v>
      </c>
      <c r="E969">
        <v>0</v>
      </c>
      <c r="F969">
        <v>710</v>
      </c>
      <c r="G969">
        <v>14</v>
      </c>
      <c r="H969">
        <v>13</v>
      </c>
      <c r="I969">
        <v>8</v>
      </c>
      <c r="J969">
        <v>3</v>
      </c>
      <c r="K969">
        <v>1</v>
      </c>
      <c r="L969">
        <v>2</v>
      </c>
      <c r="M969">
        <v>30</v>
      </c>
      <c r="N969">
        <v>80.959999999999994</v>
      </c>
      <c r="O969">
        <v>0</v>
      </c>
      <c r="P9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69" t="str">
        <f>IF(Table1[[#This Row],[Fraud_Score]]&gt;=6, "High Risk",IF(Table1[[#This Row],[Fraud_Score]]&gt;=3, "Medium Risk", "Low Risk"))</f>
        <v>Low Risk</v>
      </c>
      <c r="R969">
        <f>IF(Table1[[#This Row],[Seconds of Use]]=0,0,Table1[[#This Row],[Customer Value]]/Table1[[#This Row],[Seconds of Use]]*100)</f>
        <v>11.40281690140845</v>
      </c>
    </row>
    <row r="970" spans="1:18" x14ac:dyDescent="0.35">
      <c r="A970" s="3" t="s">
        <v>991</v>
      </c>
      <c r="B970">
        <v>0</v>
      </c>
      <c r="C970">
        <v>0</v>
      </c>
      <c r="D970">
        <v>37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1</v>
      </c>
      <c r="L970">
        <v>2</v>
      </c>
      <c r="M970">
        <v>25</v>
      </c>
      <c r="N970">
        <v>0</v>
      </c>
      <c r="O970">
        <v>1</v>
      </c>
      <c r="P9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70" t="str">
        <f>IF(Table1[[#This Row],[Fraud_Score]]&gt;=6, "High Risk",IF(Table1[[#This Row],[Fraud_Score]]&gt;=3, "Medium Risk", "Low Risk"))</f>
        <v>Low Risk</v>
      </c>
      <c r="R970">
        <f>IF(Table1[[#This Row],[Seconds of Use]]=0,0,Table1[[#This Row],[Customer Value]]/Table1[[#This Row],[Seconds of Use]]*100)</f>
        <v>0</v>
      </c>
    </row>
    <row r="971" spans="1:18" x14ac:dyDescent="0.35">
      <c r="A971" s="3" t="s">
        <v>992</v>
      </c>
      <c r="B971">
        <v>3</v>
      </c>
      <c r="C971">
        <v>0</v>
      </c>
      <c r="D971">
        <v>37</v>
      </c>
      <c r="E971">
        <v>0</v>
      </c>
      <c r="F971">
        <v>7508</v>
      </c>
      <c r="G971">
        <v>127</v>
      </c>
      <c r="H971">
        <v>384</v>
      </c>
      <c r="I971">
        <v>43</v>
      </c>
      <c r="J971">
        <v>2</v>
      </c>
      <c r="K971">
        <v>1</v>
      </c>
      <c r="L971">
        <v>1</v>
      </c>
      <c r="M971">
        <v>25</v>
      </c>
      <c r="N971">
        <v>2071.5749999999998</v>
      </c>
      <c r="O971">
        <v>0</v>
      </c>
      <c r="P9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71" t="str">
        <f>IF(Table1[[#This Row],[Fraud_Score]]&gt;=6, "High Risk",IF(Table1[[#This Row],[Fraud_Score]]&gt;=3, "Medium Risk", "Low Risk"))</f>
        <v>Low Risk</v>
      </c>
      <c r="R971">
        <f>IF(Table1[[#This Row],[Seconds of Use]]=0,0,Table1[[#This Row],[Customer Value]]/Table1[[#This Row],[Seconds of Use]]*100)</f>
        <v>27.591568993074052</v>
      </c>
    </row>
    <row r="972" spans="1:18" x14ac:dyDescent="0.35">
      <c r="A972" s="3" t="s">
        <v>993</v>
      </c>
      <c r="B972">
        <v>7</v>
      </c>
      <c r="C972">
        <v>0</v>
      </c>
      <c r="D972">
        <v>37</v>
      </c>
      <c r="E972">
        <v>1</v>
      </c>
      <c r="F972">
        <v>11465</v>
      </c>
      <c r="G972">
        <v>154</v>
      </c>
      <c r="H972">
        <v>11</v>
      </c>
      <c r="I972">
        <v>47</v>
      </c>
      <c r="J972">
        <v>4</v>
      </c>
      <c r="K972">
        <v>1</v>
      </c>
      <c r="L972">
        <v>1</v>
      </c>
      <c r="M972">
        <v>45</v>
      </c>
      <c r="N972">
        <v>317.97500000000002</v>
      </c>
      <c r="O972">
        <v>0</v>
      </c>
      <c r="P9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72" t="str">
        <f>IF(Table1[[#This Row],[Fraud_Score]]&gt;=6, "High Risk",IF(Table1[[#This Row],[Fraud_Score]]&gt;=3, "Medium Risk", "Low Risk"))</f>
        <v>Low Risk</v>
      </c>
      <c r="R972">
        <f>IF(Table1[[#This Row],[Seconds of Use]]=0,0,Table1[[#This Row],[Customer Value]]/Table1[[#This Row],[Seconds of Use]]*100)</f>
        <v>2.7734409071085917</v>
      </c>
    </row>
    <row r="973" spans="1:18" x14ac:dyDescent="0.35">
      <c r="A973" s="3" t="s">
        <v>994</v>
      </c>
      <c r="B973">
        <v>8</v>
      </c>
      <c r="C973">
        <v>0</v>
      </c>
      <c r="D973">
        <v>37</v>
      </c>
      <c r="E973">
        <v>1</v>
      </c>
      <c r="F973">
        <v>6718</v>
      </c>
      <c r="G973">
        <v>75</v>
      </c>
      <c r="H973">
        <v>108</v>
      </c>
      <c r="I973">
        <v>37</v>
      </c>
      <c r="J973">
        <v>2</v>
      </c>
      <c r="K973">
        <v>1</v>
      </c>
      <c r="L973">
        <v>1</v>
      </c>
      <c r="M973">
        <v>25</v>
      </c>
      <c r="N973">
        <v>791.68499999999995</v>
      </c>
      <c r="O973">
        <v>0</v>
      </c>
      <c r="P9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73" t="str">
        <f>IF(Table1[[#This Row],[Fraud_Score]]&gt;=6, "High Risk",IF(Table1[[#This Row],[Fraud_Score]]&gt;=3, "Medium Risk", "Low Risk"))</f>
        <v>Low Risk</v>
      </c>
      <c r="R973">
        <f>IF(Table1[[#This Row],[Seconds of Use]]=0,0,Table1[[#This Row],[Customer Value]]/Table1[[#This Row],[Seconds of Use]]*100)</f>
        <v>11.784534087526048</v>
      </c>
    </row>
    <row r="974" spans="1:18" x14ac:dyDescent="0.35">
      <c r="A974" s="3" t="s">
        <v>995</v>
      </c>
      <c r="B974">
        <v>23</v>
      </c>
      <c r="C974">
        <v>0</v>
      </c>
      <c r="D974">
        <v>33</v>
      </c>
      <c r="E974">
        <v>0</v>
      </c>
      <c r="F974">
        <v>955</v>
      </c>
      <c r="G974">
        <v>47</v>
      </c>
      <c r="H974">
        <v>16</v>
      </c>
      <c r="I974">
        <v>17</v>
      </c>
      <c r="J974">
        <v>2</v>
      </c>
      <c r="K974">
        <v>1</v>
      </c>
      <c r="L974">
        <v>2</v>
      </c>
      <c r="M974">
        <v>25</v>
      </c>
      <c r="N974">
        <v>117.09</v>
      </c>
      <c r="O974">
        <v>1</v>
      </c>
      <c r="P9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74" t="str">
        <f>IF(Table1[[#This Row],[Fraud_Score]]&gt;=6, "High Risk",IF(Table1[[#This Row],[Fraud_Score]]&gt;=3, "Medium Risk", "Low Risk"))</f>
        <v>Medium Risk</v>
      </c>
      <c r="R974">
        <f>IF(Table1[[#This Row],[Seconds of Use]]=0,0,Table1[[#This Row],[Customer Value]]/Table1[[#This Row],[Seconds of Use]]*100)</f>
        <v>12.260732984293195</v>
      </c>
    </row>
    <row r="975" spans="1:18" x14ac:dyDescent="0.35">
      <c r="A975" s="3" t="s">
        <v>996</v>
      </c>
      <c r="B975">
        <v>21</v>
      </c>
      <c r="C975">
        <v>1</v>
      </c>
      <c r="D975">
        <v>36</v>
      </c>
      <c r="E975">
        <v>8</v>
      </c>
      <c r="F975">
        <v>10435</v>
      </c>
      <c r="G975">
        <v>93</v>
      </c>
      <c r="H975">
        <v>1</v>
      </c>
      <c r="I975">
        <v>42</v>
      </c>
      <c r="J975">
        <v>5</v>
      </c>
      <c r="K975">
        <v>1</v>
      </c>
      <c r="L975">
        <v>1</v>
      </c>
      <c r="M975">
        <v>55</v>
      </c>
      <c r="N975">
        <v>159.41999999999999</v>
      </c>
      <c r="O975">
        <v>0</v>
      </c>
      <c r="P9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975" t="str">
        <f>IF(Table1[[#This Row],[Fraud_Score]]&gt;=6, "High Risk",IF(Table1[[#This Row],[Fraud_Score]]&gt;=3, "Medium Risk", "Low Risk"))</f>
        <v>Medium Risk</v>
      </c>
      <c r="R975">
        <f>IF(Table1[[#This Row],[Seconds of Use]]=0,0,Table1[[#This Row],[Customer Value]]/Table1[[#This Row],[Seconds of Use]]*100)</f>
        <v>1.5277431720172496</v>
      </c>
    </row>
    <row r="976" spans="1:18" x14ac:dyDescent="0.35">
      <c r="A976" s="3" t="s">
        <v>997</v>
      </c>
      <c r="B976">
        <v>13</v>
      </c>
      <c r="C976">
        <v>0</v>
      </c>
      <c r="D976">
        <v>36</v>
      </c>
      <c r="E976">
        <v>1</v>
      </c>
      <c r="F976">
        <v>5818</v>
      </c>
      <c r="G976">
        <v>98</v>
      </c>
      <c r="H976">
        <v>26</v>
      </c>
      <c r="I976">
        <v>24</v>
      </c>
      <c r="J976">
        <v>2</v>
      </c>
      <c r="K976">
        <v>1</v>
      </c>
      <c r="L976">
        <v>1</v>
      </c>
      <c r="M976">
        <v>25</v>
      </c>
      <c r="N976">
        <v>383.22</v>
      </c>
      <c r="O976">
        <v>1</v>
      </c>
      <c r="P9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76" t="str">
        <f>IF(Table1[[#This Row],[Fraud_Score]]&gt;=6, "High Risk",IF(Table1[[#This Row],[Fraud_Score]]&gt;=3, "Medium Risk", "Low Risk"))</f>
        <v>Low Risk</v>
      </c>
      <c r="R976">
        <f>IF(Table1[[#This Row],[Seconds of Use]]=0,0,Table1[[#This Row],[Customer Value]]/Table1[[#This Row],[Seconds of Use]]*100)</f>
        <v>6.5867995874871088</v>
      </c>
    </row>
    <row r="977" spans="1:18" x14ac:dyDescent="0.35">
      <c r="A977" s="3" t="s">
        <v>998</v>
      </c>
      <c r="B977">
        <v>1</v>
      </c>
      <c r="C977">
        <v>0</v>
      </c>
      <c r="D977">
        <v>34</v>
      </c>
      <c r="E977">
        <v>0</v>
      </c>
      <c r="F977">
        <v>2840</v>
      </c>
      <c r="G977">
        <v>22</v>
      </c>
      <c r="H977">
        <v>0</v>
      </c>
      <c r="I977">
        <v>14</v>
      </c>
      <c r="J977">
        <v>3</v>
      </c>
      <c r="K977">
        <v>1</v>
      </c>
      <c r="L977">
        <v>1</v>
      </c>
      <c r="M977">
        <v>30</v>
      </c>
      <c r="N977">
        <v>114.48</v>
      </c>
      <c r="O977">
        <v>0</v>
      </c>
      <c r="P9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77" t="str">
        <f>IF(Table1[[#This Row],[Fraud_Score]]&gt;=6, "High Risk",IF(Table1[[#This Row],[Fraud_Score]]&gt;=3, "Medium Risk", "Low Risk"))</f>
        <v>Low Risk</v>
      </c>
      <c r="R977">
        <f>IF(Table1[[#This Row],[Seconds of Use]]=0,0,Table1[[#This Row],[Customer Value]]/Table1[[#This Row],[Seconds of Use]]*100)</f>
        <v>4.0309859154929581</v>
      </c>
    </row>
    <row r="978" spans="1:18" x14ac:dyDescent="0.35">
      <c r="A978" s="3" t="s">
        <v>999</v>
      </c>
      <c r="B978">
        <v>9</v>
      </c>
      <c r="C978">
        <v>1</v>
      </c>
      <c r="D978">
        <v>35</v>
      </c>
      <c r="E978">
        <v>0</v>
      </c>
      <c r="F978">
        <v>2990</v>
      </c>
      <c r="G978">
        <v>41</v>
      </c>
      <c r="H978">
        <v>9</v>
      </c>
      <c r="I978">
        <v>16</v>
      </c>
      <c r="J978">
        <v>3</v>
      </c>
      <c r="K978">
        <v>1</v>
      </c>
      <c r="L978">
        <v>2</v>
      </c>
      <c r="M978">
        <v>30</v>
      </c>
      <c r="N978">
        <v>157.24</v>
      </c>
      <c r="O978">
        <v>1</v>
      </c>
      <c r="P9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78" t="str">
        <f>IF(Table1[[#This Row],[Fraud_Score]]&gt;=6, "High Risk",IF(Table1[[#This Row],[Fraud_Score]]&gt;=3, "Medium Risk", "Low Risk"))</f>
        <v>Medium Risk</v>
      </c>
      <c r="R978">
        <f>IF(Table1[[#This Row],[Seconds of Use]]=0,0,Table1[[#This Row],[Customer Value]]/Table1[[#This Row],[Seconds of Use]]*100)</f>
        <v>5.2588628762541809</v>
      </c>
    </row>
    <row r="979" spans="1:18" x14ac:dyDescent="0.35">
      <c r="A979" s="3" t="s">
        <v>1000</v>
      </c>
      <c r="B979">
        <v>9</v>
      </c>
      <c r="C979">
        <v>0</v>
      </c>
      <c r="D979">
        <v>36</v>
      </c>
      <c r="E979">
        <v>0</v>
      </c>
      <c r="F979">
        <v>2268</v>
      </c>
      <c r="G979">
        <v>44</v>
      </c>
      <c r="H979">
        <v>34</v>
      </c>
      <c r="I979">
        <v>31</v>
      </c>
      <c r="J979">
        <v>3</v>
      </c>
      <c r="K979">
        <v>1</v>
      </c>
      <c r="L979">
        <v>2</v>
      </c>
      <c r="M979">
        <v>30</v>
      </c>
      <c r="N979">
        <v>228.48</v>
      </c>
      <c r="O979">
        <v>1</v>
      </c>
      <c r="P9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79" t="str">
        <f>IF(Table1[[#This Row],[Fraud_Score]]&gt;=6, "High Risk",IF(Table1[[#This Row],[Fraud_Score]]&gt;=3, "Medium Risk", "Low Risk"))</f>
        <v>Low Risk</v>
      </c>
      <c r="R979">
        <f>IF(Table1[[#This Row],[Seconds of Use]]=0,0,Table1[[#This Row],[Customer Value]]/Table1[[#This Row],[Seconds of Use]]*100)</f>
        <v>10.074074074074074</v>
      </c>
    </row>
    <row r="980" spans="1:18" x14ac:dyDescent="0.35">
      <c r="A980" s="3" t="s">
        <v>1001</v>
      </c>
      <c r="B980">
        <v>0</v>
      </c>
      <c r="C980">
        <v>0</v>
      </c>
      <c r="D980">
        <v>36</v>
      </c>
      <c r="E980">
        <v>0</v>
      </c>
      <c r="F980">
        <v>133</v>
      </c>
      <c r="G980">
        <v>2</v>
      </c>
      <c r="H980">
        <v>0</v>
      </c>
      <c r="I980">
        <v>2</v>
      </c>
      <c r="J980">
        <v>3</v>
      </c>
      <c r="K980">
        <v>1</v>
      </c>
      <c r="L980">
        <v>2</v>
      </c>
      <c r="M980">
        <v>30</v>
      </c>
      <c r="N980">
        <v>5.4</v>
      </c>
      <c r="O980">
        <v>1</v>
      </c>
      <c r="P9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80" t="str">
        <f>IF(Table1[[#This Row],[Fraud_Score]]&gt;=6, "High Risk",IF(Table1[[#This Row],[Fraud_Score]]&gt;=3, "Medium Risk", "Low Risk"))</f>
        <v>Low Risk</v>
      </c>
      <c r="R980">
        <f>IF(Table1[[#This Row],[Seconds of Use]]=0,0,Table1[[#This Row],[Customer Value]]/Table1[[#This Row],[Seconds of Use]]*100)</f>
        <v>4.0601503759398501</v>
      </c>
    </row>
    <row r="981" spans="1:18" x14ac:dyDescent="0.35">
      <c r="A981" s="3" t="s">
        <v>1002</v>
      </c>
      <c r="B981">
        <v>1</v>
      </c>
      <c r="C981">
        <v>0</v>
      </c>
      <c r="D981">
        <v>36</v>
      </c>
      <c r="E981">
        <v>0</v>
      </c>
      <c r="F981">
        <v>1668</v>
      </c>
      <c r="G981">
        <v>25</v>
      </c>
      <c r="H981">
        <v>0</v>
      </c>
      <c r="I981">
        <v>6</v>
      </c>
      <c r="J981">
        <v>3</v>
      </c>
      <c r="K981">
        <v>1</v>
      </c>
      <c r="L981">
        <v>1</v>
      </c>
      <c r="M981">
        <v>30</v>
      </c>
      <c r="N981">
        <v>67.72</v>
      </c>
      <c r="O981">
        <v>0</v>
      </c>
      <c r="P9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81" t="str">
        <f>IF(Table1[[#This Row],[Fraud_Score]]&gt;=6, "High Risk",IF(Table1[[#This Row],[Fraud_Score]]&gt;=3, "Medium Risk", "Low Risk"))</f>
        <v>Low Risk</v>
      </c>
      <c r="R981">
        <f>IF(Table1[[#This Row],[Seconds of Use]]=0,0,Table1[[#This Row],[Customer Value]]/Table1[[#This Row],[Seconds of Use]]*100)</f>
        <v>4.0599520383693042</v>
      </c>
    </row>
    <row r="982" spans="1:18" x14ac:dyDescent="0.35">
      <c r="A982" s="3" t="s">
        <v>1003</v>
      </c>
      <c r="B982">
        <v>3</v>
      </c>
      <c r="C982">
        <v>0</v>
      </c>
      <c r="D982">
        <v>33</v>
      </c>
      <c r="E982">
        <v>1</v>
      </c>
      <c r="F982">
        <v>6785</v>
      </c>
      <c r="G982">
        <v>97</v>
      </c>
      <c r="H982">
        <v>14</v>
      </c>
      <c r="I982">
        <v>22</v>
      </c>
      <c r="J982">
        <v>5</v>
      </c>
      <c r="K982">
        <v>1</v>
      </c>
      <c r="L982">
        <v>1</v>
      </c>
      <c r="M982">
        <v>55</v>
      </c>
      <c r="N982">
        <v>124.23</v>
      </c>
      <c r="O982">
        <v>0</v>
      </c>
      <c r="P9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82" t="str">
        <f>IF(Table1[[#This Row],[Fraud_Score]]&gt;=6, "High Risk",IF(Table1[[#This Row],[Fraud_Score]]&gt;=3, "Medium Risk", "Low Risk"))</f>
        <v>Low Risk</v>
      </c>
      <c r="R982">
        <f>IF(Table1[[#This Row],[Seconds of Use]]=0,0,Table1[[#This Row],[Customer Value]]/Table1[[#This Row],[Seconds of Use]]*100)</f>
        <v>1.8309506263817246</v>
      </c>
    </row>
    <row r="983" spans="1:18" x14ac:dyDescent="0.35">
      <c r="A983" s="3" t="s">
        <v>1004</v>
      </c>
      <c r="B983">
        <v>0</v>
      </c>
      <c r="C983">
        <v>0</v>
      </c>
      <c r="D983">
        <v>36</v>
      </c>
      <c r="E983">
        <v>0</v>
      </c>
      <c r="F983">
        <v>628</v>
      </c>
      <c r="G983">
        <v>7</v>
      </c>
      <c r="H983">
        <v>9</v>
      </c>
      <c r="I983">
        <v>4</v>
      </c>
      <c r="J983">
        <v>4</v>
      </c>
      <c r="K983">
        <v>1</v>
      </c>
      <c r="L983">
        <v>2</v>
      </c>
      <c r="M983">
        <v>45</v>
      </c>
      <c r="N983">
        <v>38.375</v>
      </c>
      <c r="O983">
        <v>1</v>
      </c>
      <c r="P9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83" t="str">
        <f>IF(Table1[[#This Row],[Fraud_Score]]&gt;=6, "High Risk",IF(Table1[[#This Row],[Fraud_Score]]&gt;=3, "Medium Risk", "Low Risk"))</f>
        <v>Low Risk</v>
      </c>
      <c r="R983">
        <f>IF(Table1[[#This Row],[Seconds of Use]]=0,0,Table1[[#This Row],[Customer Value]]/Table1[[#This Row],[Seconds of Use]]*100)</f>
        <v>6.1106687898089174</v>
      </c>
    </row>
    <row r="984" spans="1:18" x14ac:dyDescent="0.35">
      <c r="A984" s="3" t="s">
        <v>1005</v>
      </c>
      <c r="B984">
        <v>0</v>
      </c>
      <c r="C984">
        <v>0</v>
      </c>
      <c r="D984">
        <v>36</v>
      </c>
      <c r="E984">
        <v>1</v>
      </c>
      <c r="F984">
        <v>338</v>
      </c>
      <c r="G984">
        <v>4</v>
      </c>
      <c r="H984">
        <v>4</v>
      </c>
      <c r="I984">
        <v>2</v>
      </c>
      <c r="J984">
        <v>5</v>
      </c>
      <c r="K984">
        <v>1</v>
      </c>
      <c r="L984">
        <v>1</v>
      </c>
      <c r="M984">
        <v>55</v>
      </c>
      <c r="N984">
        <v>11.13</v>
      </c>
      <c r="O984">
        <v>0</v>
      </c>
      <c r="P9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84" t="str">
        <f>IF(Table1[[#This Row],[Fraud_Score]]&gt;=6, "High Risk",IF(Table1[[#This Row],[Fraud_Score]]&gt;=3, "Medium Risk", "Low Risk"))</f>
        <v>Low Risk</v>
      </c>
      <c r="R984">
        <f>IF(Table1[[#This Row],[Seconds of Use]]=0,0,Table1[[#This Row],[Customer Value]]/Table1[[#This Row],[Seconds of Use]]*100)</f>
        <v>3.2928994082840237</v>
      </c>
    </row>
    <row r="985" spans="1:18" x14ac:dyDescent="0.35">
      <c r="A985" s="3" t="s">
        <v>1006</v>
      </c>
      <c r="B985">
        <v>25</v>
      </c>
      <c r="C985">
        <v>0</v>
      </c>
      <c r="D985">
        <v>31</v>
      </c>
      <c r="E985">
        <v>3</v>
      </c>
      <c r="F985">
        <v>16075</v>
      </c>
      <c r="G985">
        <v>238</v>
      </c>
      <c r="H985">
        <v>0</v>
      </c>
      <c r="I985">
        <v>80</v>
      </c>
      <c r="J985">
        <v>2</v>
      </c>
      <c r="K985">
        <v>1</v>
      </c>
      <c r="L985">
        <v>1</v>
      </c>
      <c r="M985">
        <v>25</v>
      </c>
      <c r="N985">
        <v>734.08500000000004</v>
      </c>
      <c r="O985">
        <v>0</v>
      </c>
      <c r="P9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985" t="str">
        <f>IF(Table1[[#This Row],[Fraud_Score]]&gt;=6, "High Risk",IF(Table1[[#This Row],[Fraud_Score]]&gt;=3, "Medium Risk", "Low Risk"))</f>
        <v>Medium Risk</v>
      </c>
      <c r="R985">
        <f>IF(Table1[[#This Row],[Seconds of Use]]=0,0,Table1[[#This Row],[Customer Value]]/Table1[[#This Row],[Seconds of Use]]*100)</f>
        <v>4.5666251944012446</v>
      </c>
    </row>
    <row r="986" spans="1:18" x14ac:dyDescent="0.35">
      <c r="A986" s="3" t="s">
        <v>1007</v>
      </c>
      <c r="B986">
        <v>6</v>
      </c>
      <c r="C986">
        <v>0</v>
      </c>
      <c r="D986">
        <v>34</v>
      </c>
      <c r="E986">
        <v>3</v>
      </c>
      <c r="F986">
        <v>6965</v>
      </c>
      <c r="G986">
        <v>116</v>
      </c>
      <c r="H986">
        <v>271</v>
      </c>
      <c r="I986">
        <v>33</v>
      </c>
      <c r="J986">
        <v>2</v>
      </c>
      <c r="K986">
        <v>2</v>
      </c>
      <c r="L986">
        <v>1</v>
      </c>
      <c r="M986">
        <v>25</v>
      </c>
      <c r="N986">
        <v>1538.145</v>
      </c>
      <c r="O986">
        <v>0</v>
      </c>
      <c r="P9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86" t="str">
        <f>IF(Table1[[#This Row],[Fraud_Score]]&gt;=6, "High Risk",IF(Table1[[#This Row],[Fraud_Score]]&gt;=3, "Medium Risk", "Low Risk"))</f>
        <v>Low Risk</v>
      </c>
      <c r="R986">
        <f>IF(Table1[[#This Row],[Seconds of Use]]=0,0,Table1[[#This Row],[Customer Value]]/Table1[[#This Row],[Seconds of Use]]*100)</f>
        <v>22.083919597989947</v>
      </c>
    </row>
    <row r="987" spans="1:18" x14ac:dyDescent="0.35">
      <c r="A987" s="3" t="s">
        <v>1008</v>
      </c>
      <c r="B987">
        <v>2</v>
      </c>
      <c r="C987">
        <v>0</v>
      </c>
      <c r="D987">
        <v>36</v>
      </c>
      <c r="E987">
        <v>0</v>
      </c>
      <c r="F987">
        <v>3718</v>
      </c>
      <c r="G987">
        <v>82</v>
      </c>
      <c r="H987">
        <v>2</v>
      </c>
      <c r="I987">
        <v>28</v>
      </c>
      <c r="J987">
        <v>2</v>
      </c>
      <c r="K987">
        <v>1</v>
      </c>
      <c r="L987">
        <v>1</v>
      </c>
      <c r="M987">
        <v>25</v>
      </c>
      <c r="N987">
        <v>180</v>
      </c>
      <c r="O987">
        <v>0</v>
      </c>
      <c r="P9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87" t="str">
        <f>IF(Table1[[#This Row],[Fraud_Score]]&gt;=6, "High Risk",IF(Table1[[#This Row],[Fraud_Score]]&gt;=3, "Medium Risk", "Low Risk"))</f>
        <v>Low Risk</v>
      </c>
      <c r="R987">
        <f>IF(Table1[[#This Row],[Seconds of Use]]=0,0,Table1[[#This Row],[Customer Value]]/Table1[[#This Row],[Seconds of Use]]*100)</f>
        <v>4.8413125336202265</v>
      </c>
    </row>
    <row r="988" spans="1:18" x14ac:dyDescent="0.35">
      <c r="A988" s="3" t="s">
        <v>1009</v>
      </c>
      <c r="B988">
        <v>3</v>
      </c>
      <c r="C988">
        <v>0</v>
      </c>
      <c r="D988">
        <v>35</v>
      </c>
      <c r="E988">
        <v>0</v>
      </c>
      <c r="F988">
        <v>1665</v>
      </c>
      <c r="G988">
        <v>44</v>
      </c>
      <c r="H988">
        <v>38</v>
      </c>
      <c r="I988">
        <v>20</v>
      </c>
      <c r="J988">
        <v>3</v>
      </c>
      <c r="K988">
        <v>1</v>
      </c>
      <c r="L988">
        <v>2</v>
      </c>
      <c r="M988">
        <v>30</v>
      </c>
      <c r="N988">
        <v>220.36</v>
      </c>
      <c r="O988">
        <v>0</v>
      </c>
      <c r="P9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88" t="str">
        <f>IF(Table1[[#This Row],[Fraud_Score]]&gt;=6, "High Risk",IF(Table1[[#This Row],[Fraud_Score]]&gt;=3, "Medium Risk", "Low Risk"))</f>
        <v>Low Risk</v>
      </c>
      <c r="R988">
        <f>IF(Table1[[#This Row],[Seconds of Use]]=0,0,Table1[[#This Row],[Customer Value]]/Table1[[#This Row],[Seconds of Use]]*100)</f>
        <v>13.234834834834835</v>
      </c>
    </row>
    <row r="989" spans="1:18" x14ac:dyDescent="0.35">
      <c r="A989" s="3" t="s">
        <v>1010</v>
      </c>
      <c r="B989">
        <v>6</v>
      </c>
      <c r="C989">
        <v>0</v>
      </c>
      <c r="D989">
        <v>36</v>
      </c>
      <c r="E989">
        <v>0</v>
      </c>
      <c r="F989">
        <v>2780</v>
      </c>
      <c r="G989">
        <v>53</v>
      </c>
      <c r="H989">
        <v>175</v>
      </c>
      <c r="I989">
        <v>23</v>
      </c>
      <c r="J989">
        <v>2</v>
      </c>
      <c r="K989">
        <v>1</v>
      </c>
      <c r="L989">
        <v>1</v>
      </c>
      <c r="M989">
        <v>25</v>
      </c>
      <c r="N989">
        <v>914.98500000000001</v>
      </c>
      <c r="O989">
        <v>0</v>
      </c>
      <c r="P9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89" t="str">
        <f>IF(Table1[[#This Row],[Fraud_Score]]&gt;=6, "High Risk",IF(Table1[[#This Row],[Fraud_Score]]&gt;=3, "Medium Risk", "Low Risk"))</f>
        <v>Low Risk</v>
      </c>
      <c r="R989">
        <f>IF(Table1[[#This Row],[Seconds of Use]]=0,0,Table1[[#This Row],[Customer Value]]/Table1[[#This Row],[Seconds of Use]]*100)</f>
        <v>32.913129496402874</v>
      </c>
    </row>
    <row r="990" spans="1:18" x14ac:dyDescent="0.35">
      <c r="A990" s="3" t="s">
        <v>1011</v>
      </c>
      <c r="B990">
        <v>4</v>
      </c>
      <c r="C990">
        <v>1</v>
      </c>
      <c r="D990">
        <v>27</v>
      </c>
      <c r="E990">
        <v>1</v>
      </c>
      <c r="F990">
        <v>1315</v>
      </c>
      <c r="G990">
        <v>36</v>
      </c>
      <c r="H990">
        <v>193</v>
      </c>
      <c r="I990">
        <v>11</v>
      </c>
      <c r="J990">
        <v>2</v>
      </c>
      <c r="K990">
        <v>2</v>
      </c>
      <c r="L990">
        <v>1</v>
      </c>
      <c r="M990">
        <v>25</v>
      </c>
      <c r="N990">
        <v>929.29499999999996</v>
      </c>
      <c r="O990">
        <v>1</v>
      </c>
      <c r="P9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90" t="str">
        <f>IF(Table1[[#This Row],[Fraud_Score]]&gt;=6, "High Risk",IF(Table1[[#This Row],[Fraud_Score]]&gt;=3, "Medium Risk", "Low Risk"))</f>
        <v>Low Risk</v>
      </c>
      <c r="R990">
        <f>IF(Table1[[#This Row],[Seconds of Use]]=0,0,Table1[[#This Row],[Customer Value]]/Table1[[#This Row],[Seconds of Use]]*100)</f>
        <v>70.668821292775661</v>
      </c>
    </row>
    <row r="991" spans="1:18" x14ac:dyDescent="0.35">
      <c r="A991" s="3" t="s">
        <v>1012</v>
      </c>
      <c r="B991">
        <v>4</v>
      </c>
      <c r="C991">
        <v>0</v>
      </c>
      <c r="D991">
        <v>26</v>
      </c>
      <c r="E991">
        <v>0</v>
      </c>
      <c r="F991">
        <v>1568</v>
      </c>
      <c r="G991">
        <v>39</v>
      </c>
      <c r="H991">
        <v>30</v>
      </c>
      <c r="I991">
        <v>68</v>
      </c>
      <c r="J991">
        <v>4</v>
      </c>
      <c r="K991">
        <v>1</v>
      </c>
      <c r="L991">
        <v>1</v>
      </c>
      <c r="M991">
        <v>45</v>
      </c>
      <c r="N991">
        <v>115.175</v>
      </c>
      <c r="O991">
        <v>0</v>
      </c>
      <c r="P9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991" t="str">
        <f>IF(Table1[[#This Row],[Fraud_Score]]&gt;=6, "High Risk",IF(Table1[[#This Row],[Fraud_Score]]&gt;=3, "Medium Risk", "Low Risk"))</f>
        <v>Low Risk</v>
      </c>
      <c r="R991">
        <f>IF(Table1[[#This Row],[Seconds of Use]]=0,0,Table1[[#This Row],[Customer Value]]/Table1[[#This Row],[Seconds of Use]]*100)</f>
        <v>7.3453443877551026</v>
      </c>
    </row>
    <row r="992" spans="1:18" x14ac:dyDescent="0.35">
      <c r="A992" s="3" t="s">
        <v>1013</v>
      </c>
      <c r="B992">
        <v>11</v>
      </c>
      <c r="C992">
        <v>0</v>
      </c>
      <c r="D992">
        <v>27</v>
      </c>
      <c r="E992">
        <v>0</v>
      </c>
      <c r="F992">
        <v>700</v>
      </c>
      <c r="G992">
        <v>25</v>
      </c>
      <c r="H992">
        <v>10</v>
      </c>
      <c r="I992">
        <v>7</v>
      </c>
      <c r="J992">
        <v>2</v>
      </c>
      <c r="K992">
        <v>1</v>
      </c>
      <c r="L992">
        <v>2</v>
      </c>
      <c r="M992">
        <v>25</v>
      </c>
      <c r="N992">
        <v>77.625</v>
      </c>
      <c r="O992">
        <v>0</v>
      </c>
      <c r="P9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992" t="str">
        <f>IF(Table1[[#This Row],[Fraud_Score]]&gt;=6, "High Risk",IF(Table1[[#This Row],[Fraud_Score]]&gt;=3, "Medium Risk", "Low Risk"))</f>
        <v>Medium Risk</v>
      </c>
      <c r="R992">
        <f>IF(Table1[[#This Row],[Seconds of Use]]=0,0,Table1[[#This Row],[Customer Value]]/Table1[[#This Row],[Seconds of Use]]*100)</f>
        <v>11.089285714285714</v>
      </c>
    </row>
    <row r="993" spans="1:18" x14ac:dyDescent="0.35">
      <c r="A993" s="3" t="s">
        <v>1014</v>
      </c>
      <c r="B993">
        <v>0</v>
      </c>
      <c r="C993">
        <v>0</v>
      </c>
      <c r="D993">
        <v>26</v>
      </c>
      <c r="E993">
        <v>0</v>
      </c>
      <c r="F993">
        <v>825</v>
      </c>
      <c r="G993">
        <v>10</v>
      </c>
      <c r="H993">
        <v>21</v>
      </c>
      <c r="I993">
        <v>3</v>
      </c>
      <c r="J993">
        <v>4</v>
      </c>
      <c r="K993">
        <v>1</v>
      </c>
      <c r="L993">
        <v>2</v>
      </c>
      <c r="M993">
        <v>45</v>
      </c>
      <c r="N993">
        <v>73.375</v>
      </c>
      <c r="O993">
        <v>0</v>
      </c>
      <c r="P9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93" t="str">
        <f>IF(Table1[[#This Row],[Fraud_Score]]&gt;=6, "High Risk",IF(Table1[[#This Row],[Fraud_Score]]&gt;=3, "Medium Risk", "Low Risk"))</f>
        <v>Low Risk</v>
      </c>
      <c r="R993">
        <f>IF(Table1[[#This Row],[Seconds of Use]]=0,0,Table1[[#This Row],[Customer Value]]/Table1[[#This Row],[Seconds of Use]]*100)</f>
        <v>8.8939393939393945</v>
      </c>
    </row>
    <row r="994" spans="1:18" x14ac:dyDescent="0.35">
      <c r="A994" s="3" t="s">
        <v>1015</v>
      </c>
      <c r="B994">
        <v>10</v>
      </c>
      <c r="C994">
        <v>0</v>
      </c>
      <c r="D994">
        <v>25</v>
      </c>
      <c r="E994">
        <v>0</v>
      </c>
      <c r="F994">
        <v>1225</v>
      </c>
      <c r="G994">
        <v>32</v>
      </c>
      <c r="H994">
        <v>19</v>
      </c>
      <c r="I994">
        <v>13</v>
      </c>
      <c r="J994">
        <v>2</v>
      </c>
      <c r="K994">
        <v>1</v>
      </c>
      <c r="L994">
        <v>1</v>
      </c>
      <c r="M994">
        <v>25</v>
      </c>
      <c r="N994">
        <v>142.065</v>
      </c>
      <c r="O994">
        <v>0</v>
      </c>
      <c r="P9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94" t="str">
        <f>IF(Table1[[#This Row],[Fraud_Score]]&gt;=6, "High Risk",IF(Table1[[#This Row],[Fraud_Score]]&gt;=3, "Medium Risk", "Low Risk"))</f>
        <v>Low Risk</v>
      </c>
      <c r="R994">
        <f>IF(Table1[[#This Row],[Seconds of Use]]=0,0,Table1[[#This Row],[Customer Value]]/Table1[[#This Row],[Seconds of Use]]*100)</f>
        <v>11.597142857142858</v>
      </c>
    </row>
    <row r="995" spans="1:18" x14ac:dyDescent="0.35">
      <c r="A995" s="3" t="s">
        <v>1016</v>
      </c>
      <c r="B995">
        <v>2</v>
      </c>
      <c r="C995">
        <v>0</v>
      </c>
      <c r="D995">
        <v>25</v>
      </c>
      <c r="E995">
        <v>0</v>
      </c>
      <c r="F995">
        <v>3225</v>
      </c>
      <c r="G995">
        <v>61</v>
      </c>
      <c r="H995">
        <v>8</v>
      </c>
      <c r="I995">
        <v>23</v>
      </c>
      <c r="J995">
        <v>3</v>
      </c>
      <c r="K995">
        <v>1</v>
      </c>
      <c r="L995">
        <v>1</v>
      </c>
      <c r="M995">
        <v>30</v>
      </c>
      <c r="N995">
        <v>163.44</v>
      </c>
      <c r="O995">
        <v>0</v>
      </c>
      <c r="P9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95" t="str">
        <f>IF(Table1[[#This Row],[Fraud_Score]]&gt;=6, "High Risk",IF(Table1[[#This Row],[Fraud_Score]]&gt;=3, "Medium Risk", "Low Risk"))</f>
        <v>Low Risk</v>
      </c>
      <c r="R995">
        <f>IF(Table1[[#This Row],[Seconds of Use]]=0,0,Table1[[#This Row],[Customer Value]]/Table1[[#This Row],[Seconds of Use]]*100)</f>
        <v>5.0679069767441858</v>
      </c>
    </row>
    <row r="996" spans="1:18" x14ac:dyDescent="0.35">
      <c r="A996" s="3" t="s">
        <v>1017</v>
      </c>
      <c r="B996">
        <v>2</v>
      </c>
      <c r="C996">
        <v>0</v>
      </c>
      <c r="D996">
        <v>18</v>
      </c>
      <c r="E996">
        <v>0</v>
      </c>
      <c r="F996">
        <v>1695</v>
      </c>
      <c r="G996">
        <v>26</v>
      </c>
      <c r="H996">
        <v>28</v>
      </c>
      <c r="I996">
        <v>14</v>
      </c>
      <c r="J996">
        <v>2</v>
      </c>
      <c r="K996">
        <v>1</v>
      </c>
      <c r="L996">
        <v>1</v>
      </c>
      <c r="M996">
        <v>25</v>
      </c>
      <c r="N996">
        <v>203.44499999999999</v>
      </c>
      <c r="O996">
        <v>0</v>
      </c>
      <c r="P9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996" t="str">
        <f>IF(Table1[[#This Row],[Fraud_Score]]&gt;=6, "High Risk",IF(Table1[[#This Row],[Fraud_Score]]&gt;=3, "Medium Risk", "Low Risk"))</f>
        <v>Low Risk</v>
      </c>
      <c r="R996">
        <f>IF(Table1[[#This Row],[Seconds of Use]]=0,0,Table1[[#This Row],[Customer Value]]/Table1[[#This Row],[Seconds of Use]]*100)</f>
        <v>12.002654867256638</v>
      </c>
    </row>
    <row r="997" spans="1:18" x14ac:dyDescent="0.35">
      <c r="A997" s="3" t="s">
        <v>1018</v>
      </c>
      <c r="B997">
        <v>16</v>
      </c>
      <c r="C997">
        <v>0</v>
      </c>
      <c r="D997">
        <v>17</v>
      </c>
      <c r="E997">
        <v>1</v>
      </c>
      <c r="F997">
        <v>6392</v>
      </c>
      <c r="G997">
        <v>141</v>
      </c>
      <c r="H997">
        <v>85</v>
      </c>
      <c r="I997">
        <v>42</v>
      </c>
      <c r="J997">
        <v>2</v>
      </c>
      <c r="K997">
        <v>2</v>
      </c>
      <c r="L997">
        <v>1</v>
      </c>
      <c r="M997">
        <v>25</v>
      </c>
      <c r="N997">
        <v>676.48500000000001</v>
      </c>
      <c r="O997">
        <v>0</v>
      </c>
      <c r="P9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997" t="str">
        <f>IF(Table1[[#This Row],[Fraud_Score]]&gt;=6, "High Risk",IF(Table1[[#This Row],[Fraud_Score]]&gt;=3, "Medium Risk", "Low Risk"))</f>
        <v>Medium Risk</v>
      </c>
      <c r="R997">
        <f>IF(Table1[[#This Row],[Seconds of Use]]=0,0,Table1[[#This Row],[Customer Value]]/Table1[[#This Row],[Seconds of Use]]*100)</f>
        <v>10.583307259073843</v>
      </c>
    </row>
    <row r="998" spans="1:18" x14ac:dyDescent="0.35">
      <c r="A998" s="3" t="s">
        <v>1019</v>
      </c>
      <c r="B998">
        <v>12</v>
      </c>
      <c r="C998">
        <v>0</v>
      </c>
      <c r="D998">
        <v>15</v>
      </c>
      <c r="E998">
        <v>0</v>
      </c>
      <c r="F998">
        <v>8932</v>
      </c>
      <c r="G998">
        <v>171</v>
      </c>
      <c r="H998">
        <v>73</v>
      </c>
      <c r="I998">
        <v>40</v>
      </c>
      <c r="J998">
        <v>4</v>
      </c>
      <c r="K998">
        <v>1</v>
      </c>
      <c r="L998">
        <v>1</v>
      </c>
      <c r="M998">
        <v>45</v>
      </c>
      <c r="N998">
        <v>410.07499999999999</v>
      </c>
      <c r="O998">
        <v>0</v>
      </c>
      <c r="P9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998" t="str">
        <f>IF(Table1[[#This Row],[Fraud_Score]]&gt;=6, "High Risk",IF(Table1[[#This Row],[Fraud_Score]]&gt;=3, "Medium Risk", "Low Risk"))</f>
        <v>Medium Risk</v>
      </c>
      <c r="R998">
        <f>IF(Table1[[#This Row],[Seconds of Use]]=0,0,Table1[[#This Row],[Customer Value]]/Table1[[#This Row],[Seconds of Use]]*100)</f>
        <v>4.5910770264218543</v>
      </c>
    </row>
    <row r="999" spans="1:18" x14ac:dyDescent="0.35">
      <c r="A999" s="3" t="s">
        <v>1020</v>
      </c>
      <c r="B999">
        <v>8</v>
      </c>
      <c r="C999">
        <v>0</v>
      </c>
      <c r="D999">
        <v>16</v>
      </c>
      <c r="E999">
        <v>3</v>
      </c>
      <c r="F999">
        <v>2852</v>
      </c>
      <c r="G999">
        <v>45</v>
      </c>
      <c r="H999">
        <v>31</v>
      </c>
      <c r="I999">
        <v>19</v>
      </c>
      <c r="J999">
        <v>3</v>
      </c>
      <c r="K999">
        <v>1</v>
      </c>
      <c r="L999">
        <v>1</v>
      </c>
      <c r="M999">
        <v>30</v>
      </c>
      <c r="N999">
        <v>239.88</v>
      </c>
      <c r="O999">
        <v>0</v>
      </c>
      <c r="P9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999" t="str">
        <f>IF(Table1[[#This Row],[Fraud_Score]]&gt;=6, "High Risk",IF(Table1[[#This Row],[Fraud_Score]]&gt;=3, "Medium Risk", "Low Risk"))</f>
        <v>Low Risk</v>
      </c>
      <c r="R999">
        <f>IF(Table1[[#This Row],[Seconds of Use]]=0,0,Table1[[#This Row],[Customer Value]]/Table1[[#This Row],[Seconds of Use]]*100)</f>
        <v>8.4109396914446002</v>
      </c>
    </row>
    <row r="1000" spans="1:18" x14ac:dyDescent="0.35">
      <c r="A1000" s="3" t="s">
        <v>1021</v>
      </c>
      <c r="B1000">
        <v>2</v>
      </c>
      <c r="C1000">
        <v>0</v>
      </c>
      <c r="D1000">
        <v>9</v>
      </c>
      <c r="E1000">
        <v>1</v>
      </c>
      <c r="F1000">
        <v>4390</v>
      </c>
      <c r="G1000">
        <v>40</v>
      </c>
      <c r="H1000">
        <v>215</v>
      </c>
      <c r="I1000">
        <v>10</v>
      </c>
      <c r="J1000">
        <v>3</v>
      </c>
      <c r="K1000">
        <v>1</v>
      </c>
      <c r="L1000">
        <v>1</v>
      </c>
      <c r="M1000">
        <v>30</v>
      </c>
      <c r="N1000">
        <v>1037.2</v>
      </c>
      <c r="O1000">
        <v>0</v>
      </c>
      <c r="P10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00" t="str">
        <f>IF(Table1[[#This Row],[Fraud_Score]]&gt;=6, "High Risk",IF(Table1[[#This Row],[Fraud_Score]]&gt;=3, "Medium Risk", "Low Risk"))</f>
        <v>Low Risk</v>
      </c>
      <c r="R1000">
        <f>IF(Table1[[#This Row],[Seconds of Use]]=0,0,Table1[[#This Row],[Customer Value]]/Table1[[#This Row],[Seconds of Use]]*100)</f>
        <v>23.626423690205012</v>
      </c>
    </row>
    <row r="1001" spans="1:18" x14ac:dyDescent="0.35">
      <c r="A1001" s="3" t="s">
        <v>1022</v>
      </c>
      <c r="B1001">
        <v>3</v>
      </c>
      <c r="C1001">
        <v>0</v>
      </c>
      <c r="D1001">
        <v>9</v>
      </c>
      <c r="E1001">
        <v>1</v>
      </c>
      <c r="F1001">
        <v>1487</v>
      </c>
      <c r="G1001">
        <v>19</v>
      </c>
      <c r="H1001">
        <v>0</v>
      </c>
      <c r="I1001">
        <v>7</v>
      </c>
      <c r="J1001">
        <v>3</v>
      </c>
      <c r="K1001">
        <v>1</v>
      </c>
      <c r="L1001">
        <v>1</v>
      </c>
      <c r="M1001">
        <v>30</v>
      </c>
      <c r="N1001">
        <v>60.24</v>
      </c>
      <c r="O1001">
        <v>1</v>
      </c>
      <c r="P10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01" t="str">
        <f>IF(Table1[[#This Row],[Fraud_Score]]&gt;=6, "High Risk",IF(Table1[[#This Row],[Fraud_Score]]&gt;=3, "Medium Risk", "Low Risk"))</f>
        <v>Low Risk</v>
      </c>
      <c r="R1001">
        <f>IF(Table1[[#This Row],[Seconds of Use]]=0,0,Table1[[#This Row],[Customer Value]]/Table1[[#This Row],[Seconds of Use]]*100)</f>
        <v>4.0511096166778753</v>
      </c>
    </row>
    <row r="1002" spans="1:18" x14ac:dyDescent="0.35">
      <c r="A1002" s="3" t="s">
        <v>1023</v>
      </c>
      <c r="B1002">
        <v>8</v>
      </c>
      <c r="C1002">
        <v>0</v>
      </c>
      <c r="D1002">
        <v>38</v>
      </c>
      <c r="E1002">
        <v>0</v>
      </c>
      <c r="F1002">
        <v>4370</v>
      </c>
      <c r="G1002">
        <v>71</v>
      </c>
      <c r="H1002">
        <v>5</v>
      </c>
      <c r="I1002">
        <v>17</v>
      </c>
      <c r="J1002">
        <v>3</v>
      </c>
      <c r="K1002">
        <v>1</v>
      </c>
      <c r="L1002">
        <v>1</v>
      </c>
      <c r="M1002">
        <v>30</v>
      </c>
      <c r="N1002">
        <v>197.64</v>
      </c>
      <c r="O1002">
        <v>0</v>
      </c>
      <c r="P10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02" t="str">
        <f>IF(Table1[[#This Row],[Fraud_Score]]&gt;=6, "High Risk",IF(Table1[[#This Row],[Fraud_Score]]&gt;=3, "Medium Risk", "Low Risk"))</f>
        <v>Low Risk</v>
      </c>
      <c r="R1002">
        <f>IF(Table1[[#This Row],[Seconds of Use]]=0,0,Table1[[#This Row],[Customer Value]]/Table1[[#This Row],[Seconds of Use]]*100)</f>
        <v>4.5226544622425626</v>
      </c>
    </row>
    <row r="1003" spans="1:18" x14ac:dyDescent="0.35">
      <c r="A1003" s="3" t="s">
        <v>1024</v>
      </c>
      <c r="B1003">
        <v>0</v>
      </c>
      <c r="C1003">
        <v>0</v>
      </c>
      <c r="D1003">
        <v>39</v>
      </c>
      <c r="E1003">
        <v>0</v>
      </c>
      <c r="F1003">
        <v>318</v>
      </c>
      <c r="G1003">
        <v>5</v>
      </c>
      <c r="H1003">
        <v>7</v>
      </c>
      <c r="I1003">
        <v>4</v>
      </c>
      <c r="J1003">
        <v>2</v>
      </c>
      <c r="K1003">
        <v>1</v>
      </c>
      <c r="L1003">
        <v>2</v>
      </c>
      <c r="M1003">
        <v>25</v>
      </c>
      <c r="N1003">
        <v>46.034999999999997</v>
      </c>
      <c r="O1003">
        <v>0</v>
      </c>
      <c r="P10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03" t="str">
        <f>IF(Table1[[#This Row],[Fraud_Score]]&gt;=6, "High Risk",IF(Table1[[#This Row],[Fraud_Score]]&gt;=3, "Medium Risk", "Low Risk"))</f>
        <v>Low Risk</v>
      </c>
      <c r="R1003">
        <f>IF(Table1[[#This Row],[Seconds of Use]]=0,0,Table1[[#This Row],[Customer Value]]/Table1[[#This Row],[Seconds of Use]]*100)</f>
        <v>14.47641509433962</v>
      </c>
    </row>
    <row r="1004" spans="1:18" x14ac:dyDescent="0.35">
      <c r="A1004" s="3" t="s">
        <v>1025</v>
      </c>
      <c r="B1004">
        <v>10</v>
      </c>
      <c r="C1004">
        <v>0</v>
      </c>
      <c r="D1004">
        <v>37</v>
      </c>
      <c r="E1004">
        <v>0</v>
      </c>
      <c r="F1004">
        <v>2453</v>
      </c>
      <c r="G1004">
        <v>60</v>
      </c>
      <c r="H1004">
        <v>359</v>
      </c>
      <c r="I1004">
        <v>24</v>
      </c>
      <c r="J1004">
        <v>3</v>
      </c>
      <c r="K1004">
        <v>1</v>
      </c>
      <c r="L1004">
        <v>1</v>
      </c>
      <c r="M1004">
        <v>30</v>
      </c>
      <c r="N1004">
        <v>1536.52</v>
      </c>
      <c r="O1004">
        <v>0</v>
      </c>
      <c r="P10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04" t="str">
        <f>IF(Table1[[#This Row],[Fraud_Score]]&gt;=6, "High Risk",IF(Table1[[#This Row],[Fraud_Score]]&gt;=3, "Medium Risk", "Low Risk"))</f>
        <v>Low Risk</v>
      </c>
      <c r="R1004">
        <f>IF(Table1[[#This Row],[Seconds of Use]]=0,0,Table1[[#This Row],[Customer Value]]/Table1[[#This Row],[Seconds of Use]]*100)</f>
        <v>62.638401956787604</v>
      </c>
    </row>
    <row r="1005" spans="1:18" x14ac:dyDescent="0.35">
      <c r="A1005" s="3" t="s">
        <v>1026</v>
      </c>
      <c r="B1005">
        <v>10</v>
      </c>
      <c r="C1005">
        <v>0</v>
      </c>
      <c r="D1005">
        <v>38</v>
      </c>
      <c r="E1005">
        <v>0</v>
      </c>
      <c r="F1005">
        <v>4198</v>
      </c>
      <c r="G1005">
        <v>66</v>
      </c>
      <c r="H1005">
        <v>1</v>
      </c>
      <c r="I1005">
        <v>35</v>
      </c>
      <c r="J1005">
        <v>1</v>
      </c>
      <c r="K1005">
        <v>1</v>
      </c>
      <c r="L1005">
        <v>1</v>
      </c>
      <c r="M1005">
        <v>15</v>
      </c>
      <c r="N1005">
        <v>240.02</v>
      </c>
      <c r="O1005">
        <v>0</v>
      </c>
      <c r="P10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05" t="str">
        <f>IF(Table1[[#This Row],[Fraud_Score]]&gt;=6, "High Risk",IF(Table1[[#This Row],[Fraud_Score]]&gt;=3, "Medium Risk", "Low Risk"))</f>
        <v>Low Risk</v>
      </c>
      <c r="R1005">
        <f>IF(Table1[[#This Row],[Seconds of Use]]=0,0,Table1[[#This Row],[Customer Value]]/Table1[[#This Row],[Seconds of Use]]*100)</f>
        <v>5.7174845164363983</v>
      </c>
    </row>
    <row r="1006" spans="1:18" x14ac:dyDescent="0.35">
      <c r="A1006" s="3" t="s">
        <v>1027</v>
      </c>
      <c r="B1006">
        <v>3</v>
      </c>
      <c r="C1006">
        <v>0</v>
      </c>
      <c r="D1006">
        <v>38</v>
      </c>
      <c r="E1006">
        <v>0</v>
      </c>
      <c r="F1006">
        <v>2393</v>
      </c>
      <c r="G1006">
        <v>58</v>
      </c>
      <c r="H1006">
        <v>2</v>
      </c>
      <c r="I1006">
        <v>33</v>
      </c>
      <c r="J1006">
        <v>1</v>
      </c>
      <c r="K1006">
        <v>1</v>
      </c>
      <c r="L1006">
        <v>1</v>
      </c>
      <c r="M1006">
        <v>15</v>
      </c>
      <c r="N1006">
        <v>145.80500000000001</v>
      </c>
      <c r="O1006">
        <v>0</v>
      </c>
      <c r="P10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06" t="str">
        <f>IF(Table1[[#This Row],[Fraud_Score]]&gt;=6, "High Risk",IF(Table1[[#This Row],[Fraud_Score]]&gt;=3, "Medium Risk", "Low Risk"))</f>
        <v>Low Risk</v>
      </c>
      <c r="R1006">
        <f>IF(Table1[[#This Row],[Seconds of Use]]=0,0,Table1[[#This Row],[Customer Value]]/Table1[[#This Row],[Seconds of Use]]*100)</f>
        <v>6.0929795236105306</v>
      </c>
    </row>
    <row r="1007" spans="1:18" x14ac:dyDescent="0.35">
      <c r="A1007" s="3" t="s">
        <v>1028</v>
      </c>
      <c r="B1007">
        <v>11</v>
      </c>
      <c r="C1007">
        <v>0</v>
      </c>
      <c r="D1007">
        <v>38</v>
      </c>
      <c r="E1007">
        <v>1</v>
      </c>
      <c r="F1007">
        <v>3775</v>
      </c>
      <c r="G1007">
        <v>82</v>
      </c>
      <c r="H1007">
        <v>32</v>
      </c>
      <c r="I1007">
        <v>28</v>
      </c>
      <c r="J1007">
        <v>3</v>
      </c>
      <c r="K1007">
        <v>1</v>
      </c>
      <c r="L1007">
        <v>1</v>
      </c>
      <c r="M1007">
        <v>30</v>
      </c>
      <c r="N1007">
        <v>282.27999999999997</v>
      </c>
      <c r="O1007">
        <v>0</v>
      </c>
      <c r="P10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07" t="str">
        <f>IF(Table1[[#This Row],[Fraud_Score]]&gt;=6, "High Risk",IF(Table1[[#This Row],[Fraud_Score]]&gt;=3, "Medium Risk", "Low Risk"))</f>
        <v>Low Risk</v>
      </c>
      <c r="R1007">
        <f>IF(Table1[[#This Row],[Seconds of Use]]=0,0,Table1[[#This Row],[Customer Value]]/Table1[[#This Row],[Seconds of Use]]*100)</f>
        <v>7.4776158940397339</v>
      </c>
    </row>
    <row r="1008" spans="1:18" x14ac:dyDescent="0.35">
      <c r="A1008" s="3" t="s">
        <v>1029</v>
      </c>
      <c r="B1008">
        <v>4</v>
      </c>
      <c r="C1008">
        <v>0</v>
      </c>
      <c r="D1008">
        <v>38</v>
      </c>
      <c r="E1008">
        <v>0</v>
      </c>
      <c r="F1008">
        <v>2360</v>
      </c>
      <c r="G1008">
        <v>39</v>
      </c>
      <c r="H1008">
        <v>285</v>
      </c>
      <c r="I1008">
        <v>18</v>
      </c>
      <c r="J1008">
        <v>3</v>
      </c>
      <c r="K1008">
        <v>1</v>
      </c>
      <c r="L1008">
        <v>1</v>
      </c>
      <c r="M1008">
        <v>30</v>
      </c>
      <c r="N1008">
        <v>1235.96</v>
      </c>
      <c r="O1008">
        <v>0</v>
      </c>
      <c r="P10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08" t="str">
        <f>IF(Table1[[#This Row],[Fraud_Score]]&gt;=6, "High Risk",IF(Table1[[#This Row],[Fraud_Score]]&gt;=3, "Medium Risk", "Low Risk"))</f>
        <v>Low Risk</v>
      </c>
      <c r="R1008">
        <f>IF(Table1[[#This Row],[Seconds of Use]]=0,0,Table1[[#This Row],[Customer Value]]/Table1[[#This Row],[Seconds of Use]]*100)</f>
        <v>52.371186440677967</v>
      </c>
    </row>
    <row r="1009" spans="1:18" x14ac:dyDescent="0.35">
      <c r="A1009" s="3" t="s">
        <v>1030</v>
      </c>
      <c r="B1009">
        <v>13</v>
      </c>
      <c r="C1009">
        <v>0</v>
      </c>
      <c r="D1009">
        <v>37</v>
      </c>
      <c r="E1009">
        <v>2</v>
      </c>
      <c r="F1009">
        <v>9115</v>
      </c>
      <c r="G1009">
        <v>121</v>
      </c>
      <c r="H1009">
        <v>144</v>
      </c>
      <c r="I1009">
        <v>43</v>
      </c>
      <c r="J1009">
        <v>3</v>
      </c>
      <c r="K1009">
        <v>1</v>
      </c>
      <c r="L1009">
        <v>1</v>
      </c>
      <c r="M1009">
        <v>30</v>
      </c>
      <c r="N1009">
        <v>945.44</v>
      </c>
      <c r="O1009">
        <v>0</v>
      </c>
      <c r="P10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09" t="str">
        <f>IF(Table1[[#This Row],[Fraud_Score]]&gt;=6, "High Risk",IF(Table1[[#This Row],[Fraud_Score]]&gt;=3, "Medium Risk", "Low Risk"))</f>
        <v>Low Risk</v>
      </c>
      <c r="R1009">
        <f>IF(Table1[[#This Row],[Seconds of Use]]=0,0,Table1[[#This Row],[Customer Value]]/Table1[[#This Row],[Seconds of Use]]*100)</f>
        <v>10.372353263850796</v>
      </c>
    </row>
    <row r="1010" spans="1:18" x14ac:dyDescent="0.35">
      <c r="A1010" s="3" t="s">
        <v>1031</v>
      </c>
      <c r="B1010">
        <v>7</v>
      </c>
      <c r="C1010">
        <v>0</v>
      </c>
      <c r="D1010">
        <v>38</v>
      </c>
      <c r="E1010">
        <v>0</v>
      </c>
      <c r="F1010">
        <v>13773</v>
      </c>
      <c r="G1010">
        <v>169</v>
      </c>
      <c r="H1010">
        <v>0</v>
      </c>
      <c r="I1010">
        <v>44</v>
      </c>
      <c r="J1010">
        <v>3</v>
      </c>
      <c r="K1010">
        <v>1</v>
      </c>
      <c r="L1010">
        <v>1</v>
      </c>
      <c r="M1010">
        <v>30</v>
      </c>
      <c r="N1010">
        <v>557.67999999999995</v>
      </c>
      <c r="O1010">
        <v>0</v>
      </c>
      <c r="P10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10" t="str">
        <f>IF(Table1[[#This Row],[Fraud_Score]]&gt;=6, "High Risk",IF(Table1[[#This Row],[Fraud_Score]]&gt;=3, "Medium Risk", "Low Risk"))</f>
        <v>Medium Risk</v>
      </c>
      <c r="R1010">
        <f>IF(Table1[[#This Row],[Seconds of Use]]=0,0,Table1[[#This Row],[Customer Value]]/Table1[[#This Row],[Seconds of Use]]*100)</f>
        <v>4.0490815363392141</v>
      </c>
    </row>
    <row r="1011" spans="1:18" x14ac:dyDescent="0.35">
      <c r="A1011" s="3" t="s">
        <v>1032</v>
      </c>
      <c r="B1011">
        <v>7</v>
      </c>
      <c r="C1011">
        <v>0</v>
      </c>
      <c r="D1011">
        <v>38</v>
      </c>
      <c r="E1011">
        <v>1</v>
      </c>
      <c r="F1011">
        <v>4515</v>
      </c>
      <c r="G1011">
        <v>83</v>
      </c>
      <c r="H1011">
        <v>2</v>
      </c>
      <c r="I1011">
        <v>25</v>
      </c>
      <c r="J1011">
        <v>3</v>
      </c>
      <c r="K1011">
        <v>1</v>
      </c>
      <c r="L1011">
        <v>1</v>
      </c>
      <c r="M1011">
        <v>30</v>
      </c>
      <c r="N1011">
        <v>191.92</v>
      </c>
      <c r="O1011">
        <v>0</v>
      </c>
      <c r="P10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11" t="str">
        <f>IF(Table1[[#This Row],[Fraud_Score]]&gt;=6, "High Risk",IF(Table1[[#This Row],[Fraud_Score]]&gt;=3, "Medium Risk", "Low Risk"))</f>
        <v>Low Risk</v>
      </c>
      <c r="R1011">
        <f>IF(Table1[[#This Row],[Seconds of Use]]=0,0,Table1[[#This Row],[Customer Value]]/Table1[[#This Row],[Seconds of Use]]*100)</f>
        <v>4.2507198228128455</v>
      </c>
    </row>
    <row r="1012" spans="1:18" x14ac:dyDescent="0.35">
      <c r="A1012" s="3" t="s">
        <v>1033</v>
      </c>
      <c r="B1012">
        <v>6</v>
      </c>
      <c r="C1012">
        <v>0</v>
      </c>
      <c r="D1012">
        <v>38</v>
      </c>
      <c r="E1012">
        <v>0</v>
      </c>
      <c r="F1012">
        <v>5918</v>
      </c>
      <c r="G1012">
        <v>95</v>
      </c>
      <c r="H1012">
        <v>7</v>
      </c>
      <c r="I1012">
        <v>12</v>
      </c>
      <c r="J1012">
        <v>3</v>
      </c>
      <c r="K1012">
        <v>1</v>
      </c>
      <c r="L1012">
        <v>1</v>
      </c>
      <c r="M1012">
        <v>30</v>
      </c>
      <c r="N1012">
        <v>268.52</v>
      </c>
      <c r="O1012">
        <v>0</v>
      </c>
      <c r="P10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12" t="str">
        <f>IF(Table1[[#This Row],[Fraud_Score]]&gt;=6, "High Risk",IF(Table1[[#This Row],[Fraud_Score]]&gt;=3, "Medium Risk", "Low Risk"))</f>
        <v>Low Risk</v>
      </c>
      <c r="R1012">
        <f>IF(Table1[[#This Row],[Seconds of Use]]=0,0,Table1[[#This Row],[Customer Value]]/Table1[[#This Row],[Seconds of Use]]*100)</f>
        <v>4.5373436971949985</v>
      </c>
    </row>
    <row r="1013" spans="1:18" x14ac:dyDescent="0.35">
      <c r="A1013" s="3" t="s">
        <v>1034</v>
      </c>
      <c r="B1013">
        <v>9</v>
      </c>
      <c r="C1013">
        <v>1</v>
      </c>
      <c r="D1013">
        <v>38</v>
      </c>
      <c r="E1013">
        <v>0</v>
      </c>
      <c r="F1013">
        <v>2238</v>
      </c>
      <c r="G1013">
        <v>54</v>
      </c>
      <c r="H1013">
        <v>8</v>
      </c>
      <c r="I1013">
        <v>17</v>
      </c>
      <c r="J1013">
        <v>3</v>
      </c>
      <c r="K1013">
        <v>1</v>
      </c>
      <c r="L1013">
        <v>2</v>
      </c>
      <c r="M1013">
        <v>30</v>
      </c>
      <c r="N1013">
        <v>123.68</v>
      </c>
      <c r="O1013">
        <v>0</v>
      </c>
      <c r="P10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13" t="str">
        <f>IF(Table1[[#This Row],[Fraud_Score]]&gt;=6, "High Risk",IF(Table1[[#This Row],[Fraud_Score]]&gt;=3, "Medium Risk", "Low Risk"))</f>
        <v>Medium Risk</v>
      </c>
      <c r="R1013">
        <f>IF(Table1[[#This Row],[Seconds of Use]]=0,0,Table1[[#This Row],[Customer Value]]/Table1[[#This Row],[Seconds of Use]]*100)</f>
        <v>5.5263628239499551</v>
      </c>
    </row>
    <row r="1014" spans="1:18" x14ac:dyDescent="0.35">
      <c r="A1014" s="3" t="s">
        <v>1035</v>
      </c>
      <c r="B1014">
        <v>25</v>
      </c>
      <c r="C1014">
        <v>0</v>
      </c>
      <c r="D1014">
        <v>38</v>
      </c>
      <c r="E1014">
        <v>3</v>
      </c>
      <c r="F1014">
        <v>15140</v>
      </c>
      <c r="G1014">
        <v>225</v>
      </c>
      <c r="H1014">
        <v>54</v>
      </c>
      <c r="I1014">
        <v>32</v>
      </c>
      <c r="J1014">
        <v>3</v>
      </c>
      <c r="K1014">
        <v>1</v>
      </c>
      <c r="L1014">
        <v>1</v>
      </c>
      <c r="M1014">
        <v>30</v>
      </c>
      <c r="N1014">
        <v>830.6</v>
      </c>
      <c r="O1014">
        <v>0</v>
      </c>
      <c r="P10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014" t="str">
        <f>IF(Table1[[#This Row],[Fraud_Score]]&gt;=6, "High Risk",IF(Table1[[#This Row],[Fraud_Score]]&gt;=3, "Medium Risk", "Low Risk"))</f>
        <v>Medium Risk</v>
      </c>
      <c r="R1014">
        <f>IF(Table1[[#This Row],[Seconds of Use]]=0,0,Table1[[#This Row],[Customer Value]]/Table1[[#This Row],[Seconds of Use]]*100)</f>
        <v>5.4861294583883753</v>
      </c>
    </row>
    <row r="1015" spans="1:18" x14ac:dyDescent="0.35">
      <c r="A1015" s="3" t="s">
        <v>1036</v>
      </c>
      <c r="B1015">
        <v>4</v>
      </c>
      <c r="C1015">
        <v>0</v>
      </c>
      <c r="D1015">
        <v>38</v>
      </c>
      <c r="E1015">
        <v>1</v>
      </c>
      <c r="F1015">
        <v>3095</v>
      </c>
      <c r="G1015">
        <v>27</v>
      </c>
      <c r="H1015">
        <v>483</v>
      </c>
      <c r="I1015">
        <v>8</v>
      </c>
      <c r="J1015">
        <v>3</v>
      </c>
      <c r="K1015">
        <v>1</v>
      </c>
      <c r="L1015">
        <v>1</v>
      </c>
      <c r="M1015">
        <v>30</v>
      </c>
      <c r="N1015">
        <v>2056.88</v>
      </c>
      <c r="O1015">
        <v>0</v>
      </c>
      <c r="P10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15" t="str">
        <f>IF(Table1[[#This Row],[Fraud_Score]]&gt;=6, "High Risk",IF(Table1[[#This Row],[Fraud_Score]]&gt;=3, "Medium Risk", "Low Risk"))</f>
        <v>Low Risk</v>
      </c>
      <c r="R1015">
        <f>IF(Table1[[#This Row],[Seconds of Use]]=0,0,Table1[[#This Row],[Customer Value]]/Table1[[#This Row],[Seconds of Use]]*100)</f>
        <v>66.458158319870762</v>
      </c>
    </row>
    <row r="1016" spans="1:18" x14ac:dyDescent="0.35">
      <c r="A1016" s="3" t="s">
        <v>1037</v>
      </c>
      <c r="B1016">
        <v>9</v>
      </c>
      <c r="C1016">
        <v>0</v>
      </c>
      <c r="D1016">
        <v>37</v>
      </c>
      <c r="E1016">
        <v>0</v>
      </c>
      <c r="F1016">
        <v>15485</v>
      </c>
      <c r="G1016">
        <v>182</v>
      </c>
      <c r="H1016">
        <v>150</v>
      </c>
      <c r="I1016">
        <v>30</v>
      </c>
      <c r="J1016">
        <v>2</v>
      </c>
      <c r="K1016">
        <v>1</v>
      </c>
      <c r="L1016">
        <v>1</v>
      </c>
      <c r="M1016">
        <v>25</v>
      </c>
      <c r="N1016">
        <v>1380.0150000000001</v>
      </c>
      <c r="O1016">
        <v>0</v>
      </c>
      <c r="P10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16" t="str">
        <f>IF(Table1[[#This Row],[Fraud_Score]]&gt;=6, "High Risk",IF(Table1[[#This Row],[Fraud_Score]]&gt;=3, "Medium Risk", "Low Risk"))</f>
        <v>Medium Risk</v>
      </c>
      <c r="R1016">
        <f>IF(Table1[[#This Row],[Seconds of Use]]=0,0,Table1[[#This Row],[Customer Value]]/Table1[[#This Row],[Seconds of Use]]*100)</f>
        <v>8.9119470455279313</v>
      </c>
    </row>
    <row r="1017" spans="1:18" x14ac:dyDescent="0.35">
      <c r="A1017" s="3" t="s">
        <v>1038</v>
      </c>
      <c r="B1017">
        <v>3</v>
      </c>
      <c r="C1017">
        <v>0</v>
      </c>
      <c r="D1017">
        <v>37</v>
      </c>
      <c r="E1017">
        <v>1</v>
      </c>
      <c r="F1017">
        <v>6500</v>
      </c>
      <c r="G1017">
        <v>86</v>
      </c>
      <c r="H1017">
        <v>186</v>
      </c>
      <c r="I1017">
        <v>26</v>
      </c>
      <c r="J1017">
        <v>3</v>
      </c>
      <c r="K1017">
        <v>1</v>
      </c>
      <c r="L1017">
        <v>1</v>
      </c>
      <c r="M1017">
        <v>30</v>
      </c>
      <c r="N1017">
        <v>1007.44</v>
      </c>
      <c r="O1017">
        <v>0</v>
      </c>
      <c r="P10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17" t="str">
        <f>IF(Table1[[#This Row],[Fraud_Score]]&gt;=6, "High Risk",IF(Table1[[#This Row],[Fraud_Score]]&gt;=3, "Medium Risk", "Low Risk"))</f>
        <v>Low Risk</v>
      </c>
      <c r="R1017">
        <f>IF(Table1[[#This Row],[Seconds of Use]]=0,0,Table1[[#This Row],[Customer Value]]/Table1[[#This Row],[Seconds of Use]]*100)</f>
        <v>15.499076923076924</v>
      </c>
    </row>
    <row r="1018" spans="1:18" x14ac:dyDescent="0.35">
      <c r="A1018" s="3" t="s">
        <v>1039</v>
      </c>
      <c r="B1018">
        <v>0</v>
      </c>
      <c r="C1018">
        <v>0</v>
      </c>
      <c r="D1018">
        <v>37</v>
      </c>
      <c r="E1018">
        <v>0</v>
      </c>
      <c r="F1018">
        <v>875</v>
      </c>
      <c r="G1018">
        <v>14</v>
      </c>
      <c r="H1018">
        <v>0</v>
      </c>
      <c r="I1018">
        <v>11</v>
      </c>
      <c r="J1018">
        <v>2</v>
      </c>
      <c r="K1018">
        <v>1</v>
      </c>
      <c r="L1018">
        <v>2</v>
      </c>
      <c r="M1018">
        <v>25</v>
      </c>
      <c r="N1018">
        <v>40.005000000000003</v>
      </c>
      <c r="O1018">
        <v>0</v>
      </c>
      <c r="P10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18" t="str">
        <f>IF(Table1[[#This Row],[Fraud_Score]]&gt;=6, "High Risk",IF(Table1[[#This Row],[Fraud_Score]]&gt;=3, "Medium Risk", "Low Risk"))</f>
        <v>Low Risk</v>
      </c>
      <c r="R1018">
        <f>IF(Table1[[#This Row],[Seconds of Use]]=0,0,Table1[[#This Row],[Customer Value]]/Table1[[#This Row],[Seconds of Use]]*100)</f>
        <v>4.5720000000000001</v>
      </c>
    </row>
    <row r="1019" spans="1:18" x14ac:dyDescent="0.35">
      <c r="A1019" s="3" t="s">
        <v>1040</v>
      </c>
      <c r="B1019">
        <v>2</v>
      </c>
      <c r="C1019">
        <v>0</v>
      </c>
      <c r="D1019">
        <v>38</v>
      </c>
      <c r="E1019">
        <v>0</v>
      </c>
      <c r="F1019">
        <v>710</v>
      </c>
      <c r="G1019">
        <v>14</v>
      </c>
      <c r="H1019">
        <v>13</v>
      </c>
      <c r="I1019">
        <v>8</v>
      </c>
      <c r="J1019">
        <v>3</v>
      </c>
      <c r="K1019">
        <v>1</v>
      </c>
      <c r="L1019">
        <v>2</v>
      </c>
      <c r="M1019">
        <v>30</v>
      </c>
      <c r="N1019">
        <v>80.959999999999994</v>
      </c>
      <c r="O1019">
        <v>0</v>
      </c>
      <c r="P10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19" t="str">
        <f>IF(Table1[[#This Row],[Fraud_Score]]&gt;=6, "High Risk",IF(Table1[[#This Row],[Fraud_Score]]&gt;=3, "Medium Risk", "Low Risk"))</f>
        <v>Low Risk</v>
      </c>
      <c r="R1019">
        <f>IF(Table1[[#This Row],[Seconds of Use]]=0,0,Table1[[#This Row],[Customer Value]]/Table1[[#This Row],[Seconds of Use]]*100)</f>
        <v>11.40281690140845</v>
      </c>
    </row>
    <row r="1020" spans="1:18" x14ac:dyDescent="0.35">
      <c r="A1020" s="3" t="s">
        <v>1041</v>
      </c>
      <c r="B1020">
        <v>0</v>
      </c>
      <c r="C1020">
        <v>0</v>
      </c>
      <c r="D1020">
        <v>37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2</v>
      </c>
      <c r="K1020">
        <v>1</v>
      </c>
      <c r="L1020">
        <v>2</v>
      </c>
      <c r="M1020">
        <v>25</v>
      </c>
      <c r="N1020">
        <v>0</v>
      </c>
      <c r="O1020">
        <v>1</v>
      </c>
      <c r="P10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20" t="str">
        <f>IF(Table1[[#This Row],[Fraud_Score]]&gt;=6, "High Risk",IF(Table1[[#This Row],[Fraud_Score]]&gt;=3, "Medium Risk", "Low Risk"))</f>
        <v>Low Risk</v>
      </c>
      <c r="R1020">
        <f>IF(Table1[[#This Row],[Seconds of Use]]=0,0,Table1[[#This Row],[Customer Value]]/Table1[[#This Row],[Seconds of Use]]*100)</f>
        <v>0</v>
      </c>
    </row>
    <row r="1021" spans="1:18" x14ac:dyDescent="0.35">
      <c r="A1021" s="3" t="s">
        <v>1042</v>
      </c>
      <c r="B1021">
        <v>3</v>
      </c>
      <c r="C1021">
        <v>0</v>
      </c>
      <c r="D1021">
        <v>37</v>
      </c>
      <c r="E1021">
        <v>0</v>
      </c>
      <c r="F1021">
        <v>7508</v>
      </c>
      <c r="G1021">
        <v>127</v>
      </c>
      <c r="H1021">
        <v>384</v>
      </c>
      <c r="I1021">
        <v>43</v>
      </c>
      <c r="J1021">
        <v>2</v>
      </c>
      <c r="K1021">
        <v>1</v>
      </c>
      <c r="L1021">
        <v>1</v>
      </c>
      <c r="M1021">
        <v>25</v>
      </c>
      <c r="N1021">
        <v>2071.5749999999998</v>
      </c>
      <c r="O1021">
        <v>0</v>
      </c>
      <c r="P10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21" t="str">
        <f>IF(Table1[[#This Row],[Fraud_Score]]&gt;=6, "High Risk",IF(Table1[[#This Row],[Fraud_Score]]&gt;=3, "Medium Risk", "Low Risk"))</f>
        <v>Low Risk</v>
      </c>
      <c r="R1021">
        <f>IF(Table1[[#This Row],[Seconds of Use]]=0,0,Table1[[#This Row],[Customer Value]]/Table1[[#This Row],[Seconds of Use]]*100)</f>
        <v>27.591568993074052</v>
      </c>
    </row>
    <row r="1022" spans="1:18" x14ac:dyDescent="0.35">
      <c r="A1022" s="3" t="s">
        <v>1043</v>
      </c>
      <c r="B1022">
        <v>7</v>
      </c>
      <c r="C1022">
        <v>0</v>
      </c>
      <c r="D1022">
        <v>37</v>
      </c>
      <c r="E1022">
        <v>1</v>
      </c>
      <c r="F1022">
        <v>11465</v>
      </c>
      <c r="G1022">
        <v>154</v>
      </c>
      <c r="H1022">
        <v>11</v>
      </c>
      <c r="I1022">
        <v>47</v>
      </c>
      <c r="J1022">
        <v>4</v>
      </c>
      <c r="K1022">
        <v>1</v>
      </c>
      <c r="L1022">
        <v>1</v>
      </c>
      <c r="M1022">
        <v>45</v>
      </c>
      <c r="N1022">
        <v>317.97500000000002</v>
      </c>
      <c r="O1022">
        <v>0</v>
      </c>
      <c r="P10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22" t="str">
        <f>IF(Table1[[#This Row],[Fraud_Score]]&gt;=6, "High Risk",IF(Table1[[#This Row],[Fraud_Score]]&gt;=3, "Medium Risk", "Low Risk"))</f>
        <v>Low Risk</v>
      </c>
      <c r="R1022">
        <f>IF(Table1[[#This Row],[Seconds of Use]]=0,0,Table1[[#This Row],[Customer Value]]/Table1[[#This Row],[Seconds of Use]]*100)</f>
        <v>2.7734409071085917</v>
      </c>
    </row>
    <row r="1023" spans="1:18" x14ac:dyDescent="0.35">
      <c r="A1023" s="3" t="s">
        <v>1044</v>
      </c>
      <c r="B1023">
        <v>8</v>
      </c>
      <c r="C1023">
        <v>0</v>
      </c>
      <c r="D1023">
        <v>37</v>
      </c>
      <c r="E1023">
        <v>1</v>
      </c>
      <c r="F1023">
        <v>6718</v>
      </c>
      <c r="G1023">
        <v>75</v>
      </c>
      <c r="H1023">
        <v>108</v>
      </c>
      <c r="I1023">
        <v>37</v>
      </c>
      <c r="J1023">
        <v>2</v>
      </c>
      <c r="K1023">
        <v>1</v>
      </c>
      <c r="L1023">
        <v>1</v>
      </c>
      <c r="M1023">
        <v>25</v>
      </c>
      <c r="N1023">
        <v>791.68499999999995</v>
      </c>
      <c r="O1023">
        <v>0</v>
      </c>
      <c r="P10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23" t="str">
        <f>IF(Table1[[#This Row],[Fraud_Score]]&gt;=6, "High Risk",IF(Table1[[#This Row],[Fraud_Score]]&gt;=3, "Medium Risk", "Low Risk"))</f>
        <v>Low Risk</v>
      </c>
      <c r="R1023">
        <f>IF(Table1[[#This Row],[Seconds of Use]]=0,0,Table1[[#This Row],[Customer Value]]/Table1[[#This Row],[Seconds of Use]]*100)</f>
        <v>11.784534087526048</v>
      </c>
    </row>
    <row r="1024" spans="1:18" x14ac:dyDescent="0.35">
      <c r="A1024" s="3" t="s">
        <v>1045</v>
      </c>
      <c r="B1024">
        <v>23</v>
      </c>
      <c r="C1024">
        <v>1</v>
      </c>
      <c r="D1024">
        <v>33</v>
      </c>
      <c r="E1024">
        <v>0</v>
      </c>
      <c r="F1024">
        <v>955</v>
      </c>
      <c r="G1024">
        <v>47</v>
      </c>
      <c r="H1024">
        <v>16</v>
      </c>
      <c r="I1024">
        <v>17</v>
      </c>
      <c r="J1024">
        <v>2</v>
      </c>
      <c r="K1024">
        <v>1</v>
      </c>
      <c r="L1024">
        <v>2</v>
      </c>
      <c r="M1024">
        <v>25</v>
      </c>
      <c r="N1024">
        <v>117.09</v>
      </c>
      <c r="O1024">
        <v>1</v>
      </c>
      <c r="P10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024" t="str">
        <f>IF(Table1[[#This Row],[Fraud_Score]]&gt;=6, "High Risk",IF(Table1[[#This Row],[Fraud_Score]]&gt;=3, "Medium Risk", "Low Risk"))</f>
        <v>Medium Risk</v>
      </c>
      <c r="R1024">
        <f>IF(Table1[[#This Row],[Seconds of Use]]=0,0,Table1[[#This Row],[Customer Value]]/Table1[[#This Row],[Seconds of Use]]*100)</f>
        <v>12.260732984293195</v>
      </c>
    </row>
    <row r="1025" spans="1:18" x14ac:dyDescent="0.35">
      <c r="A1025" s="3" t="s">
        <v>1046</v>
      </c>
      <c r="B1025">
        <v>21</v>
      </c>
      <c r="C1025">
        <v>0</v>
      </c>
      <c r="D1025">
        <v>36</v>
      </c>
      <c r="E1025">
        <v>8</v>
      </c>
      <c r="F1025">
        <v>10435</v>
      </c>
      <c r="G1025">
        <v>93</v>
      </c>
      <c r="H1025">
        <v>1</v>
      </c>
      <c r="I1025">
        <v>42</v>
      </c>
      <c r="J1025">
        <v>5</v>
      </c>
      <c r="K1025">
        <v>1</v>
      </c>
      <c r="L1025">
        <v>1</v>
      </c>
      <c r="M1025">
        <v>55</v>
      </c>
      <c r="N1025">
        <v>159.41999999999999</v>
      </c>
      <c r="O1025">
        <v>0</v>
      </c>
      <c r="P10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25" t="str">
        <f>IF(Table1[[#This Row],[Fraud_Score]]&gt;=6, "High Risk",IF(Table1[[#This Row],[Fraud_Score]]&gt;=3, "Medium Risk", "Low Risk"))</f>
        <v>Low Risk</v>
      </c>
      <c r="R1025">
        <f>IF(Table1[[#This Row],[Seconds of Use]]=0,0,Table1[[#This Row],[Customer Value]]/Table1[[#This Row],[Seconds of Use]]*100)</f>
        <v>1.5277431720172496</v>
      </c>
    </row>
    <row r="1026" spans="1:18" x14ac:dyDescent="0.35">
      <c r="A1026" s="3" t="s">
        <v>1047</v>
      </c>
      <c r="B1026">
        <v>13</v>
      </c>
      <c r="C1026">
        <v>1</v>
      </c>
      <c r="D1026">
        <v>36</v>
      </c>
      <c r="E1026">
        <v>1</v>
      </c>
      <c r="F1026">
        <v>5818</v>
      </c>
      <c r="G1026">
        <v>98</v>
      </c>
      <c r="H1026">
        <v>26</v>
      </c>
      <c r="I1026">
        <v>24</v>
      </c>
      <c r="J1026">
        <v>2</v>
      </c>
      <c r="K1026">
        <v>1</v>
      </c>
      <c r="L1026">
        <v>1</v>
      </c>
      <c r="M1026">
        <v>25</v>
      </c>
      <c r="N1026">
        <v>383.22</v>
      </c>
      <c r="O1026">
        <v>1</v>
      </c>
      <c r="P10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026" t="str">
        <f>IF(Table1[[#This Row],[Fraud_Score]]&gt;=6, "High Risk",IF(Table1[[#This Row],[Fraud_Score]]&gt;=3, "Medium Risk", "Low Risk"))</f>
        <v>Medium Risk</v>
      </c>
      <c r="R1026">
        <f>IF(Table1[[#This Row],[Seconds of Use]]=0,0,Table1[[#This Row],[Customer Value]]/Table1[[#This Row],[Seconds of Use]]*100)</f>
        <v>6.5867995874871088</v>
      </c>
    </row>
    <row r="1027" spans="1:18" x14ac:dyDescent="0.35">
      <c r="A1027" s="3" t="s">
        <v>1048</v>
      </c>
      <c r="B1027">
        <v>1</v>
      </c>
      <c r="C1027">
        <v>0</v>
      </c>
      <c r="D1027">
        <v>34</v>
      </c>
      <c r="E1027">
        <v>0</v>
      </c>
      <c r="F1027">
        <v>2840</v>
      </c>
      <c r="G1027">
        <v>22</v>
      </c>
      <c r="H1027">
        <v>0</v>
      </c>
      <c r="I1027">
        <v>14</v>
      </c>
      <c r="J1027">
        <v>3</v>
      </c>
      <c r="K1027">
        <v>1</v>
      </c>
      <c r="L1027">
        <v>1</v>
      </c>
      <c r="M1027">
        <v>30</v>
      </c>
      <c r="N1027">
        <v>114.48</v>
      </c>
      <c r="O1027">
        <v>0</v>
      </c>
      <c r="P10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27" t="str">
        <f>IF(Table1[[#This Row],[Fraud_Score]]&gt;=6, "High Risk",IF(Table1[[#This Row],[Fraud_Score]]&gt;=3, "Medium Risk", "Low Risk"))</f>
        <v>Low Risk</v>
      </c>
      <c r="R1027">
        <f>IF(Table1[[#This Row],[Seconds of Use]]=0,0,Table1[[#This Row],[Customer Value]]/Table1[[#This Row],[Seconds of Use]]*100)</f>
        <v>4.0309859154929581</v>
      </c>
    </row>
    <row r="1028" spans="1:18" x14ac:dyDescent="0.35">
      <c r="A1028" s="3" t="s">
        <v>1049</v>
      </c>
      <c r="B1028">
        <v>9</v>
      </c>
      <c r="C1028">
        <v>0</v>
      </c>
      <c r="D1028">
        <v>35</v>
      </c>
      <c r="E1028">
        <v>0</v>
      </c>
      <c r="F1028">
        <v>2990</v>
      </c>
      <c r="G1028">
        <v>41</v>
      </c>
      <c r="H1028">
        <v>9</v>
      </c>
      <c r="I1028">
        <v>16</v>
      </c>
      <c r="J1028">
        <v>3</v>
      </c>
      <c r="K1028">
        <v>1</v>
      </c>
      <c r="L1028">
        <v>2</v>
      </c>
      <c r="M1028">
        <v>30</v>
      </c>
      <c r="N1028">
        <v>157.24</v>
      </c>
      <c r="O1028">
        <v>1</v>
      </c>
      <c r="P10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28" t="str">
        <f>IF(Table1[[#This Row],[Fraud_Score]]&gt;=6, "High Risk",IF(Table1[[#This Row],[Fraud_Score]]&gt;=3, "Medium Risk", "Low Risk"))</f>
        <v>Low Risk</v>
      </c>
      <c r="R1028">
        <f>IF(Table1[[#This Row],[Seconds of Use]]=0,0,Table1[[#This Row],[Customer Value]]/Table1[[#This Row],[Seconds of Use]]*100)</f>
        <v>5.2588628762541809</v>
      </c>
    </row>
    <row r="1029" spans="1:18" x14ac:dyDescent="0.35">
      <c r="A1029" s="3" t="s">
        <v>1050</v>
      </c>
      <c r="B1029">
        <v>9</v>
      </c>
      <c r="C1029">
        <v>0</v>
      </c>
      <c r="D1029">
        <v>36</v>
      </c>
      <c r="E1029">
        <v>0</v>
      </c>
      <c r="F1029">
        <v>2268</v>
      </c>
      <c r="G1029">
        <v>44</v>
      </c>
      <c r="H1029">
        <v>34</v>
      </c>
      <c r="I1029">
        <v>31</v>
      </c>
      <c r="J1029">
        <v>3</v>
      </c>
      <c r="K1029">
        <v>1</v>
      </c>
      <c r="L1029">
        <v>2</v>
      </c>
      <c r="M1029">
        <v>30</v>
      </c>
      <c r="N1029">
        <v>228.48</v>
      </c>
      <c r="O1029">
        <v>1</v>
      </c>
      <c r="P10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29" t="str">
        <f>IF(Table1[[#This Row],[Fraud_Score]]&gt;=6, "High Risk",IF(Table1[[#This Row],[Fraud_Score]]&gt;=3, "Medium Risk", "Low Risk"))</f>
        <v>Low Risk</v>
      </c>
      <c r="R1029">
        <f>IF(Table1[[#This Row],[Seconds of Use]]=0,0,Table1[[#This Row],[Customer Value]]/Table1[[#This Row],[Seconds of Use]]*100)</f>
        <v>10.074074074074074</v>
      </c>
    </row>
    <row r="1030" spans="1:18" x14ac:dyDescent="0.35">
      <c r="A1030" s="3" t="s">
        <v>1051</v>
      </c>
      <c r="B1030">
        <v>0</v>
      </c>
      <c r="C1030">
        <v>0</v>
      </c>
      <c r="D1030">
        <v>36</v>
      </c>
      <c r="E1030">
        <v>0</v>
      </c>
      <c r="F1030">
        <v>133</v>
      </c>
      <c r="G1030">
        <v>2</v>
      </c>
      <c r="H1030">
        <v>0</v>
      </c>
      <c r="I1030">
        <v>2</v>
      </c>
      <c r="J1030">
        <v>3</v>
      </c>
      <c r="K1030">
        <v>1</v>
      </c>
      <c r="L1030">
        <v>2</v>
      </c>
      <c r="M1030">
        <v>30</v>
      </c>
      <c r="N1030">
        <v>5.4</v>
      </c>
      <c r="O1030">
        <v>1</v>
      </c>
      <c r="P10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30" t="str">
        <f>IF(Table1[[#This Row],[Fraud_Score]]&gt;=6, "High Risk",IF(Table1[[#This Row],[Fraud_Score]]&gt;=3, "Medium Risk", "Low Risk"))</f>
        <v>Low Risk</v>
      </c>
      <c r="R1030">
        <f>IF(Table1[[#This Row],[Seconds of Use]]=0,0,Table1[[#This Row],[Customer Value]]/Table1[[#This Row],[Seconds of Use]]*100)</f>
        <v>4.0601503759398501</v>
      </c>
    </row>
    <row r="1031" spans="1:18" x14ac:dyDescent="0.35">
      <c r="A1031" s="3" t="s">
        <v>1052</v>
      </c>
      <c r="B1031">
        <v>1</v>
      </c>
      <c r="C1031">
        <v>0</v>
      </c>
      <c r="D1031">
        <v>36</v>
      </c>
      <c r="E1031">
        <v>0</v>
      </c>
      <c r="F1031">
        <v>1668</v>
      </c>
      <c r="G1031">
        <v>25</v>
      </c>
      <c r="H1031">
        <v>0</v>
      </c>
      <c r="I1031">
        <v>6</v>
      </c>
      <c r="J1031">
        <v>3</v>
      </c>
      <c r="K1031">
        <v>1</v>
      </c>
      <c r="L1031">
        <v>1</v>
      </c>
      <c r="M1031">
        <v>30</v>
      </c>
      <c r="N1031">
        <v>67.72</v>
      </c>
      <c r="O1031">
        <v>0</v>
      </c>
      <c r="P10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31" t="str">
        <f>IF(Table1[[#This Row],[Fraud_Score]]&gt;=6, "High Risk",IF(Table1[[#This Row],[Fraud_Score]]&gt;=3, "Medium Risk", "Low Risk"))</f>
        <v>Low Risk</v>
      </c>
      <c r="R1031">
        <f>IF(Table1[[#This Row],[Seconds of Use]]=0,0,Table1[[#This Row],[Customer Value]]/Table1[[#This Row],[Seconds of Use]]*100)</f>
        <v>4.0599520383693042</v>
      </c>
    </row>
    <row r="1032" spans="1:18" x14ac:dyDescent="0.35">
      <c r="A1032" s="3" t="s">
        <v>1053</v>
      </c>
      <c r="B1032">
        <v>3</v>
      </c>
      <c r="C1032">
        <v>0</v>
      </c>
      <c r="D1032">
        <v>33</v>
      </c>
      <c r="E1032">
        <v>1</v>
      </c>
      <c r="F1032">
        <v>6785</v>
      </c>
      <c r="G1032">
        <v>97</v>
      </c>
      <c r="H1032">
        <v>14</v>
      </c>
      <c r="I1032">
        <v>22</v>
      </c>
      <c r="J1032">
        <v>5</v>
      </c>
      <c r="K1032">
        <v>1</v>
      </c>
      <c r="L1032">
        <v>1</v>
      </c>
      <c r="M1032">
        <v>55</v>
      </c>
      <c r="N1032">
        <v>124.23</v>
      </c>
      <c r="O1032">
        <v>0</v>
      </c>
      <c r="P10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32" t="str">
        <f>IF(Table1[[#This Row],[Fraud_Score]]&gt;=6, "High Risk",IF(Table1[[#This Row],[Fraud_Score]]&gt;=3, "Medium Risk", "Low Risk"))</f>
        <v>Low Risk</v>
      </c>
      <c r="R1032">
        <f>IF(Table1[[#This Row],[Seconds of Use]]=0,0,Table1[[#This Row],[Customer Value]]/Table1[[#This Row],[Seconds of Use]]*100)</f>
        <v>1.8309506263817246</v>
      </c>
    </row>
    <row r="1033" spans="1:18" x14ac:dyDescent="0.35">
      <c r="A1033" s="3" t="s">
        <v>1054</v>
      </c>
      <c r="B1033">
        <v>0</v>
      </c>
      <c r="C1033">
        <v>0</v>
      </c>
      <c r="D1033">
        <v>36</v>
      </c>
      <c r="E1033">
        <v>0</v>
      </c>
      <c r="F1033">
        <v>628</v>
      </c>
      <c r="G1033">
        <v>7</v>
      </c>
      <c r="H1033">
        <v>9</v>
      </c>
      <c r="I1033">
        <v>4</v>
      </c>
      <c r="J1033">
        <v>4</v>
      </c>
      <c r="K1033">
        <v>1</v>
      </c>
      <c r="L1033">
        <v>2</v>
      </c>
      <c r="M1033">
        <v>45</v>
      </c>
      <c r="N1033">
        <v>38.375</v>
      </c>
      <c r="O1033">
        <v>1</v>
      </c>
      <c r="P10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33" t="str">
        <f>IF(Table1[[#This Row],[Fraud_Score]]&gt;=6, "High Risk",IF(Table1[[#This Row],[Fraud_Score]]&gt;=3, "Medium Risk", "Low Risk"))</f>
        <v>Low Risk</v>
      </c>
      <c r="R1033">
        <f>IF(Table1[[#This Row],[Seconds of Use]]=0,0,Table1[[#This Row],[Customer Value]]/Table1[[#This Row],[Seconds of Use]]*100)</f>
        <v>6.1106687898089174</v>
      </c>
    </row>
    <row r="1034" spans="1:18" x14ac:dyDescent="0.35">
      <c r="A1034" s="3" t="s">
        <v>1055</v>
      </c>
      <c r="B1034">
        <v>0</v>
      </c>
      <c r="C1034">
        <v>0</v>
      </c>
      <c r="D1034">
        <v>36</v>
      </c>
      <c r="E1034">
        <v>1</v>
      </c>
      <c r="F1034">
        <v>338</v>
      </c>
      <c r="G1034">
        <v>4</v>
      </c>
      <c r="H1034">
        <v>4</v>
      </c>
      <c r="I1034">
        <v>2</v>
      </c>
      <c r="J1034">
        <v>5</v>
      </c>
      <c r="K1034">
        <v>1</v>
      </c>
      <c r="L1034">
        <v>1</v>
      </c>
      <c r="M1034">
        <v>55</v>
      </c>
      <c r="N1034">
        <v>11.13</v>
      </c>
      <c r="O1034">
        <v>0</v>
      </c>
      <c r="P10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34" t="str">
        <f>IF(Table1[[#This Row],[Fraud_Score]]&gt;=6, "High Risk",IF(Table1[[#This Row],[Fraud_Score]]&gt;=3, "Medium Risk", "Low Risk"))</f>
        <v>Low Risk</v>
      </c>
      <c r="R1034">
        <f>IF(Table1[[#This Row],[Seconds of Use]]=0,0,Table1[[#This Row],[Customer Value]]/Table1[[#This Row],[Seconds of Use]]*100)</f>
        <v>3.2928994082840237</v>
      </c>
    </row>
    <row r="1035" spans="1:18" x14ac:dyDescent="0.35">
      <c r="A1035" s="3" t="s">
        <v>1056</v>
      </c>
      <c r="B1035">
        <v>25</v>
      </c>
      <c r="C1035">
        <v>1</v>
      </c>
      <c r="D1035">
        <v>31</v>
      </c>
      <c r="E1035">
        <v>3</v>
      </c>
      <c r="F1035">
        <v>16075</v>
      </c>
      <c r="G1035">
        <v>238</v>
      </c>
      <c r="H1035">
        <v>0</v>
      </c>
      <c r="I1035">
        <v>80</v>
      </c>
      <c r="J1035">
        <v>2</v>
      </c>
      <c r="K1035">
        <v>1</v>
      </c>
      <c r="L1035">
        <v>1</v>
      </c>
      <c r="M1035">
        <v>25</v>
      </c>
      <c r="N1035">
        <v>734.08500000000004</v>
      </c>
      <c r="O1035">
        <v>0</v>
      </c>
      <c r="P10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7</v>
      </c>
      <c r="Q1035" t="str">
        <f>IF(Table1[[#This Row],[Fraud_Score]]&gt;=6, "High Risk",IF(Table1[[#This Row],[Fraud_Score]]&gt;=3, "Medium Risk", "Low Risk"))</f>
        <v>High Risk</v>
      </c>
      <c r="R1035">
        <f>IF(Table1[[#This Row],[Seconds of Use]]=0,0,Table1[[#This Row],[Customer Value]]/Table1[[#This Row],[Seconds of Use]]*100)</f>
        <v>4.5666251944012446</v>
      </c>
    </row>
    <row r="1036" spans="1:18" x14ac:dyDescent="0.35">
      <c r="A1036" s="3" t="s">
        <v>1057</v>
      </c>
      <c r="B1036">
        <v>6</v>
      </c>
      <c r="C1036">
        <v>0</v>
      </c>
      <c r="D1036">
        <v>34</v>
      </c>
      <c r="E1036">
        <v>3</v>
      </c>
      <c r="F1036">
        <v>6965</v>
      </c>
      <c r="G1036">
        <v>116</v>
      </c>
      <c r="H1036">
        <v>271</v>
      </c>
      <c r="I1036">
        <v>33</v>
      </c>
      <c r="J1036">
        <v>2</v>
      </c>
      <c r="K1036">
        <v>2</v>
      </c>
      <c r="L1036">
        <v>1</v>
      </c>
      <c r="M1036">
        <v>25</v>
      </c>
      <c r="N1036">
        <v>1538.145</v>
      </c>
      <c r="O1036">
        <v>0</v>
      </c>
      <c r="P10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36" t="str">
        <f>IF(Table1[[#This Row],[Fraud_Score]]&gt;=6, "High Risk",IF(Table1[[#This Row],[Fraud_Score]]&gt;=3, "Medium Risk", "Low Risk"))</f>
        <v>Low Risk</v>
      </c>
      <c r="R1036">
        <f>IF(Table1[[#This Row],[Seconds of Use]]=0,0,Table1[[#This Row],[Customer Value]]/Table1[[#This Row],[Seconds of Use]]*100)</f>
        <v>22.083919597989947</v>
      </c>
    </row>
    <row r="1037" spans="1:18" x14ac:dyDescent="0.35">
      <c r="A1037" s="3" t="s">
        <v>1058</v>
      </c>
      <c r="B1037">
        <v>2</v>
      </c>
      <c r="C1037">
        <v>0</v>
      </c>
      <c r="D1037">
        <v>36</v>
      </c>
      <c r="E1037">
        <v>0</v>
      </c>
      <c r="F1037">
        <v>3718</v>
      </c>
      <c r="G1037">
        <v>82</v>
      </c>
      <c r="H1037">
        <v>2</v>
      </c>
      <c r="I1037">
        <v>28</v>
      </c>
      <c r="J1037">
        <v>2</v>
      </c>
      <c r="K1037">
        <v>1</v>
      </c>
      <c r="L1037">
        <v>1</v>
      </c>
      <c r="M1037">
        <v>25</v>
      </c>
      <c r="N1037">
        <v>180</v>
      </c>
      <c r="O1037">
        <v>0</v>
      </c>
      <c r="P10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37" t="str">
        <f>IF(Table1[[#This Row],[Fraud_Score]]&gt;=6, "High Risk",IF(Table1[[#This Row],[Fraud_Score]]&gt;=3, "Medium Risk", "Low Risk"))</f>
        <v>Low Risk</v>
      </c>
      <c r="R1037">
        <f>IF(Table1[[#This Row],[Seconds of Use]]=0,0,Table1[[#This Row],[Customer Value]]/Table1[[#This Row],[Seconds of Use]]*100)</f>
        <v>4.8413125336202265</v>
      </c>
    </row>
    <row r="1038" spans="1:18" x14ac:dyDescent="0.35">
      <c r="A1038" s="3" t="s">
        <v>1059</v>
      </c>
      <c r="B1038">
        <v>3</v>
      </c>
      <c r="C1038">
        <v>0</v>
      </c>
      <c r="D1038">
        <v>35</v>
      </c>
      <c r="E1038">
        <v>0</v>
      </c>
      <c r="F1038">
        <v>1665</v>
      </c>
      <c r="G1038">
        <v>44</v>
      </c>
      <c r="H1038">
        <v>38</v>
      </c>
      <c r="I1038">
        <v>20</v>
      </c>
      <c r="J1038">
        <v>3</v>
      </c>
      <c r="K1038">
        <v>1</v>
      </c>
      <c r="L1038">
        <v>2</v>
      </c>
      <c r="M1038">
        <v>30</v>
      </c>
      <c r="N1038">
        <v>220.36</v>
      </c>
      <c r="O1038">
        <v>0</v>
      </c>
      <c r="P10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38" t="str">
        <f>IF(Table1[[#This Row],[Fraud_Score]]&gt;=6, "High Risk",IF(Table1[[#This Row],[Fraud_Score]]&gt;=3, "Medium Risk", "Low Risk"))</f>
        <v>Low Risk</v>
      </c>
      <c r="R1038">
        <f>IF(Table1[[#This Row],[Seconds of Use]]=0,0,Table1[[#This Row],[Customer Value]]/Table1[[#This Row],[Seconds of Use]]*100)</f>
        <v>13.234834834834835</v>
      </c>
    </row>
    <row r="1039" spans="1:18" x14ac:dyDescent="0.35">
      <c r="A1039" s="3" t="s">
        <v>1060</v>
      </c>
      <c r="B1039">
        <v>6</v>
      </c>
      <c r="C1039">
        <v>0</v>
      </c>
      <c r="D1039">
        <v>36</v>
      </c>
      <c r="E1039">
        <v>0</v>
      </c>
      <c r="F1039">
        <v>2780</v>
      </c>
      <c r="G1039">
        <v>53</v>
      </c>
      <c r="H1039">
        <v>175</v>
      </c>
      <c r="I1039">
        <v>23</v>
      </c>
      <c r="J1039">
        <v>2</v>
      </c>
      <c r="K1039">
        <v>1</v>
      </c>
      <c r="L1039">
        <v>1</v>
      </c>
      <c r="M1039">
        <v>25</v>
      </c>
      <c r="N1039">
        <v>914.98500000000001</v>
      </c>
      <c r="O1039">
        <v>0</v>
      </c>
      <c r="P10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39" t="str">
        <f>IF(Table1[[#This Row],[Fraud_Score]]&gt;=6, "High Risk",IF(Table1[[#This Row],[Fraud_Score]]&gt;=3, "Medium Risk", "Low Risk"))</f>
        <v>Low Risk</v>
      </c>
      <c r="R1039">
        <f>IF(Table1[[#This Row],[Seconds of Use]]=0,0,Table1[[#This Row],[Customer Value]]/Table1[[#This Row],[Seconds of Use]]*100)</f>
        <v>32.913129496402874</v>
      </c>
    </row>
    <row r="1040" spans="1:18" x14ac:dyDescent="0.35">
      <c r="A1040" s="3" t="s">
        <v>1061</v>
      </c>
      <c r="B1040">
        <v>4</v>
      </c>
      <c r="C1040">
        <v>0</v>
      </c>
      <c r="D1040">
        <v>27</v>
      </c>
      <c r="E1040">
        <v>1</v>
      </c>
      <c r="F1040">
        <v>1315</v>
      </c>
      <c r="G1040">
        <v>36</v>
      </c>
      <c r="H1040">
        <v>193</v>
      </c>
      <c r="I1040">
        <v>11</v>
      </c>
      <c r="J1040">
        <v>2</v>
      </c>
      <c r="K1040">
        <v>2</v>
      </c>
      <c r="L1040">
        <v>1</v>
      </c>
      <c r="M1040">
        <v>25</v>
      </c>
      <c r="N1040">
        <v>929.29499999999996</v>
      </c>
      <c r="O1040">
        <v>0</v>
      </c>
      <c r="P10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40" t="str">
        <f>IF(Table1[[#This Row],[Fraud_Score]]&gt;=6, "High Risk",IF(Table1[[#This Row],[Fraud_Score]]&gt;=3, "Medium Risk", "Low Risk"))</f>
        <v>Low Risk</v>
      </c>
      <c r="R1040">
        <f>IF(Table1[[#This Row],[Seconds of Use]]=0,0,Table1[[#This Row],[Customer Value]]/Table1[[#This Row],[Seconds of Use]]*100)</f>
        <v>70.668821292775661</v>
      </c>
    </row>
    <row r="1041" spans="1:18" x14ac:dyDescent="0.35">
      <c r="A1041" s="3" t="s">
        <v>1062</v>
      </c>
      <c r="B1041">
        <v>4</v>
      </c>
      <c r="C1041">
        <v>0</v>
      </c>
      <c r="D1041">
        <v>26</v>
      </c>
      <c r="E1041">
        <v>0</v>
      </c>
      <c r="F1041">
        <v>1568</v>
      </c>
      <c r="G1041">
        <v>39</v>
      </c>
      <c r="H1041">
        <v>30</v>
      </c>
      <c r="I1041">
        <v>68</v>
      </c>
      <c r="J1041">
        <v>4</v>
      </c>
      <c r="K1041">
        <v>1</v>
      </c>
      <c r="L1041">
        <v>1</v>
      </c>
      <c r="M1041">
        <v>45</v>
      </c>
      <c r="N1041">
        <v>115.175</v>
      </c>
      <c r="O1041">
        <v>0</v>
      </c>
      <c r="P10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41" t="str">
        <f>IF(Table1[[#This Row],[Fraud_Score]]&gt;=6, "High Risk",IF(Table1[[#This Row],[Fraud_Score]]&gt;=3, "Medium Risk", "Low Risk"))</f>
        <v>Low Risk</v>
      </c>
      <c r="R1041">
        <f>IF(Table1[[#This Row],[Seconds of Use]]=0,0,Table1[[#This Row],[Customer Value]]/Table1[[#This Row],[Seconds of Use]]*100)</f>
        <v>7.3453443877551026</v>
      </c>
    </row>
    <row r="1042" spans="1:18" x14ac:dyDescent="0.35">
      <c r="A1042" s="3" t="s">
        <v>1063</v>
      </c>
      <c r="B1042">
        <v>11</v>
      </c>
      <c r="C1042">
        <v>0</v>
      </c>
      <c r="D1042">
        <v>27</v>
      </c>
      <c r="E1042">
        <v>0</v>
      </c>
      <c r="F1042">
        <v>700</v>
      </c>
      <c r="G1042">
        <v>25</v>
      </c>
      <c r="H1042">
        <v>10</v>
      </c>
      <c r="I1042">
        <v>7</v>
      </c>
      <c r="J1042">
        <v>2</v>
      </c>
      <c r="K1042">
        <v>1</v>
      </c>
      <c r="L1042">
        <v>2</v>
      </c>
      <c r="M1042">
        <v>25</v>
      </c>
      <c r="N1042">
        <v>77.625</v>
      </c>
      <c r="O1042">
        <v>0</v>
      </c>
      <c r="P10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42" t="str">
        <f>IF(Table1[[#This Row],[Fraud_Score]]&gt;=6, "High Risk",IF(Table1[[#This Row],[Fraud_Score]]&gt;=3, "Medium Risk", "Low Risk"))</f>
        <v>Medium Risk</v>
      </c>
      <c r="R1042">
        <f>IF(Table1[[#This Row],[Seconds of Use]]=0,0,Table1[[#This Row],[Customer Value]]/Table1[[#This Row],[Seconds of Use]]*100)</f>
        <v>11.089285714285714</v>
      </c>
    </row>
    <row r="1043" spans="1:18" x14ac:dyDescent="0.35">
      <c r="A1043" s="3" t="s">
        <v>1064</v>
      </c>
      <c r="B1043">
        <v>0</v>
      </c>
      <c r="C1043">
        <v>0</v>
      </c>
      <c r="D1043">
        <v>26</v>
      </c>
      <c r="E1043">
        <v>0</v>
      </c>
      <c r="F1043">
        <v>825</v>
      </c>
      <c r="G1043">
        <v>10</v>
      </c>
      <c r="H1043">
        <v>21</v>
      </c>
      <c r="I1043">
        <v>3</v>
      </c>
      <c r="J1043">
        <v>4</v>
      </c>
      <c r="K1043">
        <v>1</v>
      </c>
      <c r="L1043">
        <v>2</v>
      </c>
      <c r="M1043">
        <v>45</v>
      </c>
      <c r="N1043">
        <v>73.375</v>
      </c>
      <c r="O1043">
        <v>0</v>
      </c>
      <c r="P10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43" t="str">
        <f>IF(Table1[[#This Row],[Fraud_Score]]&gt;=6, "High Risk",IF(Table1[[#This Row],[Fraud_Score]]&gt;=3, "Medium Risk", "Low Risk"))</f>
        <v>Low Risk</v>
      </c>
      <c r="R1043">
        <f>IF(Table1[[#This Row],[Seconds of Use]]=0,0,Table1[[#This Row],[Customer Value]]/Table1[[#This Row],[Seconds of Use]]*100)</f>
        <v>8.8939393939393945</v>
      </c>
    </row>
    <row r="1044" spans="1:18" x14ac:dyDescent="0.35">
      <c r="A1044" s="3" t="s">
        <v>1065</v>
      </c>
      <c r="B1044">
        <v>10</v>
      </c>
      <c r="C1044">
        <v>0</v>
      </c>
      <c r="D1044">
        <v>25</v>
      </c>
      <c r="E1044">
        <v>0</v>
      </c>
      <c r="F1044">
        <v>1225</v>
      </c>
      <c r="G1044">
        <v>32</v>
      </c>
      <c r="H1044">
        <v>19</v>
      </c>
      <c r="I1044">
        <v>13</v>
      </c>
      <c r="J1044">
        <v>2</v>
      </c>
      <c r="K1044">
        <v>1</v>
      </c>
      <c r="L1044">
        <v>1</v>
      </c>
      <c r="M1044">
        <v>25</v>
      </c>
      <c r="N1044">
        <v>142.065</v>
      </c>
      <c r="O1044">
        <v>0</v>
      </c>
      <c r="P10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44" t="str">
        <f>IF(Table1[[#This Row],[Fraud_Score]]&gt;=6, "High Risk",IF(Table1[[#This Row],[Fraud_Score]]&gt;=3, "Medium Risk", "Low Risk"))</f>
        <v>Low Risk</v>
      </c>
      <c r="R1044">
        <f>IF(Table1[[#This Row],[Seconds of Use]]=0,0,Table1[[#This Row],[Customer Value]]/Table1[[#This Row],[Seconds of Use]]*100)</f>
        <v>11.597142857142858</v>
      </c>
    </row>
    <row r="1045" spans="1:18" x14ac:dyDescent="0.35">
      <c r="A1045" s="3" t="s">
        <v>1066</v>
      </c>
      <c r="B1045">
        <v>2</v>
      </c>
      <c r="C1045">
        <v>0</v>
      </c>
      <c r="D1045">
        <v>25</v>
      </c>
      <c r="E1045">
        <v>0</v>
      </c>
      <c r="F1045">
        <v>3225</v>
      </c>
      <c r="G1045">
        <v>61</v>
      </c>
      <c r="H1045">
        <v>8</v>
      </c>
      <c r="I1045">
        <v>23</v>
      </c>
      <c r="J1045">
        <v>3</v>
      </c>
      <c r="K1045">
        <v>1</v>
      </c>
      <c r="L1045">
        <v>1</v>
      </c>
      <c r="M1045">
        <v>30</v>
      </c>
      <c r="N1045">
        <v>163.44</v>
      </c>
      <c r="O1045">
        <v>0</v>
      </c>
      <c r="P10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45" t="str">
        <f>IF(Table1[[#This Row],[Fraud_Score]]&gt;=6, "High Risk",IF(Table1[[#This Row],[Fraud_Score]]&gt;=3, "Medium Risk", "Low Risk"))</f>
        <v>Low Risk</v>
      </c>
      <c r="R1045">
        <f>IF(Table1[[#This Row],[Seconds of Use]]=0,0,Table1[[#This Row],[Customer Value]]/Table1[[#This Row],[Seconds of Use]]*100)</f>
        <v>5.0679069767441858</v>
      </c>
    </row>
    <row r="1046" spans="1:18" x14ac:dyDescent="0.35">
      <c r="A1046" s="3" t="s">
        <v>1067</v>
      </c>
      <c r="B1046">
        <v>2</v>
      </c>
      <c r="C1046">
        <v>0</v>
      </c>
      <c r="D1046">
        <v>18</v>
      </c>
      <c r="E1046">
        <v>0</v>
      </c>
      <c r="F1046">
        <v>1695</v>
      </c>
      <c r="G1046">
        <v>26</v>
      </c>
      <c r="H1046">
        <v>28</v>
      </c>
      <c r="I1046">
        <v>14</v>
      </c>
      <c r="J1046">
        <v>2</v>
      </c>
      <c r="K1046">
        <v>1</v>
      </c>
      <c r="L1046">
        <v>1</v>
      </c>
      <c r="M1046">
        <v>25</v>
      </c>
      <c r="N1046">
        <v>203.44499999999999</v>
      </c>
      <c r="O1046">
        <v>0</v>
      </c>
      <c r="P10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46" t="str">
        <f>IF(Table1[[#This Row],[Fraud_Score]]&gt;=6, "High Risk",IF(Table1[[#This Row],[Fraud_Score]]&gt;=3, "Medium Risk", "Low Risk"))</f>
        <v>Low Risk</v>
      </c>
      <c r="R1046">
        <f>IF(Table1[[#This Row],[Seconds of Use]]=0,0,Table1[[#This Row],[Customer Value]]/Table1[[#This Row],[Seconds of Use]]*100)</f>
        <v>12.002654867256638</v>
      </c>
    </row>
    <row r="1047" spans="1:18" x14ac:dyDescent="0.35">
      <c r="A1047" s="3" t="s">
        <v>1068</v>
      </c>
      <c r="B1047">
        <v>16</v>
      </c>
      <c r="C1047">
        <v>0</v>
      </c>
      <c r="D1047">
        <v>17</v>
      </c>
      <c r="E1047">
        <v>1</v>
      </c>
      <c r="F1047">
        <v>6392</v>
      </c>
      <c r="G1047">
        <v>141</v>
      </c>
      <c r="H1047">
        <v>85</v>
      </c>
      <c r="I1047">
        <v>42</v>
      </c>
      <c r="J1047">
        <v>2</v>
      </c>
      <c r="K1047">
        <v>2</v>
      </c>
      <c r="L1047">
        <v>1</v>
      </c>
      <c r="M1047">
        <v>25</v>
      </c>
      <c r="N1047">
        <v>676.48500000000001</v>
      </c>
      <c r="O1047">
        <v>0</v>
      </c>
      <c r="P10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047" t="str">
        <f>IF(Table1[[#This Row],[Fraud_Score]]&gt;=6, "High Risk",IF(Table1[[#This Row],[Fraud_Score]]&gt;=3, "Medium Risk", "Low Risk"))</f>
        <v>Medium Risk</v>
      </c>
      <c r="R1047">
        <f>IF(Table1[[#This Row],[Seconds of Use]]=0,0,Table1[[#This Row],[Customer Value]]/Table1[[#This Row],[Seconds of Use]]*100)</f>
        <v>10.583307259073843</v>
      </c>
    </row>
    <row r="1048" spans="1:18" x14ac:dyDescent="0.35">
      <c r="A1048" s="3" t="s">
        <v>1069</v>
      </c>
      <c r="B1048">
        <v>12</v>
      </c>
      <c r="C1048">
        <v>0</v>
      </c>
      <c r="D1048">
        <v>15</v>
      </c>
      <c r="E1048">
        <v>0</v>
      </c>
      <c r="F1048">
        <v>8932</v>
      </c>
      <c r="G1048">
        <v>171</v>
      </c>
      <c r="H1048">
        <v>73</v>
      </c>
      <c r="I1048">
        <v>40</v>
      </c>
      <c r="J1048">
        <v>4</v>
      </c>
      <c r="K1048">
        <v>1</v>
      </c>
      <c r="L1048">
        <v>1</v>
      </c>
      <c r="M1048">
        <v>45</v>
      </c>
      <c r="N1048">
        <v>410.07499999999999</v>
      </c>
      <c r="O1048">
        <v>0</v>
      </c>
      <c r="P10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048" t="str">
        <f>IF(Table1[[#This Row],[Fraud_Score]]&gt;=6, "High Risk",IF(Table1[[#This Row],[Fraud_Score]]&gt;=3, "Medium Risk", "Low Risk"))</f>
        <v>Medium Risk</v>
      </c>
      <c r="R1048">
        <f>IF(Table1[[#This Row],[Seconds of Use]]=0,0,Table1[[#This Row],[Customer Value]]/Table1[[#This Row],[Seconds of Use]]*100)</f>
        <v>4.5910770264218543</v>
      </c>
    </row>
    <row r="1049" spans="1:18" x14ac:dyDescent="0.35">
      <c r="A1049" s="3" t="s">
        <v>1070</v>
      </c>
      <c r="B1049">
        <v>8</v>
      </c>
      <c r="C1049">
        <v>0</v>
      </c>
      <c r="D1049">
        <v>16</v>
      </c>
      <c r="E1049">
        <v>3</v>
      </c>
      <c r="F1049">
        <v>2852</v>
      </c>
      <c r="G1049">
        <v>45</v>
      </c>
      <c r="H1049">
        <v>31</v>
      </c>
      <c r="I1049">
        <v>19</v>
      </c>
      <c r="J1049">
        <v>3</v>
      </c>
      <c r="K1049">
        <v>1</v>
      </c>
      <c r="L1049">
        <v>1</v>
      </c>
      <c r="M1049">
        <v>30</v>
      </c>
      <c r="N1049">
        <v>239.88</v>
      </c>
      <c r="O1049">
        <v>0</v>
      </c>
      <c r="P10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49" t="str">
        <f>IF(Table1[[#This Row],[Fraud_Score]]&gt;=6, "High Risk",IF(Table1[[#This Row],[Fraud_Score]]&gt;=3, "Medium Risk", "Low Risk"))</f>
        <v>Low Risk</v>
      </c>
      <c r="R1049">
        <f>IF(Table1[[#This Row],[Seconds of Use]]=0,0,Table1[[#This Row],[Customer Value]]/Table1[[#This Row],[Seconds of Use]]*100)</f>
        <v>8.4109396914446002</v>
      </c>
    </row>
    <row r="1050" spans="1:18" x14ac:dyDescent="0.35">
      <c r="A1050" s="3" t="s">
        <v>1071</v>
      </c>
      <c r="B1050">
        <v>2</v>
      </c>
      <c r="C1050">
        <v>0</v>
      </c>
      <c r="D1050">
        <v>9</v>
      </c>
      <c r="E1050">
        <v>1</v>
      </c>
      <c r="F1050">
        <v>4390</v>
      </c>
      <c r="G1050">
        <v>40</v>
      </c>
      <c r="H1050">
        <v>215</v>
      </c>
      <c r="I1050">
        <v>10</v>
      </c>
      <c r="J1050">
        <v>3</v>
      </c>
      <c r="K1050">
        <v>1</v>
      </c>
      <c r="L1050">
        <v>1</v>
      </c>
      <c r="M1050">
        <v>30</v>
      </c>
      <c r="N1050">
        <v>1037.2</v>
      </c>
      <c r="O1050">
        <v>0</v>
      </c>
      <c r="P10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50" t="str">
        <f>IF(Table1[[#This Row],[Fraud_Score]]&gt;=6, "High Risk",IF(Table1[[#This Row],[Fraud_Score]]&gt;=3, "Medium Risk", "Low Risk"))</f>
        <v>Low Risk</v>
      </c>
      <c r="R1050">
        <f>IF(Table1[[#This Row],[Seconds of Use]]=0,0,Table1[[#This Row],[Customer Value]]/Table1[[#This Row],[Seconds of Use]]*100)</f>
        <v>23.626423690205012</v>
      </c>
    </row>
    <row r="1051" spans="1:18" x14ac:dyDescent="0.35">
      <c r="A1051" s="3" t="s">
        <v>1072</v>
      </c>
      <c r="B1051">
        <v>3</v>
      </c>
      <c r="C1051">
        <v>1</v>
      </c>
      <c r="D1051">
        <v>9</v>
      </c>
      <c r="E1051">
        <v>1</v>
      </c>
      <c r="F1051">
        <v>1487</v>
      </c>
      <c r="G1051">
        <v>19</v>
      </c>
      <c r="H1051">
        <v>0</v>
      </c>
      <c r="I1051">
        <v>7</v>
      </c>
      <c r="J1051">
        <v>3</v>
      </c>
      <c r="K1051">
        <v>1</v>
      </c>
      <c r="L1051">
        <v>1</v>
      </c>
      <c r="M1051">
        <v>30</v>
      </c>
      <c r="N1051">
        <v>60.24</v>
      </c>
      <c r="O1051">
        <v>1</v>
      </c>
      <c r="P10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51" t="str">
        <f>IF(Table1[[#This Row],[Fraud_Score]]&gt;=6, "High Risk",IF(Table1[[#This Row],[Fraud_Score]]&gt;=3, "Medium Risk", "Low Risk"))</f>
        <v>Low Risk</v>
      </c>
      <c r="R1051">
        <f>IF(Table1[[#This Row],[Seconds of Use]]=0,0,Table1[[#This Row],[Customer Value]]/Table1[[#This Row],[Seconds of Use]]*100)</f>
        <v>4.0511096166778753</v>
      </c>
    </row>
    <row r="1052" spans="1:18" x14ac:dyDescent="0.35">
      <c r="A1052" s="3" t="s">
        <v>1073</v>
      </c>
      <c r="B1052">
        <v>3</v>
      </c>
      <c r="C1052">
        <v>0</v>
      </c>
      <c r="D1052">
        <v>36</v>
      </c>
      <c r="E1052">
        <v>0</v>
      </c>
      <c r="F1052">
        <v>4065</v>
      </c>
      <c r="G1052">
        <v>65</v>
      </c>
      <c r="H1052">
        <v>0</v>
      </c>
      <c r="I1052">
        <v>15</v>
      </c>
      <c r="J1052">
        <v>2</v>
      </c>
      <c r="K1052">
        <v>1</v>
      </c>
      <c r="L1052">
        <v>1</v>
      </c>
      <c r="M1052">
        <v>25</v>
      </c>
      <c r="N1052">
        <v>185.85</v>
      </c>
      <c r="O1052">
        <v>0</v>
      </c>
      <c r="P10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2" t="str">
        <f>IF(Table1[[#This Row],[Fraud_Score]]&gt;=6, "High Risk",IF(Table1[[#This Row],[Fraud_Score]]&gt;=3, "Medium Risk", "Low Risk"))</f>
        <v>Low Risk</v>
      </c>
      <c r="R1052">
        <f>IF(Table1[[#This Row],[Seconds of Use]]=0,0,Table1[[#This Row],[Customer Value]]/Table1[[#This Row],[Seconds of Use]]*100)</f>
        <v>4.5719557195571952</v>
      </c>
    </row>
    <row r="1053" spans="1:18" x14ac:dyDescent="0.35">
      <c r="A1053" s="3" t="s">
        <v>1074</v>
      </c>
      <c r="B1053">
        <v>0</v>
      </c>
      <c r="C1053">
        <v>0</v>
      </c>
      <c r="D1053">
        <v>37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2</v>
      </c>
      <c r="K1053">
        <v>1</v>
      </c>
      <c r="L1053">
        <v>2</v>
      </c>
      <c r="M1053">
        <v>25</v>
      </c>
      <c r="N1053">
        <v>0</v>
      </c>
      <c r="O1053">
        <v>0</v>
      </c>
      <c r="P10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3" t="str">
        <f>IF(Table1[[#This Row],[Fraud_Score]]&gt;=6, "High Risk",IF(Table1[[#This Row],[Fraud_Score]]&gt;=3, "Medium Risk", "Low Risk"))</f>
        <v>Low Risk</v>
      </c>
      <c r="R1053">
        <f>IF(Table1[[#This Row],[Seconds of Use]]=0,0,Table1[[#This Row],[Customer Value]]/Table1[[#This Row],[Seconds of Use]]*100)</f>
        <v>0</v>
      </c>
    </row>
    <row r="1054" spans="1:18" x14ac:dyDescent="0.35">
      <c r="A1054" s="3" t="s">
        <v>1075</v>
      </c>
      <c r="B1054">
        <v>5</v>
      </c>
      <c r="C1054">
        <v>0</v>
      </c>
      <c r="D1054">
        <v>35</v>
      </c>
      <c r="E1054">
        <v>0</v>
      </c>
      <c r="F1054">
        <v>2148</v>
      </c>
      <c r="G1054">
        <v>54</v>
      </c>
      <c r="H1054">
        <v>352</v>
      </c>
      <c r="I1054">
        <v>22</v>
      </c>
      <c r="J1054">
        <v>2</v>
      </c>
      <c r="K1054">
        <v>1</v>
      </c>
      <c r="L1054">
        <v>1</v>
      </c>
      <c r="M1054">
        <v>25</v>
      </c>
      <c r="N1054">
        <v>1683.09</v>
      </c>
      <c r="O1054">
        <v>0</v>
      </c>
      <c r="P10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4" t="str">
        <f>IF(Table1[[#This Row],[Fraud_Score]]&gt;=6, "High Risk",IF(Table1[[#This Row],[Fraud_Score]]&gt;=3, "Medium Risk", "Low Risk"))</f>
        <v>Low Risk</v>
      </c>
      <c r="R1054">
        <f>IF(Table1[[#This Row],[Seconds of Use]]=0,0,Table1[[#This Row],[Customer Value]]/Table1[[#This Row],[Seconds of Use]]*100)</f>
        <v>78.35614525139664</v>
      </c>
    </row>
    <row r="1055" spans="1:18" x14ac:dyDescent="0.35">
      <c r="A1055" s="3" t="s">
        <v>1076</v>
      </c>
      <c r="B1055">
        <v>5</v>
      </c>
      <c r="C1055">
        <v>0</v>
      </c>
      <c r="D1055">
        <v>36</v>
      </c>
      <c r="E1055">
        <v>0</v>
      </c>
      <c r="F1055">
        <v>3893</v>
      </c>
      <c r="G1055">
        <v>60</v>
      </c>
      <c r="H1055">
        <v>0</v>
      </c>
      <c r="I1055">
        <v>33</v>
      </c>
      <c r="J1055">
        <v>1</v>
      </c>
      <c r="K1055">
        <v>1</v>
      </c>
      <c r="L1055">
        <v>1</v>
      </c>
      <c r="M1055">
        <v>15</v>
      </c>
      <c r="N1055">
        <v>217.41499999999999</v>
      </c>
      <c r="O1055">
        <v>0</v>
      </c>
      <c r="P10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5" t="str">
        <f>IF(Table1[[#This Row],[Fraud_Score]]&gt;=6, "High Risk",IF(Table1[[#This Row],[Fraud_Score]]&gt;=3, "Medium Risk", "Low Risk"))</f>
        <v>Low Risk</v>
      </c>
      <c r="R1055">
        <f>IF(Table1[[#This Row],[Seconds of Use]]=0,0,Table1[[#This Row],[Customer Value]]/Table1[[#This Row],[Seconds of Use]]*100)</f>
        <v>5.5847675314667349</v>
      </c>
    </row>
    <row r="1056" spans="1:18" x14ac:dyDescent="0.35">
      <c r="A1056" s="3" t="s">
        <v>1077</v>
      </c>
      <c r="B1056">
        <v>0</v>
      </c>
      <c r="C1056">
        <v>0</v>
      </c>
      <c r="D1056">
        <v>36</v>
      </c>
      <c r="E1056">
        <v>0</v>
      </c>
      <c r="F1056">
        <v>2088</v>
      </c>
      <c r="G1056">
        <v>52</v>
      </c>
      <c r="H1056">
        <v>0</v>
      </c>
      <c r="I1056">
        <v>31</v>
      </c>
      <c r="J1056">
        <v>1</v>
      </c>
      <c r="K1056">
        <v>1</v>
      </c>
      <c r="L1056">
        <v>1</v>
      </c>
      <c r="M1056">
        <v>15</v>
      </c>
      <c r="N1056">
        <v>117.7</v>
      </c>
      <c r="O1056">
        <v>0</v>
      </c>
      <c r="P10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6" t="str">
        <f>IF(Table1[[#This Row],[Fraud_Score]]&gt;=6, "High Risk",IF(Table1[[#This Row],[Fraud_Score]]&gt;=3, "Medium Risk", "Low Risk"))</f>
        <v>Low Risk</v>
      </c>
      <c r="R1056">
        <f>IF(Table1[[#This Row],[Seconds of Use]]=0,0,Table1[[#This Row],[Customer Value]]/Table1[[#This Row],[Seconds of Use]]*100)</f>
        <v>5.6369731800766285</v>
      </c>
    </row>
    <row r="1057" spans="1:18" x14ac:dyDescent="0.35">
      <c r="A1057" s="3" t="s">
        <v>1078</v>
      </c>
      <c r="B1057">
        <v>6</v>
      </c>
      <c r="C1057">
        <v>0</v>
      </c>
      <c r="D1057">
        <v>36</v>
      </c>
      <c r="E1057">
        <v>0</v>
      </c>
      <c r="F1057">
        <v>3470</v>
      </c>
      <c r="G1057">
        <v>76</v>
      </c>
      <c r="H1057">
        <v>25</v>
      </c>
      <c r="I1057">
        <v>26</v>
      </c>
      <c r="J1057">
        <v>2</v>
      </c>
      <c r="K1057">
        <v>1</v>
      </c>
      <c r="L1057">
        <v>1</v>
      </c>
      <c r="M1057">
        <v>25</v>
      </c>
      <c r="N1057">
        <v>272.07</v>
      </c>
      <c r="O1057">
        <v>0</v>
      </c>
      <c r="P10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7" t="str">
        <f>IF(Table1[[#This Row],[Fraud_Score]]&gt;=6, "High Risk",IF(Table1[[#This Row],[Fraud_Score]]&gt;=3, "Medium Risk", "Low Risk"))</f>
        <v>Low Risk</v>
      </c>
      <c r="R1057">
        <f>IF(Table1[[#This Row],[Seconds of Use]]=0,0,Table1[[#This Row],[Customer Value]]/Table1[[#This Row],[Seconds of Use]]*100)</f>
        <v>7.8406340057636887</v>
      </c>
    </row>
    <row r="1058" spans="1:18" x14ac:dyDescent="0.35">
      <c r="A1058" s="3" t="s">
        <v>1079</v>
      </c>
      <c r="B1058">
        <v>0</v>
      </c>
      <c r="C1058">
        <v>0</v>
      </c>
      <c r="D1058">
        <v>36</v>
      </c>
      <c r="E1058">
        <v>0</v>
      </c>
      <c r="F1058">
        <v>2055</v>
      </c>
      <c r="G1058">
        <v>33</v>
      </c>
      <c r="H1058">
        <v>278</v>
      </c>
      <c r="I1058">
        <v>16</v>
      </c>
      <c r="J1058">
        <v>3</v>
      </c>
      <c r="K1058">
        <v>1</v>
      </c>
      <c r="L1058">
        <v>1</v>
      </c>
      <c r="M1058">
        <v>30</v>
      </c>
      <c r="N1058">
        <v>1195.52</v>
      </c>
      <c r="O1058">
        <v>0</v>
      </c>
      <c r="P10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58" t="str">
        <f>IF(Table1[[#This Row],[Fraud_Score]]&gt;=6, "High Risk",IF(Table1[[#This Row],[Fraud_Score]]&gt;=3, "Medium Risk", "Low Risk"))</f>
        <v>Low Risk</v>
      </c>
      <c r="R1058">
        <f>IF(Table1[[#This Row],[Seconds of Use]]=0,0,Table1[[#This Row],[Customer Value]]/Table1[[#This Row],[Seconds of Use]]*100)</f>
        <v>58.17615571776156</v>
      </c>
    </row>
    <row r="1059" spans="1:18" x14ac:dyDescent="0.35">
      <c r="A1059" s="3" t="s">
        <v>1080</v>
      </c>
      <c r="B1059">
        <v>8</v>
      </c>
      <c r="C1059">
        <v>0</v>
      </c>
      <c r="D1059">
        <v>35</v>
      </c>
      <c r="E1059">
        <v>1</v>
      </c>
      <c r="F1059">
        <v>8810</v>
      </c>
      <c r="G1059">
        <v>115</v>
      </c>
      <c r="H1059">
        <v>137</v>
      </c>
      <c r="I1059">
        <v>41</v>
      </c>
      <c r="J1059">
        <v>3</v>
      </c>
      <c r="K1059">
        <v>1</v>
      </c>
      <c r="L1059">
        <v>1</v>
      </c>
      <c r="M1059">
        <v>30</v>
      </c>
      <c r="N1059">
        <v>905</v>
      </c>
      <c r="O1059">
        <v>0</v>
      </c>
      <c r="P10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59" t="str">
        <f>IF(Table1[[#This Row],[Fraud_Score]]&gt;=6, "High Risk",IF(Table1[[#This Row],[Fraud_Score]]&gt;=3, "Medium Risk", "Low Risk"))</f>
        <v>Low Risk</v>
      </c>
      <c r="R1059">
        <f>IF(Table1[[#This Row],[Seconds of Use]]=0,0,Table1[[#This Row],[Customer Value]]/Table1[[#This Row],[Seconds of Use]]*100)</f>
        <v>10.272417707150964</v>
      </c>
    </row>
    <row r="1060" spans="1:18" x14ac:dyDescent="0.35">
      <c r="A1060" s="3" t="s">
        <v>1081</v>
      </c>
      <c r="B1060">
        <v>2</v>
      </c>
      <c r="C1060">
        <v>0</v>
      </c>
      <c r="D1060">
        <v>36</v>
      </c>
      <c r="E1060">
        <v>0</v>
      </c>
      <c r="F1060">
        <v>13468</v>
      </c>
      <c r="G1060">
        <v>163</v>
      </c>
      <c r="H1060">
        <v>0</v>
      </c>
      <c r="I1060">
        <v>42</v>
      </c>
      <c r="J1060">
        <v>3</v>
      </c>
      <c r="K1060">
        <v>1</v>
      </c>
      <c r="L1060">
        <v>1</v>
      </c>
      <c r="M1060">
        <v>30</v>
      </c>
      <c r="N1060">
        <v>545.24</v>
      </c>
      <c r="O1060">
        <v>0</v>
      </c>
      <c r="P10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60" t="str">
        <f>IF(Table1[[#This Row],[Fraud_Score]]&gt;=6, "High Risk",IF(Table1[[#This Row],[Fraud_Score]]&gt;=3, "Medium Risk", "Low Risk"))</f>
        <v>Medium Risk</v>
      </c>
      <c r="R1060">
        <f>IF(Table1[[#This Row],[Seconds of Use]]=0,0,Table1[[#This Row],[Customer Value]]/Table1[[#This Row],[Seconds of Use]]*100)</f>
        <v>4.0484110484110483</v>
      </c>
    </row>
    <row r="1061" spans="1:18" x14ac:dyDescent="0.35">
      <c r="A1061" s="3" t="s">
        <v>1082</v>
      </c>
      <c r="B1061">
        <v>2</v>
      </c>
      <c r="C1061">
        <v>0</v>
      </c>
      <c r="D1061">
        <v>36</v>
      </c>
      <c r="E1061">
        <v>0</v>
      </c>
      <c r="F1061">
        <v>4210</v>
      </c>
      <c r="G1061">
        <v>77</v>
      </c>
      <c r="H1061">
        <v>0</v>
      </c>
      <c r="I1061">
        <v>23</v>
      </c>
      <c r="J1061">
        <v>3</v>
      </c>
      <c r="K1061">
        <v>1</v>
      </c>
      <c r="L1061">
        <v>1</v>
      </c>
      <c r="M1061">
        <v>30</v>
      </c>
      <c r="N1061">
        <v>171.48</v>
      </c>
      <c r="O1061">
        <v>0</v>
      </c>
      <c r="P10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1" t="str">
        <f>IF(Table1[[#This Row],[Fraud_Score]]&gt;=6, "High Risk",IF(Table1[[#This Row],[Fraud_Score]]&gt;=3, "Medium Risk", "Low Risk"))</f>
        <v>Low Risk</v>
      </c>
      <c r="R1061">
        <f>IF(Table1[[#This Row],[Seconds of Use]]=0,0,Table1[[#This Row],[Customer Value]]/Table1[[#This Row],[Seconds of Use]]*100)</f>
        <v>4.0731591448931113</v>
      </c>
    </row>
    <row r="1062" spans="1:18" x14ac:dyDescent="0.35">
      <c r="A1062" s="3" t="s">
        <v>1083</v>
      </c>
      <c r="B1062">
        <v>1</v>
      </c>
      <c r="C1062">
        <v>0</v>
      </c>
      <c r="D1062">
        <v>36</v>
      </c>
      <c r="E1062">
        <v>0</v>
      </c>
      <c r="F1062">
        <v>5613</v>
      </c>
      <c r="G1062">
        <v>89</v>
      </c>
      <c r="H1062">
        <v>0</v>
      </c>
      <c r="I1062">
        <v>10</v>
      </c>
      <c r="J1062">
        <v>2</v>
      </c>
      <c r="K1062">
        <v>1</v>
      </c>
      <c r="L1062">
        <v>1</v>
      </c>
      <c r="M1062">
        <v>25</v>
      </c>
      <c r="N1062">
        <v>256.58999999999997</v>
      </c>
      <c r="O1062">
        <v>0</v>
      </c>
      <c r="P10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2" t="str">
        <f>IF(Table1[[#This Row],[Fraud_Score]]&gt;=6, "High Risk",IF(Table1[[#This Row],[Fraud_Score]]&gt;=3, "Medium Risk", "Low Risk"))</f>
        <v>Low Risk</v>
      </c>
      <c r="R1062">
        <f>IF(Table1[[#This Row],[Seconds of Use]]=0,0,Table1[[#This Row],[Customer Value]]/Table1[[#This Row],[Seconds of Use]]*100)</f>
        <v>4.571352218065206</v>
      </c>
    </row>
    <row r="1063" spans="1:18" x14ac:dyDescent="0.35">
      <c r="A1063" s="3" t="s">
        <v>1084</v>
      </c>
      <c r="B1063">
        <v>4</v>
      </c>
      <c r="C1063">
        <v>0</v>
      </c>
      <c r="D1063">
        <v>36</v>
      </c>
      <c r="E1063">
        <v>0</v>
      </c>
      <c r="F1063">
        <v>1933</v>
      </c>
      <c r="G1063">
        <v>48</v>
      </c>
      <c r="H1063">
        <v>1</v>
      </c>
      <c r="I1063">
        <v>15</v>
      </c>
      <c r="J1063">
        <v>3</v>
      </c>
      <c r="K1063">
        <v>1</v>
      </c>
      <c r="L1063">
        <v>2</v>
      </c>
      <c r="M1063">
        <v>30</v>
      </c>
      <c r="N1063">
        <v>83.24</v>
      </c>
      <c r="O1063">
        <v>0</v>
      </c>
      <c r="P10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3" t="str">
        <f>IF(Table1[[#This Row],[Fraud_Score]]&gt;=6, "High Risk",IF(Table1[[#This Row],[Fraud_Score]]&gt;=3, "Medium Risk", "Low Risk"))</f>
        <v>Low Risk</v>
      </c>
      <c r="R1063">
        <f>IF(Table1[[#This Row],[Seconds of Use]]=0,0,Table1[[#This Row],[Customer Value]]/Table1[[#This Row],[Seconds of Use]]*100)</f>
        <v>4.3062596999482663</v>
      </c>
    </row>
    <row r="1064" spans="1:18" x14ac:dyDescent="0.35">
      <c r="A1064" s="3" t="s">
        <v>1085</v>
      </c>
      <c r="B1064">
        <v>20</v>
      </c>
      <c r="C1064">
        <v>0</v>
      </c>
      <c r="D1064">
        <v>36</v>
      </c>
      <c r="E1064">
        <v>2</v>
      </c>
      <c r="F1064">
        <v>14835</v>
      </c>
      <c r="G1064">
        <v>219</v>
      </c>
      <c r="H1064">
        <v>47</v>
      </c>
      <c r="I1064">
        <v>30</v>
      </c>
      <c r="J1064">
        <v>3</v>
      </c>
      <c r="K1064">
        <v>1</v>
      </c>
      <c r="L1064">
        <v>1</v>
      </c>
      <c r="M1064">
        <v>30</v>
      </c>
      <c r="N1064">
        <v>790.16</v>
      </c>
      <c r="O1064">
        <v>0</v>
      </c>
      <c r="P10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064" t="str">
        <f>IF(Table1[[#This Row],[Fraud_Score]]&gt;=6, "High Risk",IF(Table1[[#This Row],[Fraud_Score]]&gt;=3, "Medium Risk", "Low Risk"))</f>
        <v>Medium Risk</v>
      </c>
      <c r="R1064">
        <f>IF(Table1[[#This Row],[Seconds of Use]]=0,0,Table1[[#This Row],[Customer Value]]/Table1[[#This Row],[Seconds of Use]]*100)</f>
        <v>5.3263228850690929</v>
      </c>
    </row>
    <row r="1065" spans="1:18" x14ac:dyDescent="0.35">
      <c r="A1065" s="3" t="s">
        <v>1086</v>
      </c>
      <c r="B1065">
        <v>0</v>
      </c>
      <c r="C1065">
        <v>0</v>
      </c>
      <c r="D1065">
        <v>36</v>
      </c>
      <c r="E1065">
        <v>0</v>
      </c>
      <c r="F1065">
        <v>2790</v>
      </c>
      <c r="G1065">
        <v>21</v>
      </c>
      <c r="H1065">
        <v>476</v>
      </c>
      <c r="I1065">
        <v>6</v>
      </c>
      <c r="J1065">
        <v>3</v>
      </c>
      <c r="K1065">
        <v>1</v>
      </c>
      <c r="L1065">
        <v>1</v>
      </c>
      <c r="M1065">
        <v>30</v>
      </c>
      <c r="N1065">
        <v>2016.44</v>
      </c>
      <c r="O1065">
        <v>0</v>
      </c>
      <c r="P10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5" t="str">
        <f>IF(Table1[[#This Row],[Fraud_Score]]&gt;=6, "High Risk",IF(Table1[[#This Row],[Fraud_Score]]&gt;=3, "Medium Risk", "Low Risk"))</f>
        <v>Low Risk</v>
      </c>
      <c r="R1065">
        <f>IF(Table1[[#This Row],[Seconds of Use]]=0,0,Table1[[#This Row],[Customer Value]]/Table1[[#This Row],[Seconds of Use]]*100)</f>
        <v>72.273835125448031</v>
      </c>
    </row>
    <row r="1066" spans="1:18" x14ac:dyDescent="0.35">
      <c r="A1066" s="3" t="s">
        <v>1087</v>
      </c>
      <c r="B1066">
        <v>4</v>
      </c>
      <c r="C1066">
        <v>0</v>
      </c>
      <c r="D1066">
        <v>35</v>
      </c>
      <c r="E1066">
        <v>0</v>
      </c>
      <c r="F1066">
        <v>15180</v>
      </c>
      <c r="G1066">
        <v>176</v>
      </c>
      <c r="H1066">
        <v>143</v>
      </c>
      <c r="I1066">
        <v>28</v>
      </c>
      <c r="J1066">
        <v>2</v>
      </c>
      <c r="K1066">
        <v>1</v>
      </c>
      <c r="L1066">
        <v>1</v>
      </c>
      <c r="M1066">
        <v>25</v>
      </c>
      <c r="N1066">
        <v>1334.52</v>
      </c>
      <c r="O1066">
        <v>0</v>
      </c>
      <c r="P10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66" t="str">
        <f>IF(Table1[[#This Row],[Fraud_Score]]&gt;=6, "High Risk",IF(Table1[[#This Row],[Fraud_Score]]&gt;=3, "Medium Risk", "Low Risk"))</f>
        <v>Medium Risk</v>
      </c>
      <c r="R1066">
        <f>IF(Table1[[#This Row],[Seconds of Use]]=0,0,Table1[[#This Row],[Customer Value]]/Table1[[#This Row],[Seconds of Use]]*100)</f>
        <v>8.7913043478260864</v>
      </c>
    </row>
    <row r="1067" spans="1:18" x14ac:dyDescent="0.35">
      <c r="A1067" s="3" t="s">
        <v>1088</v>
      </c>
      <c r="B1067">
        <v>0</v>
      </c>
      <c r="C1067">
        <v>0</v>
      </c>
      <c r="D1067">
        <v>35</v>
      </c>
      <c r="E1067">
        <v>0</v>
      </c>
      <c r="F1067">
        <v>6195</v>
      </c>
      <c r="G1067">
        <v>80</v>
      </c>
      <c r="H1067">
        <v>179</v>
      </c>
      <c r="I1067">
        <v>24</v>
      </c>
      <c r="J1067">
        <v>3</v>
      </c>
      <c r="K1067">
        <v>1</v>
      </c>
      <c r="L1067">
        <v>1</v>
      </c>
      <c r="M1067">
        <v>30</v>
      </c>
      <c r="N1067">
        <v>967</v>
      </c>
      <c r="O1067">
        <v>0</v>
      </c>
      <c r="P10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7" t="str">
        <f>IF(Table1[[#This Row],[Fraud_Score]]&gt;=6, "High Risk",IF(Table1[[#This Row],[Fraud_Score]]&gt;=3, "Medium Risk", "Low Risk"))</f>
        <v>Low Risk</v>
      </c>
      <c r="R1067">
        <f>IF(Table1[[#This Row],[Seconds of Use]]=0,0,Table1[[#This Row],[Customer Value]]/Table1[[#This Row],[Seconds of Use]]*100)</f>
        <v>15.609362389023406</v>
      </c>
    </row>
    <row r="1068" spans="1:18" x14ac:dyDescent="0.35">
      <c r="A1068" s="3" t="s">
        <v>1089</v>
      </c>
      <c r="B1068">
        <v>0</v>
      </c>
      <c r="C1068">
        <v>0</v>
      </c>
      <c r="D1068">
        <v>35</v>
      </c>
      <c r="E1068">
        <v>0</v>
      </c>
      <c r="F1068">
        <v>570</v>
      </c>
      <c r="G1068">
        <v>8</v>
      </c>
      <c r="H1068">
        <v>0</v>
      </c>
      <c r="I1068">
        <v>9</v>
      </c>
      <c r="J1068">
        <v>2</v>
      </c>
      <c r="K1068">
        <v>1</v>
      </c>
      <c r="L1068">
        <v>2</v>
      </c>
      <c r="M1068">
        <v>25</v>
      </c>
      <c r="N1068">
        <v>26.01</v>
      </c>
      <c r="O1068">
        <v>0</v>
      </c>
      <c r="P10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8" t="str">
        <f>IF(Table1[[#This Row],[Fraud_Score]]&gt;=6, "High Risk",IF(Table1[[#This Row],[Fraud_Score]]&gt;=3, "Medium Risk", "Low Risk"))</f>
        <v>Low Risk</v>
      </c>
      <c r="R1068">
        <f>IF(Table1[[#This Row],[Seconds of Use]]=0,0,Table1[[#This Row],[Customer Value]]/Table1[[#This Row],[Seconds of Use]]*100)</f>
        <v>4.5631578947368423</v>
      </c>
    </row>
    <row r="1069" spans="1:18" x14ac:dyDescent="0.35">
      <c r="A1069" s="3" t="s">
        <v>1090</v>
      </c>
      <c r="B1069">
        <v>0</v>
      </c>
      <c r="C1069">
        <v>0</v>
      </c>
      <c r="D1069">
        <v>36</v>
      </c>
      <c r="E1069">
        <v>0</v>
      </c>
      <c r="F1069">
        <v>405</v>
      </c>
      <c r="G1069">
        <v>8</v>
      </c>
      <c r="H1069">
        <v>6</v>
      </c>
      <c r="I1069">
        <v>6</v>
      </c>
      <c r="J1069">
        <v>2</v>
      </c>
      <c r="K1069">
        <v>1</v>
      </c>
      <c r="L1069">
        <v>2</v>
      </c>
      <c r="M1069">
        <v>25</v>
      </c>
      <c r="N1069">
        <v>45.585000000000001</v>
      </c>
      <c r="O1069">
        <v>0</v>
      </c>
      <c r="P10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69" t="str">
        <f>IF(Table1[[#This Row],[Fraud_Score]]&gt;=6, "High Risk",IF(Table1[[#This Row],[Fraud_Score]]&gt;=3, "Medium Risk", "Low Risk"))</f>
        <v>Low Risk</v>
      </c>
      <c r="R1069">
        <f>IF(Table1[[#This Row],[Seconds of Use]]=0,0,Table1[[#This Row],[Customer Value]]/Table1[[#This Row],[Seconds of Use]]*100)</f>
        <v>11.255555555555556</v>
      </c>
    </row>
    <row r="1070" spans="1:18" x14ac:dyDescent="0.35">
      <c r="A1070" s="3" t="s">
        <v>1091</v>
      </c>
      <c r="B1070">
        <v>0</v>
      </c>
      <c r="C1070">
        <v>0</v>
      </c>
      <c r="D1070">
        <v>35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2</v>
      </c>
      <c r="K1070">
        <v>1</v>
      </c>
      <c r="L1070">
        <v>2</v>
      </c>
      <c r="M1070">
        <v>25</v>
      </c>
      <c r="N1070">
        <v>0</v>
      </c>
      <c r="O1070">
        <v>1</v>
      </c>
      <c r="P10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70" t="str">
        <f>IF(Table1[[#This Row],[Fraud_Score]]&gt;=6, "High Risk",IF(Table1[[#This Row],[Fraud_Score]]&gt;=3, "Medium Risk", "Low Risk"))</f>
        <v>Low Risk</v>
      </c>
      <c r="R1070">
        <f>IF(Table1[[#This Row],[Seconds of Use]]=0,0,Table1[[#This Row],[Customer Value]]/Table1[[#This Row],[Seconds of Use]]*100)</f>
        <v>0</v>
      </c>
    </row>
    <row r="1071" spans="1:18" x14ac:dyDescent="0.35">
      <c r="A1071" s="3" t="s">
        <v>1092</v>
      </c>
      <c r="B1071">
        <v>0</v>
      </c>
      <c r="C1071">
        <v>0</v>
      </c>
      <c r="D1071">
        <v>35</v>
      </c>
      <c r="E1071">
        <v>0</v>
      </c>
      <c r="F1071">
        <v>7203</v>
      </c>
      <c r="G1071">
        <v>121</v>
      </c>
      <c r="H1071">
        <v>377</v>
      </c>
      <c r="I1071">
        <v>41</v>
      </c>
      <c r="J1071">
        <v>2</v>
      </c>
      <c r="K1071">
        <v>1</v>
      </c>
      <c r="L1071">
        <v>1</v>
      </c>
      <c r="M1071">
        <v>25</v>
      </c>
      <c r="N1071">
        <v>2026.08</v>
      </c>
      <c r="O1071">
        <v>0</v>
      </c>
      <c r="P10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71" t="str">
        <f>IF(Table1[[#This Row],[Fraud_Score]]&gt;=6, "High Risk",IF(Table1[[#This Row],[Fraud_Score]]&gt;=3, "Medium Risk", "Low Risk"))</f>
        <v>Low Risk</v>
      </c>
      <c r="R1071">
        <f>IF(Table1[[#This Row],[Seconds of Use]]=0,0,Table1[[#This Row],[Customer Value]]/Table1[[#This Row],[Seconds of Use]]*100)</f>
        <v>28.128279883381925</v>
      </c>
    </row>
    <row r="1072" spans="1:18" x14ac:dyDescent="0.35">
      <c r="A1072" s="3" t="s">
        <v>1093</v>
      </c>
      <c r="B1072">
        <v>2</v>
      </c>
      <c r="C1072">
        <v>0</v>
      </c>
      <c r="D1072">
        <v>35</v>
      </c>
      <c r="E1072">
        <v>0</v>
      </c>
      <c r="F1072">
        <v>11160</v>
      </c>
      <c r="G1072">
        <v>148</v>
      </c>
      <c r="H1072">
        <v>4</v>
      </c>
      <c r="I1072">
        <v>45</v>
      </c>
      <c r="J1072">
        <v>3</v>
      </c>
      <c r="K1072">
        <v>1</v>
      </c>
      <c r="L1072">
        <v>1</v>
      </c>
      <c r="M1072">
        <v>30</v>
      </c>
      <c r="N1072">
        <v>468.32</v>
      </c>
      <c r="O1072">
        <v>0</v>
      </c>
      <c r="P10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72" t="str">
        <f>IF(Table1[[#This Row],[Fraud_Score]]&gt;=6, "High Risk",IF(Table1[[#This Row],[Fraud_Score]]&gt;=3, "Medium Risk", "Low Risk"))</f>
        <v>Medium Risk</v>
      </c>
      <c r="R1072">
        <f>IF(Table1[[#This Row],[Seconds of Use]]=0,0,Table1[[#This Row],[Customer Value]]/Table1[[#This Row],[Seconds of Use]]*100)</f>
        <v>4.1964157706093195</v>
      </c>
    </row>
    <row r="1073" spans="1:18" x14ac:dyDescent="0.35">
      <c r="A1073" s="3" t="s">
        <v>1094</v>
      </c>
      <c r="B1073">
        <v>3</v>
      </c>
      <c r="C1073">
        <v>0</v>
      </c>
      <c r="D1073">
        <v>35</v>
      </c>
      <c r="E1073">
        <v>0</v>
      </c>
      <c r="F1073">
        <v>6413</v>
      </c>
      <c r="G1073">
        <v>69</v>
      </c>
      <c r="H1073">
        <v>101</v>
      </c>
      <c r="I1073">
        <v>35</v>
      </c>
      <c r="J1073">
        <v>2</v>
      </c>
      <c r="K1073">
        <v>1</v>
      </c>
      <c r="L1073">
        <v>1</v>
      </c>
      <c r="M1073">
        <v>25</v>
      </c>
      <c r="N1073">
        <v>746.19</v>
      </c>
      <c r="O1073">
        <v>0</v>
      </c>
      <c r="P10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73" t="str">
        <f>IF(Table1[[#This Row],[Fraud_Score]]&gt;=6, "High Risk",IF(Table1[[#This Row],[Fraud_Score]]&gt;=3, "Medium Risk", "Low Risk"))</f>
        <v>Low Risk</v>
      </c>
      <c r="R1073">
        <f>IF(Table1[[#This Row],[Seconds of Use]]=0,0,Table1[[#This Row],[Customer Value]]/Table1[[#This Row],[Seconds of Use]]*100)</f>
        <v>11.635583970060814</v>
      </c>
    </row>
    <row r="1074" spans="1:18" x14ac:dyDescent="0.35">
      <c r="A1074" s="3" t="s">
        <v>1095</v>
      </c>
      <c r="B1074">
        <v>18</v>
      </c>
      <c r="C1074">
        <v>0</v>
      </c>
      <c r="D1074">
        <v>31</v>
      </c>
      <c r="E1074">
        <v>0</v>
      </c>
      <c r="F1074">
        <v>650</v>
      </c>
      <c r="G1074">
        <v>41</v>
      </c>
      <c r="H1074">
        <v>9</v>
      </c>
      <c r="I1074">
        <v>15</v>
      </c>
      <c r="J1074">
        <v>2</v>
      </c>
      <c r="K1074">
        <v>1</v>
      </c>
      <c r="L1074">
        <v>2</v>
      </c>
      <c r="M1074">
        <v>25</v>
      </c>
      <c r="N1074">
        <v>71.594999999999999</v>
      </c>
      <c r="O1074">
        <v>1</v>
      </c>
      <c r="P10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74" t="str">
        <f>IF(Table1[[#This Row],[Fraud_Score]]&gt;=6, "High Risk",IF(Table1[[#This Row],[Fraud_Score]]&gt;=3, "Medium Risk", "Low Risk"))</f>
        <v>Medium Risk</v>
      </c>
      <c r="R1074">
        <f>IF(Table1[[#This Row],[Seconds of Use]]=0,0,Table1[[#This Row],[Customer Value]]/Table1[[#This Row],[Seconds of Use]]*100)</f>
        <v>11.014615384615384</v>
      </c>
    </row>
    <row r="1075" spans="1:18" x14ac:dyDescent="0.35">
      <c r="A1075" s="3" t="s">
        <v>1096</v>
      </c>
      <c r="B1075">
        <v>16</v>
      </c>
      <c r="C1075">
        <v>0</v>
      </c>
      <c r="D1075">
        <v>34</v>
      </c>
      <c r="E1075">
        <v>7</v>
      </c>
      <c r="F1075">
        <v>10130</v>
      </c>
      <c r="G1075">
        <v>87</v>
      </c>
      <c r="H1075">
        <v>0</v>
      </c>
      <c r="I1075">
        <v>40</v>
      </c>
      <c r="J1075">
        <v>4</v>
      </c>
      <c r="K1075">
        <v>1</v>
      </c>
      <c r="L1075">
        <v>1</v>
      </c>
      <c r="M1075">
        <v>45</v>
      </c>
      <c r="N1075">
        <v>255.42500000000001</v>
      </c>
      <c r="O1075">
        <v>0</v>
      </c>
      <c r="P10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75" t="str">
        <f>IF(Table1[[#This Row],[Fraud_Score]]&gt;=6, "High Risk",IF(Table1[[#This Row],[Fraud_Score]]&gt;=3, "Medium Risk", "Low Risk"))</f>
        <v>Low Risk</v>
      </c>
      <c r="R1075">
        <f>IF(Table1[[#This Row],[Seconds of Use]]=0,0,Table1[[#This Row],[Customer Value]]/Table1[[#This Row],[Seconds of Use]]*100)</f>
        <v>2.5214708785784796</v>
      </c>
    </row>
    <row r="1076" spans="1:18" x14ac:dyDescent="0.35">
      <c r="A1076" s="3" t="s">
        <v>1097</v>
      </c>
      <c r="B1076">
        <v>8</v>
      </c>
      <c r="C1076">
        <v>1</v>
      </c>
      <c r="D1076">
        <v>34</v>
      </c>
      <c r="E1076">
        <v>0</v>
      </c>
      <c r="F1076">
        <v>5513</v>
      </c>
      <c r="G1076">
        <v>92</v>
      </c>
      <c r="H1076">
        <v>19</v>
      </c>
      <c r="I1076">
        <v>22</v>
      </c>
      <c r="J1076">
        <v>2</v>
      </c>
      <c r="K1076">
        <v>1</v>
      </c>
      <c r="L1076">
        <v>1</v>
      </c>
      <c r="M1076">
        <v>25</v>
      </c>
      <c r="N1076">
        <v>337.72500000000002</v>
      </c>
      <c r="O1076">
        <v>1</v>
      </c>
      <c r="P10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76" t="str">
        <f>IF(Table1[[#This Row],[Fraud_Score]]&gt;=6, "High Risk",IF(Table1[[#This Row],[Fraud_Score]]&gt;=3, "Medium Risk", "Low Risk"))</f>
        <v>Medium Risk</v>
      </c>
      <c r="R1076">
        <f>IF(Table1[[#This Row],[Seconds of Use]]=0,0,Table1[[#This Row],[Customer Value]]/Table1[[#This Row],[Seconds of Use]]*100)</f>
        <v>6.1259749682568474</v>
      </c>
    </row>
    <row r="1077" spans="1:18" x14ac:dyDescent="0.35">
      <c r="A1077" s="3" t="s">
        <v>1098</v>
      </c>
      <c r="B1077">
        <v>0</v>
      </c>
      <c r="C1077">
        <v>0</v>
      </c>
      <c r="D1077">
        <v>32</v>
      </c>
      <c r="E1077">
        <v>0</v>
      </c>
      <c r="F1077">
        <v>2535</v>
      </c>
      <c r="G1077">
        <v>16</v>
      </c>
      <c r="H1077">
        <v>0</v>
      </c>
      <c r="I1077">
        <v>12</v>
      </c>
      <c r="J1077">
        <v>3</v>
      </c>
      <c r="K1077">
        <v>1</v>
      </c>
      <c r="L1077">
        <v>1</v>
      </c>
      <c r="M1077">
        <v>30</v>
      </c>
      <c r="N1077">
        <v>102.04</v>
      </c>
      <c r="O1077">
        <v>0</v>
      </c>
      <c r="P10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77" t="str">
        <f>IF(Table1[[#This Row],[Fraud_Score]]&gt;=6, "High Risk",IF(Table1[[#This Row],[Fraud_Score]]&gt;=3, "Medium Risk", "Low Risk"))</f>
        <v>Low Risk</v>
      </c>
      <c r="R1077">
        <f>IF(Table1[[#This Row],[Seconds of Use]]=0,0,Table1[[#This Row],[Customer Value]]/Table1[[#This Row],[Seconds of Use]]*100)</f>
        <v>4.0252465483234721</v>
      </c>
    </row>
    <row r="1078" spans="1:18" x14ac:dyDescent="0.35">
      <c r="A1078" s="3" t="s">
        <v>1099</v>
      </c>
      <c r="B1078">
        <v>4</v>
      </c>
      <c r="C1078">
        <v>0</v>
      </c>
      <c r="D1078">
        <v>33</v>
      </c>
      <c r="E1078">
        <v>0</v>
      </c>
      <c r="F1078">
        <v>2685</v>
      </c>
      <c r="G1078">
        <v>35</v>
      </c>
      <c r="H1078">
        <v>2</v>
      </c>
      <c r="I1078">
        <v>14</v>
      </c>
      <c r="J1078">
        <v>2</v>
      </c>
      <c r="K1078">
        <v>1</v>
      </c>
      <c r="L1078">
        <v>2</v>
      </c>
      <c r="M1078">
        <v>25</v>
      </c>
      <c r="N1078">
        <v>131.4</v>
      </c>
      <c r="O1078">
        <v>1</v>
      </c>
      <c r="P10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78" t="str">
        <f>IF(Table1[[#This Row],[Fraud_Score]]&gt;=6, "High Risk",IF(Table1[[#This Row],[Fraud_Score]]&gt;=3, "Medium Risk", "Low Risk"))</f>
        <v>Low Risk</v>
      </c>
      <c r="R1078">
        <f>IF(Table1[[#This Row],[Seconds of Use]]=0,0,Table1[[#This Row],[Customer Value]]/Table1[[#This Row],[Seconds of Use]]*100)</f>
        <v>4.8938547486033528</v>
      </c>
    </row>
    <row r="1079" spans="1:18" x14ac:dyDescent="0.35">
      <c r="A1079" s="3" t="s">
        <v>1100</v>
      </c>
      <c r="B1079">
        <v>4</v>
      </c>
      <c r="C1079">
        <v>0</v>
      </c>
      <c r="D1079">
        <v>34</v>
      </c>
      <c r="E1079">
        <v>0</v>
      </c>
      <c r="F1079">
        <v>1963</v>
      </c>
      <c r="G1079">
        <v>38</v>
      </c>
      <c r="H1079">
        <v>27</v>
      </c>
      <c r="I1079">
        <v>29</v>
      </c>
      <c r="J1079">
        <v>3</v>
      </c>
      <c r="K1079">
        <v>1</v>
      </c>
      <c r="L1079">
        <v>2</v>
      </c>
      <c r="M1079">
        <v>30</v>
      </c>
      <c r="N1079">
        <v>188.04</v>
      </c>
      <c r="O1079">
        <v>1</v>
      </c>
      <c r="P10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79" t="str">
        <f>IF(Table1[[#This Row],[Fraud_Score]]&gt;=6, "High Risk",IF(Table1[[#This Row],[Fraud_Score]]&gt;=3, "Medium Risk", "Low Risk"))</f>
        <v>Low Risk</v>
      </c>
      <c r="R1079">
        <f>IF(Table1[[#This Row],[Seconds of Use]]=0,0,Table1[[#This Row],[Customer Value]]/Table1[[#This Row],[Seconds of Use]]*100)</f>
        <v>9.5792154865002548</v>
      </c>
    </row>
    <row r="1080" spans="1:18" x14ac:dyDescent="0.35">
      <c r="A1080" s="3" t="s">
        <v>1101</v>
      </c>
      <c r="B1080">
        <v>0</v>
      </c>
      <c r="C1080">
        <v>1</v>
      </c>
      <c r="D1080">
        <v>34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3</v>
      </c>
      <c r="K1080">
        <v>1</v>
      </c>
      <c r="L1080">
        <v>2</v>
      </c>
      <c r="M1080">
        <v>30</v>
      </c>
      <c r="N1080">
        <v>0</v>
      </c>
      <c r="O1080">
        <v>1</v>
      </c>
      <c r="P10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80" t="str">
        <f>IF(Table1[[#This Row],[Fraud_Score]]&gt;=6, "High Risk",IF(Table1[[#This Row],[Fraud_Score]]&gt;=3, "Medium Risk", "Low Risk"))</f>
        <v>Medium Risk</v>
      </c>
      <c r="R1080">
        <f>IF(Table1[[#This Row],[Seconds of Use]]=0,0,Table1[[#This Row],[Customer Value]]/Table1[[#This Row],[Seconds of Use]]*100)</f>
        <v>0</v>
      </c>
    </row>
    <row r="1081" spans="1:18" x14ac:dyDescent="0.35">
      <c r="A1081" s="3" t="s">
        <v>1102</v>
      </c>
      <c r="B1081">
        <v>0</v>
      </c>
      <c r="C1081">
        <v>0</v>
      </c>
      <c r="D1081">
        <v>34</v>
      </c>
      <c r="E1081">
        <v>0</v>
      </c>
      <c r="F1081">
        <v>1363</v>
      </c>
      <c r="G1081">
        <v>19</v>
      </c>
      <c r="H1081">
        <v>0</v>
      </c>
      <c r="I1081">
        <v>4</v>
      </c>
      <c r="J1081">
        <v>3</v>
      </c>
      <c r="K1081">
        <v>1</v>
      </c>
      <c r="L1081">
        <v>1</v>
      </c>
      <c r="M1081">
        <v>30</v>
      </c>
      <c r="N1081">
        <v>55.28</v>
      </c>
      <c r="O1081">
        <v>0</v>
      </c>
      <c r="P10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1" t="str">
        <f>IF(Table1[[#This Row],[Fraud_Score]]&gt;=6, "High Risk",IF(Table1[[#This Row],[Fraud_Score]]&gt;=3, "Medium Risk", "Low Risk"))</f>
        <v>Low Risk</v>
      </c>
      <c r="R1081">
        <f>IF(Table1[[#This Row],[Seconds of Use]]=0,0,Table1[[#This Row],[Customer Value]]/Table1[[#This Row],[Seconds of Use]]*100)</f>
        <v>4.0557593543653709</v>
      </c>
    </row>
    <row r="1082" spans="1:18" x14ac:dyDescent="0.35">
      <c r="A1082" s="3" t="s">
        <v>1103</v>
      </c>
      <c r="B1082">
        <v>0</v>
      </c>
      <c r="C1082">
        <v>0</v>
      </c>
      <c r="D1082">
        <v>31</v>
      </c>
      <c r="E1082">
        <v>0</v>
      </c>
      <c r="F1082">
        <v>6480</v>
      </c>
      <c r="G1082">
        <v>91</v>
      </c>
      <c r="H1082">
        <v>7</v>
      </c>
      <c r="I1082">
        <v>20</v>
      </c>
      <c r="J1082">
        <v>4</v>
      </c>
      <c r="K1082">
        <v>1</v>
      </c>
      <c r="L1082">
        <v>1</v>
      </c>
      <c r="M1082">
        <v>45</v>
      </c>
      <c r="N1082">
        <v>181.77500000000001</v>
      </c>
      <c r="O1082">
        <v>0</v>
      </c>
      <c r="P10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2" t="str">
        <f>IF(Table1[[#This Row],[Fraud_Score]]&gt;=6, "High Risk",IF(Table1[[#This Row],[Fraud_Score]]&gt;=3, "Medium Risk", "Low Risk"))</f>
        <v>Low Risk</v>
      </c>
      <c r="R1082">
        <f>IF(Table1[[#This Row],[Seconds of Use]]=0,0,Table1[[#This Row],[Customer Value]]/Table1[[#This Row],[Seconds of Use]]*100)</f>
        <v>2.8051697530864197</v>
      </c>
    </row>
    <row r="1083" spans="1:18" x14ac:dyDescent="0.35">
      <c r="A1083" s="3" t="s">
        <v>1104</v>
      </c>
      <c r="B1083">
        <v>0</v>
      </c>
      <c r="C1083">
        <v>0</v>
      </c>
      <c r="D1083">
        <v>34</v>
      </c>
      <c r="E1083">
        <v>0</v>
      </c>
      <c r="F1083">
        <v>323</v>
      </c>
      <c r="G1083">
        <v>1</v>
      </c>
      <c r="H1083">
        <v>2</v>
      </c>
      <c r="I1083">
        <v>2</v>
      </c>
      <c r="J1083">
        <v>4</v>
      </c>
      <c r="K1083">
        <v>1</v>
      </c>
      <c r="L1083">
        <v>2</v>
      </c>
      <c r="M1083">
        <v>45</v>
      </c>
      <c r="N1083">
        <v>13.1</v>
      </c>
      <c r="O1083">
        <v>1</v>
      </c>
      <c r="P10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3" t="str">
        <f>IF(Table1[[#This Row],[Fraud_Score]]&gt;=6, "High Risk",IF(Table1[[#This Row],[Fraud_Score]]&gt;=3, "Medium Risk", "Low Risk"))</f>
        <v>Low Risk</v>
      </c>
      <c r="R1083">
        <f>IF(Table1[[#This Row],[Seconds of Use]]=0,0,Table1[[#This Row],[Customer Value]]/Table1[[#This Row],[Seconds of Use]]*100)</f>
        <v>4.0557275541795672</v>
      </c>
    </row>
    <row r="1084" spans="1:18" x14ac:dyDescent="0.35">
      <c r="A1084" s="3" t="s">
        <v>1105</v>
      </c>
      <c r="B1084">
        <v>0</v>
      </c>
      <c r="C1084">
        <v>0</v>
      </c>
      <c r="D1084">
        <v>34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</v>
      </c>
      <c r="K1084">
        <v>1</v>
      </c>
      <c r="L1084">
        <v>1</v>
      </c>
      <c r="M1084">
        <v>55</v>
      </c>
      <c r="N1084">
        <v>0</v>
      </c>
      <c r="O1084">
        <v>0</v>
      </c>
      <c r="P10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4" t="str">
        <f>IF(Table1[[#This Row],[Fraud_Score]]&gt;=6, "High Risk",IF(Table1[[#This Row],[Fraud_Score]]&gt;=3, "Medium Risk", "Low Risk"))</f>
        <v>Low Risk</v>
      </c>
      <c r="R1084">
        <f>IF(Table1[[#This Row],[Seconds of Use]]=0,0,Table1[[#This Row],[Customer Value]]/Table1[[#This Row],[Seconds of Use]]*100)</f>
        <v>0</v>
      </c>
    </row>
    <row r="1085" spans="1:18" x14ac:dyDescent="0.35">
      <c r="A1085" s="3" t="s">
        <v>1106</v>
      </c>
      <c r="B1085">
        <v>20</v>
      </c>
      <c r="C1085">
        <v>0</v>
      </c>
      <c r="D1085">
        <v>29</v>
      </c>
      <c r="E1085">
        <v>2</v>
      </c>
      <c r="F1085">
        <v>15770</v>
      </c>
      <c r="G1085">
        <v>232</v>
      </c>
      <c r="H1085">
        <v>0</v>
      </c>
      <c r="I1085">
        <v>78</v>
      </c>
      <c r="J1085">
        <v>2</v>
      </c>
      <c r="K1085">
        <v>1</v>
      </c>
      <c r="L1085">
        <v>1</v>
      </c>
      <c r="M1085">
        <v>25</v>
      </c>
      <c r="N1085">
        <v>720.09</v>
      </c>
      <c r="O1085">
        <v>0</v>
      </c>
      <c r="P10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085" t="str">
        <f>IF(Table1[[#This Row],[Fraud_Score]]&gt;=6, "High Risk",IF(Table1[[#This Row],[Fraud_Score]]&gt;=3, "Medium Risk", "Low Risk"))</f>
        <v>Medium Risk</v>
      </c>
      <c r="R1085">
        <f>IF(Table1[[#This Row],[Seconds of Use]]=0,0,Table1[[#This Row],[Customer Value]]/Table1[[#This Row],[Seconds of Use]]*100)</f>
        <v>4.5662016487000638</v>
      </c>
    </row>
    <row r="1086" spans="1:18" x14ac:dyDescent="0.35">
      <c r="A1086" s="3" t="s">
        <v>1107</v>
      </c>
      <c r="B1086">
        <v>1</v>
      </c>
      <c r="C1086">
        <v>0</v>
      </c>
      <c r="D1086">
        <v>32</v>
      </c>
      <c r="E1086">
        <v>2</v>
      </c>
      <c r="F1086">
        <v>6660</v>
      </c>
      <c r="G1086">
        <v>110</v>
      </c>
      <c r="H1086">
        <v>264</v>
      </c>
      <c r="I1086">
        <v>31</v>
      </c>
      <c r="J1086">
        <v>2</v>
      </c>
      <c r="K1086">
        <v>2</v>
      </c>
      <c r="L1086">
        <v>1</v>
      </c>
      <c r="M1086">
        <v>25</v>
      </c>
      <c r="N1086">
        <v>1492.65</v>
      </c>
      <c r="O1086">
        <v>0</v>
      </c>
      <c r="P10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86" t="str">
        <f>IF(Table1[[#This Row],[Fraud_Score]]&gt;=6, "High Risk",IF(Table1[[#This Row],[Fraud_Score]]&gt;=3, "Medium Risk", "Low Risk"))</f>
        <v>Low Risk</v>
      </c>
      <c r="R1086">
        <f>IF(Table1[[#This Row],[Seconds of Use]]=0,0,Table1[[#This Row],[Customer Value]]/Table1[[#This Row],[Seconds of Use]]*100)</f>
        <v>22.412162162162165</v>
      </c>
    </row>
    <row r="1087" spans="1:18" x14ac:dyDescent="0.35">
      <c r="A1087" s="3" t="s">
        <v>1108</v>
      </c>
      <c r="B1087">
        <v>0</v>
      </c>
      <c r="C1087">
        <v>0</v>
      </c>
      <c r="D1087">
        <v>34</v>
      </c>
      <c r="E1087">
        <v>0</v>
      </c>
      <c r="F1087">
        <v>3413</v>
      </c>
      <c r="G1087">
        <v>76</v>
      </c>
      <c r="H1087">
        <v>0</v>
      </c>
      <c r="I1087">
        <v>26</v>
      </c>
      <c r="J1087">
        <v>2</v>
      </c>
      <c r="K1087">
        <v>1</v>
      </c>
      <c r="L1087">
        <v>1</v>
      </c>
      <c r="M1087">
        <v>25</v>
      </c>
      <c r="N1087">
        <v>157.005</v>
      </c>
      <c r="O1087">
        <v>0</v>
      </c>
      <c r="P10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7" t="str">
        <f>IF(Table1[[#This Row],[Fraud_Score]]&gt;=6, "High Risk",IF(Table1[[#This Row],[Fraud_Score]]&gt;=3, "Medium Risk", "Low Risk"))</f>
        <v>Low Risk</v>
      </c>
      <c r="R1087">
        <f>IF(Table1[[#This Row],[Seconds of Use]]=0,0,Table1[[#This Row],[Customer Value]]/Table1[[#This Row],[Seconds of Use]]*100)</f>
        <v>4.6002050981541167</v>
      </c>
    </row>
    <row r="1088" spans="1:18" x14ac:dyDescent="0.35">
      <c r="A1088" s="3" t="s">
        <v>1109</v>
      </c>
      <c r="B1088">
        <v>0</v>
      </c>
      <c r="C1088">
        <v>0</v>
      </c>
      <c r="D1088">
        <v>33</v>
      </c>
      <c r="E1088">
        <v>0</v>
      </c>
      <c r="F1088">
        <v>1360</v>
      </c>
      <c r="G1088">
        <v>38</v>
      </c>
      <c r="H1088">
        <v>31</v>
      </c>
      <c r="I1088">
        <v>18</v>
      </c>
      <c r="J1088">
        <v>3</v>
      </c>
      <c r="K1088">
        <v>1</v>
      </c>
      <c r="L1088">
        <v>2</v>
      </c>
      <c r="M1088">
        <v>30</v>
      </c>
      <c r="N1088">
        <v>179.92</v>
      </c>
      <c r="O1088">
        <v>0</v>
      </c>
      <c r="P10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8" t="str">
        <f>IF(Table1[[#This Row],[Fraud_Score]]&gt;=6, "High Risk",IF(Table1[[#This Row],[Fraud_Score]]&gt;=3, "Medium Risk", "Low Risk"))</f>
        <v>Low Risk</v>
      </c>
      <c r="R1088">
        <f>IF(Table1[[#This Row],[Seconds of Use]]=0,0,Table1[[#This Row],[Customer Value]]/Table1[[#This Row],[Seconds of Use]]*100)</f>
        <v>13.229411764705882</v>
      </c>
    </row>
    <row r="1089" spans="1:18" x14ac:dyDescent="0.35">
      <c r="A1089" s="3" t="s">
        <v>1110</v>
      </c>
      <c r="B1089">
        <v>1</v>
      </c>
      <c r="C1089">
        <v>0</v>
      </c>
      <c r="D1089">
        <v>34</v>
      </c>
      <c r="E1089">
        <v>0</v>
      </c>
      <c r="F1089">
        <v>2475</v>
      </c>
      <c r="G1089">
        <v>47</v>
      </c>
      <c r="H1089">
        <v>168</v>
      </c>
      <c r="I1089">
        <v>21</v>
      </c>
      <c r="J1089">
        <v>2</v>
      </c>
      <c r="K1089">
        <v>1</v>
      </c>
      <c r="L1089">
        <v>1</v>
      </c>
      <c r="M1089">
        <v>25</v>
      </c>
      <c r="N1089">
        <v>869.49</v>
      </c>
      <c r="O1089">
        <v>0</v>
      </c>
      <c r="P10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89" t="str">
        <f>IF(Table1[[#This Row],[Fraud_Score]]&gt;=6, "High Risk",IF(Table1[[#This Row],[Fraud_Score]]&gt;=3, "Medium Risk", "Low Risk"))</f>
        <v>Low Risk</v>
      </c>
      <c r="R1089">
        <f>IF(Table1[[#This Row],[Seconds of Use]]=0,0,Table1[[#This Row],[Customer Value]]/Table1[[#This Row],[Seconds of Use]]*100)</f>
        <v>35.130909090909093</v>
      </c>
    </row>
    <row r="1090" spans="1:18" x14ac:dyDescent="0.35">
      <c r="A1090" s="3" t="s">
        <v>1111</v>
      </c>
      <c r="B1090">
        <v>0</v>
      </c>
      <c r="C1090">
        <v>1</v>
      </c>
      <c r="D1090">
        <v>25</v>
      </c>
      <c r="E1090">
        <v>0</v>
      </c>
      <c r="F1090">
        <v>1010</v>
      </c>
      <c r="G1090">
        <v>30</v>
      </c>
      <c r="H1090">
        <v>186</v>
      </c>
      <c r="I1090">
        <v>9</v>
      </c>
      <c r="J1090">
        <v>2</v>
      </c>
      <c r="K1090">
        <v>2</v>
      </c>
      <c r="L1090">
        <v>1</v>
      </c>
      <c r="M1090">
        <v>25</v>
      </c>
      <c r="N1090">
        <v>883.8</v>
      </c>
      <c r="O1090">
        <v>1</v>
      </c>
      <c r="P10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90" t="str">
        <f>IF(Table1[[#This Row],[Fraud_Score]]&gt;=6, "High Risk",IF(Table1[[#This Row],[Fraud_Score]]&gt;=3, "Medium Risk", "Low Risk"))</f>
        <v>Medium Risk</v>
      </c>
      <c r="R1090">
        <f>IF(Table1[[#This Row],[Seconds of Use]]=0,0,Table1[[#This Row],[Customer Value]]/Table1[[#This Row],[Seconds of Use]]*100)</f>
        <v>87.504950495049499</v>
      </c>
    </row>
    <row r="1091" spans="1:18" x14ac:dyDescent="0.35">
      <c r="A1091" s="3" t="s">
        <v>1112</v>
      </c>
      <c r="B1091">
        <v>0</v>
      </c>
      <c r="C1091">
        <v>0</v>
      </c>
      <c r="D1091">
        <v>24</v>
      </c>
      <c r="E1091">
        <v>0</v>
      </c>
      <c r="F1091">
        <v>1263</v>
      </c>
      <c r="G1091">
        <v>33</v>
      </c>
      <c r="H1091">
        <v>23</v>
      </c>
      <c r="I1091">
        <v>66</v>
      </c>
      <c r="J1091">
        <v>4</v>
      </c>
      <c r="K1091">
        <v>1</v>
      </c>
      <c r="L1091">
        <v>1</v>
      </c>
      <c r="M1091">
        <v>45</v>
      </c>
      <c r="N1091">
        <v>89.9</v>
      </c>
      <c r="O1091">
        <v>0</v>
      </c>
      <c r="P10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091" t="str">
        <f>IF(Table1[[#This Row],[Fraud_Score]]&gt;=6, "High Risk",IF(Table1[[#This Row],[Fraud_Score]]&gt;=3, "Medium Risk", "Low Risk"))</f>
        <v>Low Risk</v>
      </c>
      <c r="R1091">
        <f>IF(Table1[[#This Row],[Seconds of Use]]=0,0,Table1[[#This Row],[Customer Value]]/Table1[[#This Row],[Seconds of Use]]*100)</f>
        <v>7.1179730799683298</v>
      </c>
    </row>
    <row r="1092" spans="1:18" x14ac:dyDescent="0.35">
      <c r="A1092" s="3" t="s">
        <v>1113</v>
      </c>
      <c r="B1092">
        <v>6</v>
      </c>
      <c r="C1092">
        <v>0</v>
      </c>
      <c r="D1092">
        <v>25</v>
      </c>
      <c r="E1092">
        <v>0</v>
      </c>
      <c r="F1092">
        <v>395</v>
      </c>
      <c r="G1092">
        <v>19</v>
      </c>
      <c r="H1092">
        <v>3</v>
      </c>
      <c r="I1092">
        <v>5</v>
      </c>
      <c r="J1092">
        <v>2</v>
      </c>
      <c r="K1092">
        <v>1</v>
      </c>
      <c r="L1092">
        <v>2</v>
      </c>
      <c r="M1092">
        <v>25</v>
      </c>
      <c r="N1092">
        <v>32.130000000000003</v>
      </c>
      <c r="O1092">
        <v>0</v>
      </c>
      <c r="P10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92" t="str">
        <f>IF(Table1[[#This Row],[Fraud_Score]]&gt;=6, "High Risk",IF(Table1[[#This Row],[Fraud_Score]]&gt;=3, "Medium Risk", "Low Risk"))</f>
        <v>Low Risk</v>
      </c>
      <c r="R1092">
        <f>IF(Table1[[#This Row],[Seconds of Use]]=0,0,Table1[[#This Row],[Customer Value]]/Table1[[#This Row],[Seconds of Use]]*100)</f>
        <v>8.1341772151898741</v>
      </c>
    </row>
    <row r="1093" spans="1:18" x14ac:dyDescent="0.35">
      <c r="A1093" s="3" t="s">
        <v>1114</v>
      </c>
      <c r="B1093">
        <v>0</v>
      </c>
      <c r="C1093">
        <v>0</v>
      </c>
      <c r="D1093">
        <v>24</v>
      </c>
      <c r="E1093">
        <v>0</v>
      </c>
      <c r="F1093">
        <v>520</v>
      </c>
      <c r="G1093">
        <v>4</v>
      </c>
      <c r="H1093">
        <v>14</v>
      </c>
      <c r="I1093">
        <v>1</v>
      </c>
      <c r="J1093">
        <v>4</v>
      </c>
      <c r="K1093">
        <v>1</v>
      </c>
      <c r="L1093">
        <v>2</v>
      </c>
      <c r="M1093">
        <v>45</v>
      </c>
      <c r="N1093">
        <v>48.1</v>
      </c>
      <c r="O1093">
        <v>0</v>
      </c>
      <c r="P10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93" t="str">
        <f>IF(Table1[[#This Row],[Fraud_Score]]&gt;=6, "High Risk",IF(Table1[[#This Row],[Fraud_Score]]&gt;=3, "Medium Risk", "Low Risk"))</f>
        <v>Low Risk</v>
      </c>
      <c r="R1093">
        <f>IF(Table1[[#This Row],[Seconds of Use]]=0,0,Table1[[#This Row],[Customer Value]]/Table1[[#This Row],[Seconds of Use]]*100)</f>
        <v>9.25</v>
      </c>
    </row>
    <row r="1094" spans="1:18" x14ac:dyDescent="0.35">
      <c r="A1094" s="3" t="s">
        <v>1115</v>
      </c>
      <c r="B1094">
        <v>5</v>
      </c>
      <c r="C1094">
        <v>0</v>
      </c>
      <c r="D1094">
        <v>23</v>
      </c>
      <c r="E1094">
        <v>0</v>
      </c>
      <c r="F1094">
        <v>920</v>
      </c>
      <c r="G1094">
        <v>26</v>
      </c>
      <c r="H1094">
        <v>12</v>
      </c>
      <c r="I1094">
        <v>11</v>
      </c>
      <c r="J1094">
        <v>2</v>
      </c>
      <c r="K1094">
        <v>1</v>
      </c>
      <c r="L1094">
        <v>1</v>
      </c>
      <c r="M1094">
        <v>25</v>
      </c>
      <c r="N1094">
        <v>96.57</v>
      </c>
      <c r="O1094">
        <v>0</v>
      </c>
      <c r="P10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94" t="str">
        <f>IF(Table1[[#This Row],[Fraud_Score]]&gt;=6, "High Risk",IF(Table1[[#This Row],[Fraud_Score]]&gt;=3, "Medium Risk", "Low Risk"))</f>
        <v>Low Risk</v>
      </c>
      <c r="R1094">
        <f>IF(Table1[[#This Row],[Seconds of Use]]=0,0,Table1[[#This Row],[Customer Value]]/Table1[[#This Row],[Seconds of Use]]*100)</f>
        <v>10.496739130434781</v>
      </c>
    </row>
    <row r="1095" spans="1:18" x14ac:dyDescent="0.35">
      <c r="A1095" s="3" t="s">
        <v>1116</v>
      </c>
      <c r="B1095">
        <v>0</v>
      </c>
      <c r="C1095">
        <v>0</v>
      </c>
      <c r="D1095">
        <v>23</v>
      </c>
      <c r="E1095">
        <v>0</v>
      </c>
      <c r="F1095">
        <v>2920</v>
      </c>
      <c r="G1095">
        <v>55</v>
      </c>
      <c r="H1095">
        <v>1</v>
      </c>
      <c r="I1095">
        <v>21</v>
      </c>
      <c r="J1095">
        <v>3</v>
      </c>
      <c r="K1095">
        <v>1</v>
      </c>
      <c r="L1095">
        <v>1</v>
      </c>
      <c r="M1095">
        <v>30</v>
      </c>
      <c r="N1095">
        <v>123</v>
      </c>
      <c r="O1095">
        <v>0</v>
      </c>
      <c r="P10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95" t="str">
        <f>IF(Table1[[#This Row],[Fraud_Score]]&gt;=6, "High Risk",IF(Table1[[#This Row],[Fraud_Score]]&gt;=3, "Medium Risk", "Low Risk"))</f>
        <v>Low Risk</v>
      </c>
      <c r="R1095">
        <f>IF(Table1[[#This Row],[Seconds of Use]]=0,0,Table1[[#This Row],[Customer Value]]/Table1[[#This Row],[Seconds of Use]]*100)</f>
        <v>4.2123287671232879</v>
      </c>
    </row>
    <row r="1096" spans="1:18" x14ac:dyDescent="0.35">
      <c r="A1096" s="3" t="s">
        <v>1117</v>
      </c>
      <c r="B1096">
        <v>0</v>
      </c>
      <c r="C1096">
        <v>0</v>
      </c>
      <c r="D1096">
        <v>16</v>
      </c>
      <c r="E1096">
        <v>0</v>
      </c>
      <c r="F1096">
        <v>1390</v>
      </c>
      <c r="G1096">
        <v>20</v>
      </c>
      <c r="H1096">
        <v>21</v>
      </c>
      <c r="I1096">
        <v>12</v>
      </c>
      <c r="J1096">
        <v>2</v>
      </c>
      <c r="K1096">
        <v>1</v>
      </c>
      <c r="L1096">
        <v>1</v>
      </c>
      <c r="M1096">
        <v>25</v>
      </c>
      <c r="N1096">
        <v>157.94999999999999</v>
      </c>
      <c r="O1096">
        <v>0</v>
      </c>
      <c r="P10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096" t="str">
        <f>IF(Table1[[#This Row],[Fraud_Score]]&gt;=6, "High Risk",IF(Table1[[#This Row],[Fraud_Score]]&gt;=3, "Medium Risk", "Low Risk"))</f>
        <v>Low Risk</v>
      </c>
      <c r="R1096">
        <f>IF(Table1[[#This Row],[Seconds of Use]]=0,0,Table1[[#This Row],[Customer Value]]/Table1[[#This Row],[Seconds of Use]]*100)</f>
        <v>11.363309352517986</v>
      </c>
    </row>
    <row r="1097" spans="1:18" x14ac:dyDescent="0.35">
      <c r="A1097" s="3" t="s">
        <v>1118</v>
      </c>
      <c r="B1097">
        <v>11</v>
      </c>
      <c r="C1097">
        <v>0</v>
      </c>
      <c r="D1097">
        <v>15</v>
      </c>
      <c r="E1097">
        <v>0</v>
      </c>
      <c r="F1097">
        <v>6088</v>
      </c>
      <c r="G1097">
        <v>135</v>
      </c>
      <c r="H1097">
        <v>78</v>
      </c>
      <c r="I1097">
        <v>40</v>
      </c>
      <c r="J1097">
        <v>1</v>
      </c>
      <c r="K1097">
        <v>2</v>
      </c>
      <c r="L1097">
        <v>1</v>
      </c>
      <c r="M1097">
        <v>15</v>
      </c>
      <c r="N1097">
        <v>771.26499999999999</v>
      </c>
      <c r="O1097">
        <v>0</v>
      </c>
      <c r="P10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97" t="str">
        <f>IF(Table1[[#This Row],[Fraud_Score]]&gt;=6, "High Risk",IF(Table1[[#This Row],[Fraud_Score]]&gt;=3, "Medium Risk", "Low Risk"))</f>
        <v>Medium Risk</v>
      </c>
      <c r="R1097">
        <f>IF(Table1[[#This Row],[Seconds of Use]]=0,0,Table1[[#This Row],[Customer Value]]/Table1[[#This Row],[Seconds of Use]]*100)</f>
        <v>12.66861038107753</v>
      </c>
    </row>
    <row r="1098" spans="1:18" x14ac:dyDescent="0.35">
      <c r="A1098" s="3" t="s">
        <v>1119</v>
      </c>
      <c r="B1098">
        <v>7</v>
      </c>
      <c r="C1098">
        <v>0</v>
      </c>
      <c r="D1098">
        <v>13</v>
      </c>
      <c r="E1098">
        <v>0</v>
      </c>
      <c r="F1098">
        <v>8628</v>
      </c>
      <c r="G1098">
        <v>165</v>
      </c>
      <c r="H1098">
        <v>66</v>
      </c>
      <c r="I1098">
        <v>38</v>
      </c>
      <c r="J1098">
        <v>4</v>
      </c>
      <c r="K1098">
        <v>1</v>
      </c>
      <c r="L1098">
        <v>1</v>
      </c>
      <c r="M1098">
        <v>45</v>
      </c>
      <c r="N1098">
        <v>384.82499999999999</v>
      </c>
      <c r="O1098">
        <v>0</v>
      </c>
      <c r="P10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098" t="str">
        <f>IF(Table1[[#This Row],[Fraud_Score]]&gt;=6, "High Risk",IF(Table1[[#This Row],[Fraud_Score]]&gt;=3, "Medium Risk", "Low Risk"))</f>
        <v>Medium Risk</v>
      </c>
      <c r="R1098">
        <f>IF(Table1[[#This Row],[Seconds of Use]]=0,0,Table1[[#This Row],[Customer Value]]/Table1[[#This Row],[Seconds of Use]]*100)</f>
        <v>4.4601877607788598</v>
      </c>
    </row>
    <row r="1099" spans="1:18" x14ac:dyDescent="0.35">
      <c r="A1099" s="3" t="s">
        <v>1120</v>
      </c>
      <c r="B1099">
        <v>3</v>
      </c>
      <c r="C1099">
        <v>0</v>
      </c>
      <c r="D1099">
        <v>14</v>
      </c>
      <c r="E1099">
        <v>2</v>
      </c>
      <c r="F1099">
        <v>2548</v>
      </c>
      <c r="G1099">
        <v>39</v>
      </c>
      <c r="H1099">
        <v>24</v>
      </c>
      <c r="I1099">
        <v>17</v>
      </c>
      <c r="J1099">
        <v>3</v>
      </c>
      <c r="K1099">
        <v>1</v>
      </c>
      <c r="L1099">
        <v>1</v>
      </c>
      <c r="M1099">
        <v>30</v>
      </c>
      <c r="N1099">
        <v>199.48</v>
      </c>
      <c r="O1099">
        <v>0</v>
      </c>
      <c r="P10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099" t="str">
        <f>IF(Table1[[#This Row],[Fraud_Score]]&gt;=6, "High Risk",IF(Table1[[#This Row],[Fraud_Score]]&gt;=3, "Medium Risk", "Low Risk"))</f>
        <v>Low Risk</v>
      </c>
      <c r="R1099">
        <f>IF(Table1[[#This Row],[Seconds of Use]]=0,0,Table1[[#This Row],[Customer Value]]/Table1[[#This Row],[Seconds of Use]]*100)</f>
        <v>7.8288854003139718</v>
      </c>
    </row>
    <row r="1100" spans="1:18" x14ac:dyDescent="0.35">
      <c r="A1100" s="3" t="s">
        <v>1121</v>
      </c>
      <c r="B1100">
        <v>0</v>
      </c>
      <c r="C1100">
        <v>0</v>
      </c>
      <c r="D1100">
        <v>7</v>
      </c>
      <c r="E1100">
        <v>0</v>
      </c>
      <c r="F1100">
        <v>4085</v>
      </c>
      <c r="G1100">
        <v>34</v>
      </c>
      <c r="H1100">
        <v>208</v>
      </c>
      <c r="I1100">
        <v>8</v>
      </c>
      <c r="J1100">
        <v>3</v>
      </c>
      <c r="K1100">
        <v>1</v>
      </c>
      <c r="L1100">
        <v>1</v>
      </c>
      <c r="M1100">
        <v>30</v>
      </c>
      <c r="N1100">
        <v>996.76</v>
      </c>
      <c r="O1100">
        <v>0</v>
      </c>
      <c r="P11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00" t="str">
        <f>IF(Table1[[#This Row],[Fraud_Score]]&gt;=6, "High Risk",IF(Table1[[#This Row],[Fraud_Score]]&gt;=3, "Medium Risk", "Low Risk"))</f>
        <v>Low Risk</v>
      </c>
      <c r="R1100">
        <f>IF(Table1[[#This Row],[Seconds of Use]]=0,0,Table1[[#This Row],[Customer Value]]/Table1[[#This Row],[Seconds of Use]]*100)</f>
        <v>24.400489596083229</v>
      </c>
    </row>
    <row r="1101" spans="1:18" x14ac:dyDescent="0.35">
      <c r="A1101" s="3" t="s">
        <v>1122</v>
      </c>
      <c r="B1101">
        <v>0</v>
      </c>
      <c r="C1101">
        <v>1</v>
      </c>
      <c r="D1101">
        <v>7</v>
      </c>
      <c r="E1101">
        <v>0</v>
      </c>
      <c r="F1101">
        <v>1183</v>
      </c>
      <c r="G1101">
        <v>13</v>
      </c>
      <c r="H1101">
        <v>0</v>
      </c>
      <c r="I1101">
        <v>5</v>
      </c>
      <c r="J1101">
        <v>2</v>
      </c>
      <c r="K1101">
        <v>1</v>
      </c>
      <c r="L1101">
        <v>2</v>
      </c>
      <c r="M1101">
        <v>25</v>
      </c>
      <c r="N1101">
        <v>53.82</v>
      </c>
      <c r="O1101">
        <v>1</v>
      </c>
      <c r="P11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01" t="str">
        <f>IF(Table1[[#This Row],[Fraud_Score]]&gt;=6, "High Risk",IF(Table1[[#This Row],[Fraud_Score]]&gt;=3, "Medium Risk", "Low Risk"))</f>
        <v>Medium Risk</v>
      </c>
      <c r="R1101">
        <f>IF(Table1[[#This Row],[Seconds of Use]]=0,0,Table1[[#This Row],[Customer Value]]/Table1[[#This Row],[Seconds of Use]]*100)</f>
        <v>4.5494505494505493</v>
      </c>
    </row>
    <row r="1102" spans="1:18" x14ac:dyDescent="0.35">
      <c r="A1102" s="3" t="s">
        <v>1123</v>
      </c>
      <c r="B1102">
        <v>6</v>
      </c>
      <c r="C1102">
        <v>0</v>
      </c>
      <c r="D1102">
        <v>38</v>
      </c>
      <c r="E1102">
        <v>0</v>
      </c>
      <c r="F1102">
        <v>4125</v>
      </c>
      <c r="G1102">
        <v>68</v>
      </c>
      <c r="H1102">
        <v>3</v>
      </c>
      <c r="I1102">
        <v>17</v>
      </c>
      <c r="J1102">
        <v>2</v>
      </c>
      <c r="K1102">
        <v>1</v>
      </c>
      <c r="L1102">
        <v>1</v>
      </c>
      <c r="M1102">
        <v>25</v>
      </c>
      <c r="N1102">
        <v>202.185</v>
      </c>
      <c r="O1102">
        <v>0</v>
      </c>
      <c r="P11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02" t="str">
        <f>IF(Table1[[#This Row],[Fraud_Score]]&gt;=6, "High Risk",IF(Table1[[#This Row],[Fraud_Score]]&gt;=3, "Medium Risk", "Low Risk"))</f>
        <v>Low Risk</v>
      </c>
      <c r="R1102">
        <f>IF(Table1[[#This Row],[Seconds of Use]]=0,0,Table1[[#This Row],[Customer Value]]/Table1[[#This Row],[Seconds of Use]]*100)</f>
        <v>4.9014545454545457</v>
      </c>
    </row>
    <row r="1103" spans="1:18" x14ac:dyDescent="0.35">
      <c r="A1103" s="3" t="s">
        <v>1124</v>
      </c>
      <c r="B1103">
        <v>0</v>
      </c>
      <c r="C1103">
        <v>0</v>
      </c>
      <c r="D1103">
        <v>39</v>
      </c>
      <c r="E1103">
        <v>0</v>
      </c>
      <c r="F1103">
        <v>73</v>
      </c>
      <c r="G1103">
        <v>2</v>
      </c>
      <c r="H1103">
        <v>5</v>
      </c>
      <c r="I1103">
        <v>4</v>
      </c>
      <c r="J1103">
        <v>2</v>
      </c>
      <c r="K1103">
        <v>1</v>
      </c>
      <c r="L1103">
        <v>1</v>
      </c>
      <c r="M1103">
        <v>25</v>
      </c>
      <c r="N1103">
        <v>25.875</v>
      </c>
      <c r="O1103">
        <v>0</v>
      </c>
      <c r="P11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03" t="str">
        <f>IF(Table1[[#This Row],[Fraud_Score]]&gt;=6, "High Risk",IF(Table1[[#This Row],[Fraud_Score]]&gt;=3, "Medium Risk", "Low Risk"))</f>
        <v>Low Risk</v>
      </c>
      <c r="R1103">
        <f>IF(Table1[[#This Row],[Seconds of Use]]=0,0,Table1[[#This Row],[Customer Value]]/Table1[[#This Row],[Seconds of Use]]*100)</f>
        <v>35.445205479452049</v>
      </c>
    </row>
    <row r="1104" spans="1:18" x14ac:dyDescent="0.35">
      <c r="A1104" s="3" t="s">
        <v>1125</v>
      </c>
      <c r="B1104">
        <v>8</v>
      </c>
      <c r="C1104">
        <v>0</v>
      </c>
      <c r="D1104">
        <v>37</v>
      </c>
      <c r="E1104">
        <v>0</v>
      </c>
      <c r="F1104">
        <v>2208</v>
      </c>
      <c r="G1104">
        <v>57</v>
      </c>
      <c r="H1104">
        <v>357</v>
      </c>
      <c r="I1104">
        <v>24</v>
      </c>
      <c r="J1104">
        <v>2</v>
      </c>
      <c r="K1104">
        <v>1</v>
      </c>
      <c r="L1104">
        <v>1</v>
      </c>
      <c r="M1104">
        <v>25</v>
      </c>
      <c r="N1104">
        <v>1708.425</v>
      </c>
      <c r="O1104">
        <v>0</v>
      </c>
      <c r="P11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04" t="str">
        <f>IF(Table1[[#This Row],[Fraud_Score]]&gt;=6, "High Risk",IF(Table1[[#This Row],[Fraud_Score]]&gt;=3, "Medium Risk", "Low Risk"))</f>
        <v>Low Risk</v>
      </c>
      <c r="R1104">
        <f>IF(Table1[[#This Row],[Seconds of Use]]=0,0,Table1[[#This Row],[Customer Value]]/Table1[[#This Row],[Seconds of Use]]*100)</f>
        <v>77.374320652173907</v>
      </c>
    </row>
    <row r="1105" spans="1:18" x14ac:dyDescent="0.35">
      <c r="A1105" s="3" t="s">
        <v>1126</v>
      </c>
      <c r="B1105">
        <v>8</v>
      </c>
      <c r="C1105">
        <v>0</v>
      </c>
      <c r="D1105">
        <v>38</v>
      </c>
      <c r="E1105">
        <v>0</v>
      </c>
      <c r="F1105">
        <v>3953</v>
      </c>
      <c r="G1105">
        <v>63</v>
      </c>
      <c r="H1105">
        <v>0</v>
      </c>
      <c r="I1105">
        <v>35</v>
      </c>
      <c r="J1105">
        <v>1</v>
      </c>
      <c r="K1105">
        <v>1</v>
      </c>
      <c r="L1105">
        <v>1</v>
      </c>
      <c r="M1105">
        <v>15</v>
      </c>
      <c r="N1105">
        <v>220.88</v>
      </c>
      <c r="O1105">
        <v>0</v>
      </c>
      <c r="P11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05" t="str">
        <f>IF(Table1[[#This Row],[Fraud_Score]]&gt;=6, "High Risk",IF(Table1[[#This Row],[Fraud_Score]]&gt;=3, "Medium Risk", "Low Risk"))</f>
        <v>Low Risk</v>
      </c>
      <c r="R1105">
        <f>IF(Table1[[#This Row],[Seconds of Use]]=0,0,Table1[[#This Row],[Customer Value]]/Table1[[#This Row],[Seconds of Use]]*100)</f>
        <v>5.5876549456109279</v>
      </c>
    </row>
    <row r="1106" spans="1:18" x14ac:dyDescent="0.35">
      <c r="A1106" s="3" t="s">
        <v>1127</v>
      </c>
      <c r="B1106">
        <v>1</v>
      </c>
      <c r="C1106">
        <v>0</v>
      </c>
      <c r="D1106">
        <v>38</v>
      </c>
      <c r="E1106">
        <v>0</v>
      </c>
      <c r="F1106">
        <v>2148</v>
      </c>
      <c r="G1106">
        <v>55</v>
      </c>
      <c r="H1106">
        <v>0</v>
      </c>
      <c r="I1106">
        <v>33</v>
      </c>
      <c r="J1106">
        <v>1</v>
      </c>
      <c r="K1106">
        <v>1</v>
      </c>
      <c r="L1106">
        <v>1</v>
      </c>
      <c r="M1106">
        <v>15</v>
      </c>
      <c r="N1106">
        <v>121.16500000000001</v>
      </c>
      <c r="O1106">
        <v>0</v>
      </c>
      <c r="P11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06" t="str">
        <f>IF(Table1[[#This Row],[Fraud_Score]]&gt;=6, "High Risk",IF(Table1[[#This Row],[Fraud_Score]]&gt;=3, "Medium Risk", "Low Risk"))</f>
        <v>Low Risk</v>
      </c>
      <c r="R1106">
        <f>IF(Table1[[#This Row],[Seconds of Use]]=0,0,Table1[[#This Row],[Customer Value]]/Table1[[#This Row],[Seconds of Use]]*100)</f>
        <v>5.6408286778398518</v>
      </c>
    </row>
    <row r="1107" spans="1:18" x14ac:dyDescent="0.35">
      <c r="A1107" s="3" t="s">
        <v>1128</v>
      </c>
      <c r="B1107">
        <v>9</v>
      </c>
      <c r="C1107">
        <v>0</v>
      </c>
      <c r="D1107">
        <v>38</v>
      </c>
      <c r="E1107">
        <v>1</v>
      </c>
      <c r="F1107">
        <v>3530</v>
      </c>
      <c r="G1107">
        <v>79</v>
      </c>
      <c r="H1107">
        <v>30</v>
      </c>
      <c r="I1107">
        <v>28</v>
      </c>
      <c r="J1107">
        <v>3</v>
      </c>
      <c r="K1107">
        <v>1</v>
      </c>
      <c r="L1107">
        <v>1</v>
      </c>
      <c r="M1107">
        <v>30</v>
      </c>
      <c r="N1107">
        <v>264.36</v>
      </c>
      <c r="O1107">
        <v>0</v>
      </c>
      <c r="P11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07" t="str">
        <f>IF(Table1[[#This Row],[Fraud_Score]]&gt;=6, "High Risk",IF(Table1[[#This Row],[Fraud_Score]]&gt;=3, "Medium Risk", "Low Risk"))</f>
        <v>Low Risk</v>
      </c>
      <c r="R1107">
        <f>IF(Table1[[#This Row],[Seconds of Use]]=0,0,Table1[[#This Row],[Customer Value]]/Table1[[#This Row],[Seconds of Use]]*100)</f>
        <v>7.488951841359774</v>
      </c>
    </row>
    <row r="1108" spans="1:18" x14ac:dyDescent="0.35">
      <c r="A1108" s="3" t="s">
        <v>1129</v>
      </c>
      <c r="B1108">
        <v>2</v>
      </c>
      <c r="C1108">
        <v>0</v>
      </c>
      <c r="D1108">
        <v>38</v>
      </c>
      <c r="E1108">
        <v>0</v>
      </c>
      <c r="F1108">
        <v>2115</v>
      </c>
      <c r="G1108">
        <v>36</v>
      </c>
      <c r="H1108">
        <v>283</v>
      </c>
      <c r="I1108">
        <v>18</v>
      </c>
      <c r="J1108">
        <v>3</v>
      </c>
      <c r="K1108">
        <v>1</v>
      </c>
      <c r="L1108">
        <v>1</v>
      </c>
      <c r="M1108">
        <v>30</v>
      </c>
      <c r="N1108">
        <v>1218.04</v>
      </c>
      <c r="O1108">
        <v>0</v>
      </c>
      <c r="P11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08" t="str">
        <f>IF(Table1[[#This Row],[Fraud_Score]]&gt;=6, "High Risk",IF(Table1[[#This Row],[Fraud_Score]]&gt;=3, "Medium Risk", "Low Risk"))</f>
        <v>Low Risk</v>
      </c>
      <c r="R1108">
        <f>IF(Table1[[#This Row],[Seconds of Use]]=0,0,Table1[[#This Row],[Customer Value]]/Table1[[#This Row],[Seconds of Use]]*100)</f>
        <v>57.590543735224585</v>
      </c>
    </row>
    <row r="1109" spans="1:18" x14ac:dyDescent="0.35">
      <c r="A1109" s="3" t="s">
        <v>1130</v>
      </c>
      <c r="B1109">
        <v>11</v>
      </c>
      <c r="C1109">
        <v>0</v>
      </c>
      <c r="D1109">
        <v>37</v>
      </c>
      <c r="E1109">
        <v>2</v>
      </c>
      <c r="F1109">
        <v>8870</v>
      </c>
      <c r="G1109">
        <v>118</v>
      </c>
      <c r="H1109">
        <v>142</v>
      </c>
      <c r="I1109">
        <v>43</v>
      </c>
      <c r="J1109">
        <v>3</v>
      </c>
      <c r="K1109">
        <v>1</v>
      </c>
      <c r="L1109">
        <v>1</v>
      </c>
      <c r="M1109">
        <v>30</v>
      </c>
      <c r="N1109">
        <v>927.52</v>
      </c>
      <c r="O1109">
        <v>0</v>
      </c>
      <c r="P11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09" t="str">
        <f>IF(Table1[[#This Row],[Fraud_Score]]&gt;=6, "High Risk",IF(Table1[[#This Row],[Fraud_Score]]&gt;=3, "Medium Risk", "Low Risk"))</f>
        <v>Low Risk</v>
      </c>
      <c r="R1109">
        <f>IF(Table1[[#This Row],[Seconds of Use]]=0,0,Table1[[#This Row],[Customer Value]]/Table1[[#This Row],[Seconds of Use]]*100)</f>
        <v>10.456820744081172</v>
      </c>
    </row>
    <row r="1110" spans="1:18" x14ac:dyDescent="0.35">
      <c r="A1110" s="3" t="s">
        <v>1131</v>
      </c>
      <c r="B1110">
        <v>5</v>
      </c>
      <c r="C1110">
        <v>0</v>
      </c>
      <c r="D1110">
        <v>38</v>
      </c>
      <c r="E1110">
        <v>0</v>
      </c>
      <c r="F1110">
        <v>13528</v>
      </c>
      <c r="G1110">
        <v>166</v>
      </c>
      <c r="H1110">
        <v>0</v>
      </c>
      <c r="I1110">
        <v>44</v>
      </c>
      <c r="J1110">
        <v>3</v>
      </c>
      <c r="K1110">
        <v>1</v>
      </c>
      <c r="L1110">
        <v>1</v>
      </c>
      <c r="M1110">
        <v>30</v>
      </c>
      <c r="N1110">
        <v>547.76</v>
      </c>
      <c r="O1110">
        <v>0</v>
      </c>
      <c r="P11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10" t="str">
        <f>IF(Table1[[#This Row],[Fraud_Score]]&gt;=6, "High Risk",IF(Table1[[#This Row],[Fraud_Score]]&gt;=3, "Medium Risk", "Low Risk"))</f>
        <v>Medium Risk</v>
      </c>
      <c r="R1110">
        <f>IF(Table1[[#This Row],[Seconds of Use]]=0,0,Table1[[#This Row],[Customer Value]]/Table1[[#This Row],[Seconds of Use]]*100)</f>
        <v>4.0490833826138379</v>
      </c>
    </row>
    <row r="1111" spans="1:18" x14ac:dyDescent="0.35">
      <c r="A1111" s="3" t="s">
        <v>1132</v>
      </c>
      <c r="B1111">
        <v>5</v>
      </c>
      <c r="C1111">
        <v>0</v>
      </c>
      <c r="D1111">
        <v>38</v>
      </c>
      <c r="E1111">
        <v>1</v>
      </c>
      <c r="F1111">
        <v>4270</v>
      </c>
      <c r="G1111">
        <v>80</v>
      </c>
      <c r="H1111">
        <v>0</v>
      </c>
      <c r="I1111">
        <v>25</v>
      </c>
      <c r="J1111">
        <v>3</v>
      </c>
      <c r="K1111">
        <v>1</v>
      </c>
      <c r="L1111">
        <v>1</v>
      </c>
      <c r="M1111">
        <v>30</v>
      </c>
      <c r="N1111">
        <v>174</v>
      </c>
      <c r="O1111">
        <v>0</v>
      </c>
      <c r="P11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11" t="str">
        <f>IF(Table1[[#This Row],[Fraud_Score]]&gt;=6, "High Risk",IF(Table1[[#This Row],[Fraud_Score]]&gt;=3, "Medium Risk", "Low Risk"))</f>
        <v>Low Risk</v>
      </c>
      <c r="R1111">
        <f>IF(Table1[[#This Row],[Seconds of Use]]=0,0,Table1[[#This Row],[Customer Value]]/Table1[[#This Row],[Seconds of Use]]*100)</f>
        <v>4.0749414519906324</v>
      </c>
    </row>
    <row r="1112" spans="1:18" x14ac:dyDescent="0.35">
      <c r="A1112" s="3" t="s">
        <v>1133</v>
      </c>
      <c r="B1112">
        <v>4</v>
      </c>
      <c r="C1112">
        <v>0</v>
      </c>
      <c r="D1112">
        <v>38</v>
      </c>
      <c r="E1112">
        <v>0</v>
      </c>
      <c r="F1112">
        <v>5673</v>
      </c>
      <c r="G1112">
        <v>92</v>
      </c>
      <c r="H1112">
        <v>5</v>
      </c>
      <c r="I1112">
        <v>12</v>
      </c>
      <c r="J1112">
        <v>2</v>
      </c>
      <c r="K1112">
        <v>1</v>
      </c>
      <c r="L1112">
        <v>1</v>
      </c>
      <c r="M1112">
        <v>25</v>
      </c>
      <c r="N1112">
        <v>281.92500000000001</v>
      </c>
      <c r="O1112">
        <v>0</v>
      </c>
      <c r="P11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12" t="str">
        <f>IF(Table1[[#This Row],[Fraud_Score]]&gt;=6, "High Risk",IF(Table1[[#This Row],[Fraud_Score]]&gt;=3, "Medium Risk", "Low Risk"))</f>
        <v>Low Risk</v>
      </c>
      <c r="R1112">
        <f>IF(Table1[[#This Row],[Seconds of Use]]=0,0,Table1[[#This Row],[Customer Value]]/Table1[[#This Row],[Seconds of Use]]*100)</f>
        <v>4.9695928080380751</v>
      </c>
    </row>
    <row r="1113" spans="1:18" x14ac:dyDescent="0.35">
      <c r="A1113" s="3" t="s">
        <v>1134</v>
      </c>
      <c r="B1113">
        <v>7</v>
      </c>
      <c r="C1113">
        <v>0</v>
      </c>
      <c r="D1113">
        <v>38</v>
      </c>
      <c r="E1113">
        <v>0</v>
      </c>
      <c r="F1113">
        <v>1993</v>
      </c>
      <c r="G1113">
        <v>51</v>
      </c>
      <c r="H1113">
        <v>6</v>
      </c>
      <c r="I1113">
        <v>17</v>
      </c>
      <c r="J1113">
        <v>3</v>
      </c>
      <c r="K1113">
        <v>1</v>
      </c>
      <c r="L1113">
        <v>1</v>
      </c>
      <c r="M1113">
        <v>30</v>
      </c>
      <c r="N1113">
        <v>105.76</v>
      </c>
      <c r="O1113">
        <v>0</v>
      </c>
      <c r="P11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13" t="str">
        <f>IF(Table1[[#This Row],[Fraud_Score]]&gt;=6, "High Risk",IF(Table1[[#This Row],[Fraud_Score]]&gt;=3, "Medium Risk", "Low Risk"))</f>
        <v>Low Risk</v>
      </c>
      <c r="R1113">
        <f>IF(Table1[[#This Row],[Seconds of Use]]=0,0,Table1[[#This Row],[Customer Value]]/Table1[[#This Row],[Seconds of Use]]*100)</f>
        <v>5.3065730055193185</v>
      </c>
    </row>
    <row r="1114" spans="1:18" x14ac:dyDescent="0.35">
      <c r="A1114" s="3" t="s">
        <v>1135</v>
      </c>
      <c r="B1114">
        <v>23</v>
      </c>
      <c r="C1114">
        <v>0</v>
      </c>
      <c r="D1114">
        <v>38</v>
      </c>
      <c r="E1114">
        <v>3</v>
      </c>
      <c r="F1114">
        <v>14895</v>
      </c>
      <c r="G1114">
        <v>222</v>
      </c>
      <c r="H1114">
        <v>52</v>
      </c>
      <c r="I1114">
        <v>32</v>
      </c>
      <c r="J1114">
        <v>3</v>
      </c>
      <c r="K1114">
        <v>1</v>
      </c>
      <c r="L1114">
        <v>1</v>
      </c>
      <c r="M1114">
        <v>30</v>
      </c>
      <c r="N1114">
        <v>812.68</v>
      </c>
      <c r="O1114">
        <v>0</v>
      </c>
      <c r="P11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114" t="str">
        <f>IF(Table1[[#This Row],[Fraud_Score]]&gt;=6, "High Risk",IF(Table1[[#This Row],[Fraud_Score]]&gt;=3, "Medium Risk", "Low Risk"))</f>
        <v>Medium Risk</v>
      </c>
      <c r="R1114">
        <f>IF(Table1[[#This Row],[Seconds of Use]]=0,0,Table1[[#This Row],[Customer Value]]/Table1[[#This Row],[Seconds of Use]]*100)</f>
        <v>5.4560590802282638</v>
      </c>
    </row>
    <row r="1115" spans="1:18" x14ac:dyDescent="0.35">
      <c r="A1115" s="3" t="s">
        <v>1136</v>
      </c>
      <c r="B1115">
        <v>2</v>
      </c>
      <c r="C1115">
        <v>0</v>
      </c>
      <c r="D1115">
        <v>38</v>
      </c>
      <c r="E1115">
        <v>1</v>
      </c>
      <c r="F1115">
        <v>2850</v>
      </c>
      <c r="G1115">
        <v>24</v>
      </c>
      <c r="H1115">
        <v>481</v>
      </c>
      <c r="I1115">
        <v>8</v>
      </c>
      <c r="J1115">
        <v>3</v>
      </c>
      <c r="K1115">
        <v>1</v>
      </c>
      <c r="L1115">
        <v>1</v>
      </c>
      <c r="M1115">
        <v>30</v>
      </c>
      <c r="N1115">
        <v>2038.96</v>
      </c>
      <c r="O1115">
        <v>0</v>
      </c>
      <c r="P11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15" t="str">
        <f>IF(Table1[[#This Row],[Fraud_Score]]&gt;=6, "High Risk",IF(Table1[[#This Row],[Fraud_Score]]&gt;=3, "Medium Risk", "Low Risk"))</f>
        <v>Low Risk</v>
      </c>
      <c r="R1115">
        <f>IF(Table1[[#This Row],[Seconds of Use]]=0,0,Table1[[#This Row],[Customer Value]]/Table1[[#This Row],[Seconds of Use]]*100)</f>
        <v>71.542456140350879</v>
      </c>
    </row>
    <row r="1116" spans="1:18" x14ac:dyDescent="0.35">
      <c r="A1116" s="3" t="s">
        <v>1137</v>
      </c>
      <c r="B1116">
        <v>7</v>
      </c>
      <c r="C1116">
        <v>0</v>
      </c>
      <c r="D1116">
        <v>37</v>
      </c>
      <c r="E1116">
        <v>0</v>
      </c>
      <c r="F1116">
        <v>15240</v>
      </c>
      <c r="G1116">
        <v>179</v>
      </c>
      <c r="H1116">
        <v>148</v>
      </c>
      <c r="I1116">
        <v>30</v>
      </c>
      <c r="J1116">
        <v>2</v>
      </c>
      <c r="K1116">
        <v>1</v>
      </c>
      <c r="L1116">
        <v>1</v>
      </c>
      <c r="M1116">
        <v>25</v>
      </c>
      <c r="N1116">
        <v>1359.855</v>
      </c>
      <c r="O1116">
        <v>0</v>
      </c>
      <c r="P11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16" t="str">
        <f>IF(Table1[[#This Row],[Fraud_Score]]&gt;=6, "High Risk",IF(Table1[[#This Row],[Fraud_Score]]&gt;=3, "Medium Risk", "Low Risk"))</f>
        <v>Medium Risk</v>
      </c>
      <c r="R1116">
        <f>IF(Table1[[#This Row],[Seconds of Use]]=0,0,Table1[[#This Row],[Customer Value]]/Table1[[#This Row],[Seconds of Use]]*100)</f>
        <v>8.9229330708661418</v>
      </c>
    </row>
    <row r="1117" spans="1:18" x14ac:dyDescent="0.35">
      <c r="A1117" s="3" t="s">
        <v>1138</v>
      </c>
      <c r="B1117">
        <v>1</v>
      </c>
      <c r="C1117">
        <v>0</v>
      </c>
      <c r="D1117">
        <v>37</v>
      </c>
      <c r="E1117">
        <v>1</v>
      </c>
      <c r="F1117">
        <v>6255</v>
      </c>
      <c r="G1117">
        <v>83</v>
      </c>
      <c r="H1117">
        <v>184</v>
      </c>
      <c r="I1117">
        <v>26</v>
      </c>
      <c r="J1117">
        <v>3</v>
      </c>
      <c r="K1117">
        <v>1</v>
      </c>
      <c r="L1117">
        <v>1</v>
      </c>
      <c r="M1117">
        <v>30</v>
      </c>
      <c r="N1117">
        <v>989.52</v>
      </c>
      <c r="O1117">
        <v>0</v>
      </c>
      <c r="P11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17" t="str">
        <f>IF(Table1[[#This Row],[Fraud_Score]]&gt;=6, "High Risk",IF(Table1[[#This Row],[Fraud_Score]]&gt;=3, "Medium Risk", "Low Risk"))</f>
        <v>Low Risk</v>
      </c>
      <c r="R1117">
        <f>IF(Table1[[#This Row],[Seconds of Use]]=0,0,Table1[[#This Row],[Customer Value]]/Table1[[#This Row],[Seconds of Use]]*100)</f>
        <v>15.819664268585132</v>
      </c>
    </row>
    <row r="1118" spans="1:18" x14ac:dyDescent="0.35">
      <c r="A1118" s="3" t="s">
        <v>1139</v>
      </c>
      <c r="B1118">
        <v>0</v>
      </c>
      <c r="C1118">
        <v>0</v>
      </c>
      <c r="D1118">
        <v>37</v>
      </c>
      <c r="E1118">
        <v>0</v>
      </c>
      <c r="F1118">
        <v>630</v>
      </c>
      <c r="G1118">
        <v>11</v>
      </c>
      <c r="H1118">
        <v>0</v>
      </c>
      <c r="I1118">
        <v>11</v>
      </c>
      <c r="J1118">
        <v>2</v>
      </c>
      <c r="K1118">
        <v>1</v>
      </c>
      <c r="L1118">
        <v>1</v>
      </c>
      <c r="M1118">
        <v>25</v>
      </c>
      <c r="N1118">
        <v>28.844999999999999</v>
      </c>
      <c r="O1118">
        <v>0</v>
      </c>
      <c r="P11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18" t="str">
        <f>IF(Table1[[#This Row],[Fraud_Score]]&gt;=6, "High Risk",IF(Table1[[#This Row],[Fraud_Score]]&gt;=3, "Medium Risk", "Low Risk"))</f>
        <v>Low Risk</v>
      </c>
      <c r="R1118">
        <f>IF(Table1[[#This Row],[Seconds of Use]]=0,0,Table1[[#This Row],[Customer Value]]/Table1[[#This Row],[Seconds of Use]]*100)</f>
        <v>4.5785714285714283</v>
      </c>
    </row>
    <row r="1119" spans="1:18" x14ac:dyDescent="0.35">
      <c r="A1119" s="3" t="s">
        <v>1140</v>
      </c>
      <c r="B1119">
        <v>0</v>
      </c>
      <c r="C1119">
        <v>0</v>
      </c>
      <c r="D1119">
        <v>38</v>
      </c>
      <c r="E1119">
        <v>0</v>
      </c>
      <c r="F1119">
        <v>465</v>
      </c>
      <c r="G1119">
        <v>11</v>
      </c>
      <c r="H1119">
        <v>11</v>
      </c>
      <c r="I1119">
        <v>8</v>
      </c>
      <c r="J1119">
        <v>2</v>
      </c>
      <c r="K1119">
        <v>1</v>
      </c>
      <c r="L1119">
        <v>1</v>
      </c>
      <c r="M1119">
        <v>25</v>
      </c>
      <c r="N1119">
        <v>70.92</v>
      </c>
      <c r="O1119">
        <v>0</v>
      </c>
      <c r="P11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19" t="str">
        <f>IF(Table1[[#This Row],[Fraud_Score]]&gt;=6, "High Risk",IF(Table1[[#This Row],[Fraud_Score]]&gt;=3, "Medium Risk", "Low Risk"))</f>
        <v>Low Risk</v>
      </c>
      <c r="R1119">
        <f>IF(Table1[[#This Row],[Seconds of Use]]=0,0,Table1[[#This Row],[Customer Value]]/Table1[[#This Row],[Seconds of Use]]*100)</f>
        <v>15.251612903225805</v>
      </c>
    </row>
    <row r="1120" spans="1:18" x14ac:dyDescent="0.35">
      <c r="A1120" s="3" t="s">
        <v>1141</v>
      </c>
      <c r="B1120">
        <v>0</v>
      </c>
      <c r="C1120">
        <v>0</v>
      </c>
      <c r="D1120">
        <v>37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2</v>
      </c>
      <c r="K1120">
        <v>1</v>
      </c>
      <c r="L1120">
        <v>1</v>
      </c>
      <c r="M1120">
        <v>25</v>
      </c>
      <c r="N1120">
        <v>0</v>
      </c>
      <c r="O1120">
        <v>1</v>
      </c>
      <c r="P11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20" t="str">
        <f>IF(Table1[[#This Row],[Fraud_Score]]&gt;=6, "High Risk",IF(Table1[[#This Row],[Fraud_Score]]&gt;=3, "Medium Risk", "Low Risk"))</f>
        <v>Low Risk</v>
      </c>
      <c r="R1120">
        <f>IF(Table1[[#This Row],[Seconds of Use]]=0,0,Table1[[#This Row],[Customer Value]]/Table1[[#This Row],[Seconds of Use]]*100)</f>
        <v>0</v>
      </c>
    </row>
    <row r="1121" spans="1:18" x14ac:dyDescent="0.35">
      <c r="A1121" s="3" t="s">
        <v>1142</v>
      </c>
      <c r="B1121">
        <v>1</v>
      </c>
      <c r="C1121">
        <v>0</v>
      </c>
      <c r="D1121">
        <v>37</v>
      </c>
      <c r="E1121">
        <v>0</v>
      </c>
      <c r="F1121">
        <v>7263</v>
      </c>
      <c r="G1121">
        <v>124</v>
      </c>
      <c r="H1121">
        <v>382</v>
      </c>
      <c r="I1121">
        <v>43</v>
      </c>
      <c r="J1121">
        <v>2</v>
      </c>
      <c r="K1121">
        <v>1</v>
      </c>
      <c r="L1121">
        <v>1</v>
      </c>
      <c r="M1121">
        <v>25</v>
      </c>
      <c r="N1121">
        <v>2051.415</v>
      </c>
      <c r="O1121">
        <v>0</v>
      </c>
      <c r="P11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21" t="str">
        <f>IF(Table1[[#This Row],[Fraud_Score]]&gt;=6, "High Risk",IF(Table1[[#This Row],[Fraud_Score]]&gt;=3, "Medium Risk", "Low Risk"))</f>
        <v>Low Risk</v>
      </c>
      <c r="R1121">
        <f>IF(Table1[[#This Row],[Seconds of Use]]=0,0,Table1[[#This Row],[Customer Value]]/Table1[[#This Row],[Seconds of Use]]*100)</f>
        <v>28.244733581164805</v>
      </c>
    </row>
    <row r="1122" spans="1:18" x14ac:dyDescent="0.35">
      <c r="A1122" s="3" t="s">
        <v>1143</v>
      </c>
      <c r="B1122">
        <v>5</v>
      </c>
      <c r="C1122">
        <v>0</v>
      </c>
      <c r="D1122">
        <v>37</v>
      </c>
      <c r="E1122">
        <v>1</v>
      </c>
      <c r="F1122">
        <v>11220</v>
      </c>
      <c r="G1122">
        <v>151</v>
      </c>
      <c r="H1122">
        <v>9</v>
      </c>
      <c r="I1122">
        <v>47</v>
      </c>
      <c r="J1122">
        <v>3</v>
      </c>
      <c r="K1122">
        <v>1</v>
      </c>
      <c r="L1122">
        <v>1</v>
      </c>
      <c r="M1122">
        <v>30</v>
      </c>
      <c r="N1122">
        <v>490.84</v>
      </c>
      <c r="O1122">
        <v>0</v>
      </c>
      <c r="P11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22" t="str">
        <f>IF(Table1[[#This Row],[Fraud_Score]]&gt;=6, "High Risk",IF(Table1[[#This Row],[Fraud_Score]]&gt;=3, "Medium Risk", "Low Risk"))</f>
        <v>Low Risk</v>
      </c>
      <c r="R1122">
        <f>IF(Table1[[#This Row],[Seconds of Use]]=0,0,Table1[[#This Row],[Customer Value]]/Table1[[#This Row],[Seconds of Use]]*100)</f>
        <v>4.3746880570409976</v>
      </c>
    </row>
    <row r="1123" spans="1:18" x14ac:dyDescent="0.35">
      <c r="A1123" s="3" t="s">
        <v>1144</v>
      </c>
      <c r="B1123">
        <v>6</v>
      </c>
      <c r="C1123">
        <v>0</v>
      </c>
      <c r="D1123">
        <v>37</v>
      </c>
      <c r="E1123">
        <v>1</v>
      </c>
      <c r="F1123">
        <v>6473</v>
      </c>
      <c r="G1123">
        <v>72</v>
      </c>
      <c r="H1123">
        <v>106</v>
      </c>
      <c r="I1123">
        <v>37</v>
      </c>
      <c r="J1123">
        <v>2</v>
      </c>
      <c r="K1123">
        <v>1</v>
      </c>
      <c r="L1123">
        <v>1</v>
      </c>
      <c r="M1123">
        <v>25</v>
      </c>
      <c r="N1123">
        <v>771.52499999999998</v>
      </c>
      <c r="O1123">
        <v>0</v>
      </c>
      <c r="P11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23" t="str">
        <f>IF(Table1[[#This Row],[Fraud_Score]]&gt;=6, "High Risk",IF(Table1[[#This Row],[Fraud_Score]]&gt;=3, "Medium Risk", "Low Risk"))</f>
        <v>Low Risk</v>
      </c>
      <c r="R1123">
        <f>IF(Table1[[#This Row],[Seconds of Use]]=0,0,Table1[[#This Row],[Customer Value]]/Table1[[#This Row],[Seconds of Use]]*100)</f>
        <v>11.919125598640507</v>
      </c>
    </row>
    <row r="1124" spans="1:18" x14ac:dyDescent="0.35">
      <c r="A1124" s="3" t="s">
        <v>1145</v>
      </c>
      <c r="B1124">
        <v>21</v>
      </c>
      <c r="C1124">
        <v>1</v>
      </c>
      <c r="D1124">
        <v>33</v>
      </c>
      <c r="E1124">
        <v>0</v>
      </c>
      <c r="F1124">
        <v>710</v>
      </c>
      <c r="G1124">
        <v>44</v>
      </c>
      <c r="H1124">
        <v>14</v>
      </c>
      <c r="I1124">
        <v>17</v>
      </c>
      <c r="J1124">
        <v>2</v>
      </c>
      <c r="K1124">
        <v>1</v>
      </c>
      <c r="L1124">
        <v>1</v>
      </c>
      <c r="M1124">
        <v>25</v>
      </c>
      <c r="N1124">
        <v>96.93</v>
      </c>
      <c r="O1124">
        <v>1</v>
      </c>
      <c r="P11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124" t="str">
        <f>IF(Table1[[#This Row],[Fraud_Score]]&gt;=6, "High Risk",IF(Table1[[#This Row],[Fraud_Score]]&gt;=3, "Medium Risk", "Low Risk"))</f>
        <v>Medium Risk</v>
      </c>
      <c r="R1124">
        <f>IF(Table1[[#This Row],[Seconds of Use]]=0,0,Table1[[#This Row],[Customer Value]]/Table1[[#This Row],[Seconds of Use]]*100)</f>
        <v>13.652112676056339</v>
      </c>
    </row>
    <row r="1125" spans="1:18" x14ac:dyDescent="0.35">
      <c r="A1125" s="3" t="s">
        <v>1146</v>
      </c>
      <c r="B1125">
        <v>19</v>
      </c>
      <c r="C1125">
        <v>0</v>
      </c>
      <c r="D1125">
        <v>36</v>
      </c>
      <c r="E1125">
        <v>8</v>
      </c>
      <c r="F1125">
        <v>10190</v>
      </c>
      <c r="G1125">
        <v>90</v>
      </c>
      <c r="H1125">
        <v>0</v>
      </c>
      <c r="I1125">
        <v>42</v>
      </c>
      <c r="J1125">
        <v>4</v>
      </c>
      <c r="K1125">
        <v>1</v>
      </c>
      <c r="L1125">
        <v>1</v>
      </c>
      <c r="M1125">
        <v>45</v>
      </c>
      <c r="N1125">
        <v>257</v>
      </c>
      <c r="O1125">
        <v>0</v>
      </c>
      <c r="P11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25" t="str">
        <f>IF(Table1[[#This Row],[Fraud_Score]]&gt;=6, "High Risk",IF(Table1[[#This Row],[Fraud_Score]]&gt;=3, "Medium Risk", "Low Risk"))</f>
        <v>Low Risk</v>
      </c>
      <c r="R1125">
        <f>IF(Table1[[#This Row],[Seconds of Use]]=0,0,Table1[[#This Row],[Customer Value]]/Table1[[#This Row],[Seconds of Use]]*100)</f>
        <v>2.5220804710500491</v>
      </c>
    </row>
    <row r="1126" spans="1:18" x14ac:dyDescent="0.35">
      <c r="A1126" s="3" t="s">
        <v>1147</v>
      </c>
      <c r="B1126">
        <v>11</v>
      </c>
      <c r="C1126">
        <v>1</v>
      </c>
      <c r="D1126">
        <v>36</v>
      </c>
      <c r="E1126">
        <v>1</v>
      </c>
      <c r="F1126">
        <v>5573</v>
      </c>
      <c r="G1126">
        <v>95</v>
      </c>
      <c r="H1126">
        <v>24</v>
      </c>
      <c r="I1126">
        <v>24</v>
      </c>
      <c r="J1126">
        <v>2</v>
      </c>
      <c r="K1126">
        <v>1</v>
      </c>
      <c r="L1126">
        <v>1</v>
      </c>
      <c r="M1126">
        <v>25</v>
      </c>
      <c r="N1126">
        <v>363.06</v>
      </c>
      <c r="O1126">
        <v>1</v>
      </c>
      <c r="P11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126" t="str">
        <f>IF(Table1[[#This Row],[Fraud_Score]]&gt;=6, "High Risk",IF(Table1[[#This Row],[Fraud_Score]]&gt;=3, "Medium Risk", "Low Risk"))</f>
        <v>Medium Risk</v>
      </c>
      <c r="R1126">
        <f>IF(Table1[[#This Row],[Seconds of Use]]=0,0,Table1[[#This Row],[Customer Value]]/Table1[[#This Row],[Seconds of Use]]*100)</f>
        <v>6.5146240803875832</v>
      </c>
    </row>
    <row r="1127" spans="1:18" x14ac:dyDescent="0.35">
      <c r="A1127" s="3" t="s">
        <v>1148</v>
      </c>
      <c r="B1127">
        <v>0</v>
      </c>
      <c r="C1127">
        <v>0</v>
      </c>
      <c r="D1127">
        <v>34</v>
      </c>
      <c r="E1127">
        <v>0</v>
      </c>
      <c r="F1127">
        <v>2595</v>
      </c>
      <c r="G1127">
        <v>19</v>
      </c>
      <c r="H1127">
        <v>0</v>
      </c>
      <c r="I1127">
        <v>14</v>
      </c>
      <c r="J1127">
        <v>3</v>
      </c>
      <c r="K1127">
        <v>1</v>
      </c>
      <c r="L1127">
        <v>1</v>
      </c>
      <c r="M1127">
        <v>30</v>
      </c>
      <c r="N1127">
        <v>104.56</v>
      </c>
      <c r="O1127">
        <v>0</v>
      </c>
      <c r="P11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27" t="str">
        <f>IF(Table1[[#This Row],[Fraud_Score]]&gt;=6, "High Risk",IF(Table1[[#This Row],[Fraud_Score]]&gt;=3, "Medium Risk", "Low Risk"))</f>
        <v>Low Risk</v>
      </c>
      <c r="R1127">
        <f>IF(Table1[[#This Row],[Seconds of Use]]=0,0,Table1[[#This Row],[Customer Value]]/Table1[[#This Row],[Seconds of Use]]*100)</f>
        <v>4.0292870905587668</v>
      </c>
    </row>
    <row r="1128" spans="1:18" x14ac:dyDescent="0.35">
      <c r="A1128" s="3" t="s">
        <v>1149</v>
      </c>
      <c r="B1128">
        <v>7</v>
      </c>
      <c r="C1128">
        <v>0</v>
      </c>
      <c r="D1128">
        <v>35</v>
      </c>
      <c r="E1128">
        <v>0</v>
      </c>
      <c r="F1128">
        <v>2745</v>
      </c>
      <c r="G1128">
        <v>38</v>
      </c>
      <c r="H1128">
        <v>7</v>
      </c>
      <c r="I1128">
        <v>16</v>
      </c>
      <c r="J1128">
        <v>3</v>
      </c>
      <c r="K1128">
        <v>1</v>
      </c>
      <c r="L1128">
        <v>1</v>
      </c>
      <c r="M1128">
        <v>30</v>
      </c>
      <c r="N1128">
        <v>139.32</v>
      </c>
      <c r="O1128">
        <v>1</v>
      </c>
      <c r="P11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28" t="str">
        <f>IF(Table1[[#This Row],[Fraud_Score]]&gt;=6, "High Risk",IF(Table1[[#This Row],[Fraud_Score]]&gt;=3, "Medium Risk", "Low Risk"))</f>
        <v>Low Risk</v>
      </c>
      <c r="R1128">
        <f>IF(Table1[[#This Row],[Seconds of Use]]=0,0,Table1[[#This Row],[Customer Value]]/Table1[[#This Row],[Seconds of Use]]*100)</f>
        <v>5.0754098360655728</v>
      </c>
    </row>
    <row r="1129" spans="1:18" x14ac:dyDescent="0.35">
      <c r="A1129" s="3" t="s">
        <v>1150</v>
      </c>
      <c r="B1129">
        <v>7</v>
      </c>
      <c r="C1129">
        <v>1</v>
      </c>
      <c r="D1129">
        <v>36</v>
      </c>
      <c r="E1129">
        <v>0</v>
      </c>
      <c r="F1129">
        <v>2023</v>
      </c>
      <c r="G1129">
        <v>41</v>
      </c>
      <c r="H1129">
        <v>32</v>
      </c>
      <c r="I1129">
        <v>31</v>
      </c>
      <c r="J1129">
        <v>3</v>
      </c>
      <c r="K1129">
        <v>1</v>
      </c>
      <c r="L1129">
        <v>1</v>
      </c>
      <c r="M1129">
        <v>30</v>
      </c>
      <c r="N1129">
        <v>210.56</v>
      </c>
      <c r="O1129">
        <v>1</v>
      </c>
      <c r="P11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29" t="str">
        <f>IF(Table1[[#This Row],[Fraud_Score]]&gt;=6, "High Risk",IF(Table1[[#This Row],[Fraud_Score]]&gt;=3, "Medium Risk", "Low Risk"))</f>
        <v>Medium Risk</v>
      </c>
      <c r="R1129">
        <f>IF(Table1[[#This Row],[Seconds of Use]]=0,0,Table1[[#This Row],[Customer Value]]/Table1[[#This Row],[Seconds of Use]]*100)</f>
        <v>10.408304498269896</v>
      </c>
    </row>
    <row r="1130" spans="1:18" x14ac:dyDescent="0.35">
      <c r="A1130" s="3" t="s">
        <v>1151</v>
      </c>
      <c r="B1130">
        <v>0</v>
      </c>
      <c r="C1130">
        <v>0</v>
      </c>
      <c r="D1130">
        <v>36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</v>
      </c>
      <c r="K1130">
        <v>1</v>
      </c>
      <c r="L1130">
        <v>1</v>
      </c>
      <c r="M1130">
        <v>30</v>
      </c>
      <c r="N1130">
        <v>0</v>
      </c>
      <c r="O1130">
        <v>1</v>
      </c>
      <c r="P11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30" t="str">
        <f>IF(Table1[[#This Row],[Fraud_Score]]&gt;=6, "High Risk",IF(Table1[[#This Row],[Fraud_Score]]&gt;=3, "Medium Risk", "Low Risk"))</f>
        <v>Low Risk</v>
      </c>
      <c r="R1130">
        <f>IF(Table1[[#This Row],[Seconds of Use]]=0,0,Table1[[#This Row],[Customer Value]]/Table1[[#This Row],[Seconds of Use]]*100)</f>
        <v>0</v>
      </c>
    </row>
    <row r="1131" spans="1:18" x14ac:dyDescent="0.35">
      <c r="A1131" s="3" t="s">
        <v>1152</v>
      </c>
      <c r="B1131">
        <v>0</v>
      </c>
      <c r="C1131">
        <v>0</v>
      </c>
      <c r="D1131">
        <v>36</v>
      </c>
      <c r="E1131">
        <v>0</v>
      </c>
      <c r="F1131">
        <v>1423</v>
      </c>
      <c r="G1131">
        <v>22</v>
      </c>
      <c r="H1131">
        <v>0</v>
      </c>
      <c r="I1131">
        <v>6</v>
      </c>
      <c r="J1131">
        <v>3</v>
      </c>
      <c r="K1131">
        <v>1</v>
      </c>
      <c r="L1131">
        <v>1</v>
      </c>
      <c r="M1131">
        <v>30</v>
      </c>
      <c r="N1131">
        <v>57.8</v>
      </c>
      <c r="O1131">
        <v>0</v>
      </c>
      <c r="P11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31" t="str">
        <f>IF(Table1[[#This Row],[Fraud_Score]]&gt;=6, "High Risk",IF(Table1[[#This Row],[Fraud_Score]]&gt;=3, "Medium Risk", "Low Risk"))</f>
        <v>Low Risk</v>
      </c>
      <c r="R1131">
        <f>IF(Table1[[#This Row],[Seconds of Use]]=0,0,Table1[[#This Row],[Customer Value]]/Table1[[#This Row],[Seconds of Use]]*100)</f>
        <v>4.0618411806043566</v>
      </c>
    </row>
    <row r="1132" spans="1:18" x14ac:dyDescent="0.35">
      <c r="A1132" s="3" t="s">
        <v>1153</v>
      </c>
      <c r="B1132">
        <v>1</v>
      </c>
      <c r="C1132">
        <v>0</v>
      </c>
      <c r="D1132">
        <v>33</v>
      </c>
      <c r="E1132">
        <v>1</v>
      </c>
      <c r="F1132">
        <v>6540</v>
      </c>
      <c r="G1132">
        <v>94</v>
      </c>
      <c r="H1132">
        <v>12</v>
      </c>
      <c r="I1132">
        <v>22</v>
      </c>
      <c r="J1132">
        <v>4</v>
      </c>
      <c r="K1132">
        <v>1</v>
      </c>
      <c r="L1132">
        <v>1</v>
      </c>
      <c r="M1132">
        <v>45</v>
      </c>
      <c r="N1132">
        <v>195.85</v>
      </c>
      <c r="O1132">
        <v>0</v>
      </c>
      <c r="P11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32" t="str">
        <f>IF(Table1[[#This Row],[Fraud_Score]]&gt;=6, "High Risk",IF(Table1[[#This Row],[Fraud_Score]]&gt;=3, "Medium Risk", "Low Risk"))</f>
        <v>Low Risk</v>
      </c>
      <c r="R1132">
        <f>IF(Table1[[#This Row],[Seconds of Use]]=0,0,Table1[[#This Row],[Customer Value]]/Table1[[#This Row],[Seconds of Use]]*100)</f>
        <v>2.9946483180428132</v>
      </c>
    </row>
    <row r="1133" spans="1:18" x14ac:dyDescent="0.35">
      <c r="A1133" s="3" t="s">
        <v>1154</v>
      </c>
      <c r="B1133">
        <v>0</v>
      </c>
      <c r="C1133">
        <v>0</v>
      </c>
      <c r="D1133">
        <v>36</v>
      </c>
      <c r="E1133">
        <v>0</v>
      </c>
      <c r="F1133">
        <v>383</v>
      </c>
      <c r="G1133">
        <v>4</v>
      </c>
      <c r="H1133">
        <v>7</v>
      </c>
      <c r="I1133">
        <v>4</v>
      </c>
      <c r="J1133">
        <v>4</v>
      </c>
      <c r="K1133">
        <v>1</v>
      </c>
      <c r="L1133">
        <v>1</v>
      </c>
      <c r="M1133">
        <v>45</v>
      </c>
      <c r="N1133">
        <v>27.175000000000001</v>
      </c>
      <c r="O1133">
        <v>1</v>
      </c>
      <c r="P11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33" t="str">
        <f>IF(Table1[[#This Row],[Fraud_Score]]&gt;=6, "High Risk",IF(Table1[[#This Row],[Fraud_Score]]&gt;=3, "Medium Risk", "Low Risk"))</f>
        <v>Low Risk</v>
      </c>
      <c r="R1133">
        <f>IF(Table1[[#This Row],[Seconds of Use]]=0,0,Table1[[#This Row],[Customer Value]]/Table1[[#This Row],[Seconds of Use]]*100)</f>
        <v>7.0953002610966056</v>
      </c>
    </row>
    <row r="1134" spans="1:18" x14ac:dyDescent="0.35">
      <c r="A1134" s="3" t="s">
        <v>1155</v>
      </c>
      <c r="B1134">
        <v>0</v>
      </c>
      <c r="C1134">
        <v>0</v>
      </c>
      <c r="D1134">
        <v>36</v>
      </c>
      <c r="E1134">
        <v>1</v>
      </c>
      <c r="F1134">
        <v>93</v>
      </c>
      <c r="G1134">
        <v>1</v>
      </c>
      <c r="H1134">
        <v>2</v>
      </c>
      <c r="I1134">
        <v>2</v>
      </c>
      <c r="J1134">
        <v>5</v>
      </c>
      <c r="K1134">
        <v>1</v>
      </c>
      <c r="L1134">
        <v>1</v>
      </c>
      <c r="M1134">
        <v>55</v>
      </c>
      <c r="N1134">
        <v>4.41</v>
      </c>
      <c r="O1134">
        <v>0</v>
      </c>
      <c r="P11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34" t="str">
        <f>IF(Table1[[#This Row],[Fraud_Score]]&gt;=6, "High Risk",IF(Table1[[#This Row],[Fraud_Score]]&gt;=3, "Medium Risk", "Low Risk"))</f>
        <v>Low Risk</v>
      </c>
      <c r="R1134">
        <f>IF(Table1[[#This Row],[Seconds of Use]]=0,0,Table1[[#This Row],[Customer Value]]/Table1[[#This Row],[Seconds of Use]]*100)</f>
        <v>4.741935483870968</v>
      </c>
    </row>
    <row r="1135" spans="1:18" x14ac:dyDescent="0.35">
      <c r="A1135" s="3" t="s">
        <v>1156</v>
      </c>
      <c r="B1135">
        <v>23</v>
      </c>
      <c r="C1135">
        <v>0</v>
      </c>
      <c r="D1135">
        <v>31</v>
      </c>
      <c r="E1135">
        <v>3</v>
      </c>
      <c r="F1135">
        <v>15830</v>
      </c>
      <c r="G1135">
        <v>235</v>
      </c>
      <c r="H1135">
        <v>0</v>
      </c>
      <c r="I1135">
        <v>80</v>
      </c>
      <c r="J1135">
        <v>2</v>
      </c>
      <c r="K1135">
        <v>1</v>
      </c>
      <c r="L1135">
        <v>1</v>
      </c>
      <c r="M1135">
        <v>25</v>
      </c>
      <c r="N1135">
        <v>722.92499999999995</v>
      </c>
      <c r="O1135">
        <v>0</v>
      </c>
      <c r="P11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135" t="str">
        <f>IF(Table1[[#This Row],[Fraud_Score]]&gt;=6, "High Risk",IF(Table1[[#This Row],[Fraud_Score]]&gt;=3, "Medium Risk", "Low Risk"))</f>
        <v>Medium Risk</v>
      </c>
      <c r="R1135">
        <f>IF(Table1[[#This Row],[Seconds of Use]]=0,0,Table1[[#This Row],[Customer Value]]/Table1[[#This Row],[Seconds of Use]]*100)</f>
        <v>4.5668035375868605</v>
      </c>
    </row>
    <row r="1136" spans="1:18" x14ac:dyDescent="0.35">
      <c r="A1136" s="3" t="s">
        <v>1157</v>
      </c>
      <c r="B1136">
        <v>4</v>
      </c>
      <c r="C1136">
        <v>0</v>
      </c>
      <c r="D1136">
        <v>34</v>
      </c>
      <c r="E1136">
        <v>3</v>
      </c>
      <c r="F1136">
        <v>6720</v>
      </c>
      <c r="G1136">
        <v>113</v>
      </c>
      <c r="H1136">
        <v>269</v>
      </c>
      <c r="I1136">
        <v>33</v>
      </c>
      <c r="J1136">
        <v>2</v>
      </c>
      <c r="K1136">
        <v>2</v>
      </c>
      <c r="L1136">
        <v>1</v>
      </c>
      <c r="M1136">
        <v>25</v>
      </c>
      <c r="N1136">
        <v>1517.9849999999999</v>
      </c>
      <c r="O1136">
        <v>0</v>
      </c>
      <c r="P11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36" t="str">
        <f>IF(Table1[[#This Row],[Fraud_Score]]&gt;=6, "High Risk",IF(Table1[[#This Row],[Fraud_Score]]&gt;=3, "Medium Risk", "Low Risk"))</f>
        <v>Low Risk</v>
      </c>
      <c r="R1136">
        <f>IF(Table1[[#This Row],[Seconds of Use]]=0,0,Table1[[#This Row],[Customer Value]]/Table1[[#This Row],[Seconds of Use]]*100)</f>
        <v>22.589062499999997</v>
      </c>
    </row>
    <row r="1137" spans="1:18" x14ac:dyDescent="0.35">
      <c r="A1137" s="3" t="s">
        <v>1158</v>
      </c>
      <c r="B1137">
        <v>0</v>
      </c>
      <c r="C1137">
        <v>0</v>
      </c>
      <c r="D1137">
        <v>36</v>
      </c>
      <c r="E1137">
        <v>0</v>
      </c>
      <c r="F1137">
        <v>3473</v>
      </c>
      <c r="G1137">
        <v>79</v>
      </c>
      <c r="H1137">
        <v>0</v>
      </c>
      <c r="I1137">
        <v>28</v>
      </c>
      <c r="J1137">
        <v>2</v>
      </c>
      <c r="K1137">
        <v>1</v>
      </c>
      <c r="L1137">
        <v>1</v>
      </c>
      <c r="M1137">
        <v>25</v>
      </c>
      <c r="N1137">
        <v>159.84</v>
      </c>
      <c r="O1137">
        <v>0</v>
      </c>
      <c r="P11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37" t="str">
        <f>IF(Table1[[#This Row],[Fraud_Score]]&gt;=6, "High Risk",IF(Table1[[#This Row],[Fraud_Score]]&gt;=3, "Medium Risk", "Low Risk"))</f>
        <v>Low Risk</v>
      </c>
      <c r="R1137">
        <f>IF(Table1[[#This Row],[Seconds of Use]]=0,0,Table1[[#This Row],[Customer Value]]/Table1[[#This Row],[Seconds of Use]]*100)</f>
        <v>4.6023610711200691</v>
      </c>
    </row>
    <row r="1138" spans="1:18" x14ac:dyDescent="0.35">
      <c r="A1138" s="3" t="s">
        <v>1159</v>
      </c>
      <c r="B1138">
        <v>1</v>
      </c>
      <c r="C1138">
        <v>0</v>
      </c>
      <c r="D1138">
        <v>35</v>
      </c>
      <c r="E1138">
        <v>0</v>
      </c>
      <c r="F1138">
        <v>1420</v>
      </c>
      <c r="G1138">
        <v>41</v>
      </c>
      <c r="H1138">
        <v>36</v>
      </c>
      <c r="I1138">
        <v>20</v>
      </c>
      <c r="J1138">
        <v>3</v>
      </c>
      <c r="K1138">
        <v>1</v>
      </c>
      <c r="L1138">
        <v>1</v>
      </c>
      <c r="M1138">
        <v>30</v>
      </c>
      <c r="N1138">
        <v>202.44</v>
      </c>
      <c r="O1138">
        <v>0</v>
      </c>
      <c r="P11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38" t="str">
        <f>IF(Table1[[#This Row],[Fraud_Score]]&gt;=6, "High Risk",IF(Table1[[#This Row],[Fraud_Score]]&gt;=3, "Medium Risk", "Low Risk"))</f>
        <v>Low Risk</v>
      </c>
      <c r="R1138">
        <f>IF(Table1[[#This Row],[Seconds of Use]]=0,0,Table1[[#This Row],[Customer Value]]/Table1[[#This Row],[Seconds of Use]]*100)</f>
        <v>14.256338028169013</v>
      </c>
    </row>
    <row r="1139" spans="1:18" x14ac:dyDescent="0.35">
      <c r="A1139" s="3" t="s">
        <v>1160</v>
      </c>
      <c r="B1139">
        <v>4</v>
      </c>
      <c r="C1139">
        <v>0</v>
      </c>
      <c r="D1139">
        <v>36</v>
      </c>
      <c r="E1139">
        <v>0</v>
      </c>
      <c r="F1139">
        <v>2535</v>
      </c>
      <c r="G1139">
        <v>50</v>
      </c>
      <c r="H1139">
        <v>173</v>
      </c>
      <c r="I1139">
        <v>23</v>
      </c>
      <c r="J1139">
        <v>2</v>
      </c>
      <c r="K1139">
        <v>1</v>
      </c>
      <c r="L1139">
        <v>1</v>
      </c>
      <c r="M1139">
        <v>25</v>
      </c>
      <c r="N1139">
        <v>894.82500000000005</v>
      </c>
      <c r="O1139">
        <v>0</v>
      </c>
      <c r="P11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39" t="str">
        <f>IF(Table1[[#This Row],[Fraud_Score]]&gt;=6, "High Risk",IF(Table1[[#This Row],[Fraud_Score]]&gt;=3, "Medium Risk", "Low Risk"))</f>
        <v>Low Risk</v>
      </c>
      <c r="R1139">
        <f>IF(Table1[[#This Row],[Seconds of Use]]=0,0,Table1[[#This Row],[Customer Value]]/Table1[[#This Row],[Seconds of Use]]*100)</f>
        <v>35.298816568047336</v>
      </c>
    </row>
    <row r="1140" spans="1:18" x14ac:dyDescent="0.35">
      <c r="A1140" s="3" t="s">
        <v>1161</v>
      </c>
      <c r="B1140">
        <v>2</v>
      </c>
      <c r="C1140">
        <v>1</v>
      </c>
      <c r="D1140">
        <v>27</v>
      </c>
      <c r="E1140">
        <v>1</v>
      </c>
      <c r="F1140">
        <v>1070</v>
      </c>
      <c r="G1140">
        <v>33</v>
      </c>
      <c r="H1140">
        <v>191</v>
      </c>
      <c r="I1140">
        <v>11</v>
      </c>
      <c r="J1140">
        <v>2</v>
      </c>
      <c r="K1140">
        <v>2</v>
      </c>
      <c r="L1140">
        <v>1</v>
      </c>
      <c r="M1140">
        <v>25</v>
      </c>
      <c r="N1140">
        <v>909.13499999999999</v>
      </c>
      <c r="O1140">
        <v>0</v>
      </c>
      <c r="P11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40" t="str">
        <f>IF(Table1[[#This Row],[Fraud_Score]]&gt;=6, "High Risk",IF(Table1[[#This Row],[Fraud_Score]]&gt;=3, "Medium Risk", "Low Risk"))</f>
        <v>Low Risk</v>
      </c>
      <c r="R1140">
        <f>IF(Table1[[#This Row],[Seconds of Use]]=0,0,Table1[[#This Row],[Customer Value]]/Table1[[#This Row],[Seconds of Use]]*100)</f>
        <v>84.965887850467297</v>
      </c>
    </row>
    <row r="1141" spans="1:18" x14ac:dyDescent="0.35">
      <c r="A1141" s="3" t="s">
        <v>1162</v>
      </c>
      <c r="B1141">
        <v>2</v>
      </c>
      <c r="C1141">
        <v>0</v>
      </c>
      <c r="D1141">
        <v>26</v>
      </c>
      <c r="E1141">
        <v>0</v>
      </c>
      <c r="F1141">
        <v>1323</v>
      </c>
      <c r="G1141">
        <v>36</v>
      </c>
      <c r="H1141">
        <v>28</v>
      </c>
      <c r="I1141">
        <v>68</v>
      </c>
      <c r="J1141">
        <v>4</v>
      </c>
      <c r="K1141">
        <v>1</v>
      </c>
      <c r="L1141">
        <v>1</v>
      </c>
      <c r="M1141">
        <v>45</v>
      </c>
      <c r="N1141">
        <v>103.97499999999999</v>
      </c>
      <c r="O1141">
        <v>0</v>
      </c>
      <c r="P11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41" t="str">
        <f>IF(Table1[[#This Row],[Fraud_Score]]&gt;=6, "High Risk",IF(Table1[[#This Row],[Fraud_Score]]&gt;=3, "Medium Risk", "Low Risk"))</f>
        <v>Low Risk</v>
      </c>
      <c r="R1141">
        <f>IF(Table1[[#This Row],[Seconds of Use]]=0,0,Table1[[#This Row],[Customer Value]]/Table1[[#This Row],[Seconds of Use]]*100)</f>
        <v>7.8590325018896445</v>
      </c>
    </row>
    <row r="1142" spans="1:18" x14ac:dyDescent="0.35">
      <c r="A1142" s="3" t="s">
        <v>1163</v>
      </c>
      <c r="B1142">
        <v>9</v>
      </c>
      <c r="C1142">
        <v>0</v>
      </c>
      <c r="D1142">
        <v>27</v>
      </c>
      <c r="E1142">
        <v>0</v>
      </c>
      <c r="F1142">
        <v>455</v>
      </c>
      <c r="G1142">
        <v>22</v>
      </c>
      <c r="H1142">
        <v>8</v>
      </c>
      <c r="I1142">
        <v>7</v>
      </c>
      <c r="J1142">
        <v>2</v>
      </c>
      <c r="K1142">
        <v>1</v>
      </c>
      <c r="L1142">
        <v>1</v>
      </c>
      <c r="M1142">
        <v>25</v>
      </c>
      <c r="N1142">
        <v>57.465000000000003</v>
      </c>
      <c r="O1142">
        <v>0</v>
      </c>
      <c r="P11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42" t="str">
        <f>IF(Table1[[#This Row],[Fraud_Score]]&gt;=6, "High Risk",IF(Table1[[#This Row],[Fraud_Score]]&gt;=3, "Medium Risk", "Low Risk"))</f>
        <v>Low Risk</v>
      </c>
      <c r="R1142">
        <f>IF(Table1[[#This Row],[Seconds of Use]]=0,0,Table1[[#This Row],[Customer Value]]/Table1[[#This Row],[Seconds of Use]]*100)</f>
        <v>12.629670329670331</v>
      </c>
    </row>
    <row r="1143" spans="1:18" x14ac:dyDescent="0.35">
      <c r="A1143" s="3" t="s">
        <v>1164</v>
      </c>
      <c r="B1143">
        <v>0</v>
      </c>
      <c r="C1143">
        <v>0</v>
      </c>
      <c r="D1143">
        <v>26</v>
      </c>
      <c r="E1143">
        <v>0</v>
      </c>
      <c r="F1143">
        <v>580</v>
      </c>
      <c r="G1143">
        <v>7</v>
      </c>
      <c r="H1143">
        <v>19</v>
      </c>
      <c r="I1143">
        <v>3</v>
      </c>
      <c r="J1143">
        <v>4</v>
      </c>
      <c r="K1143">
        <v>1</v>
      </c>
      <c r="L1143">
        <v>1</v>
      </c>
      <c r="M1143">
        <v>45</v>
      </c>
      <c r="N1143">
        <v>62.174999999999997</v>
      </c>
      <c r="O1143">
        <v>0</v>
      </c>
      <c r="P11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43" t="str">
        <f>IF(Table1[[#This Row],[Fraud_Score]]&gt;=6, "High Risk",IF(Table1[[#This Row],[Fraud_Score]]&gt;=3, "Medium Risk", "Low Risk"))</f>
        <v>Low Risk</v>
      </c>
      <c r="R1143">
        <f>IF(Table1[[#This Row],[Seconds of Use]]=0,0,Table1[[#This Row],[Customer Value]]/Table1[[#This Row],[Seconds of Use]]*100)</f>
        <v>10.719827586206897</v>
      </c>
    </row>
    <row r="1144" spans="1:18" x14ac:dyDescent="0.35">
      <c r="A1144" s="3" t="s">
        <v>1165</v>
      </c>
      <c r="B1144">
        <v>8</v>
      </c>
      <c r="C1144">
        <v>0</v>
      </c>
      <c r="D1144">
        <v>25</v>
      </c>
      <c r="E1144">
        <v>0</v>
      </c>
      <c r="F1144">
        <v>980</v>
      </c>
      <c r="G1144">
        <v>29</v>
      </c>
      <c r="H1144">
        <v>17</v>
      </c>
      <c r="I1144">
        <v>13</v>
      </c>
      <c r="J1144">
        <v>2</v>
      </c>
      <c r="K1144">
        <v>1</v>
      </c>
      <c r="L1144">
        <v>1</v>
      </c>
      <c r="M1144">
        <v>25</v>
      </c>
      <c r="N1144">
        <v>121.905</v>
      </c>
      <c r="O1144">
        <v>0</v>
      </c>
      <c r="P11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44" t="str">
        <f>IF(Table1[[#This Row],[Fraud_Score]]&gt;=6, "High Risk",IF(Table1[[#This Row],[Fraud_Score]]&gt;=3, "Medium Risk", "Low Risk"))</f>
        <v>Low Risk</v>
      </c>
      <c r="R1144">
        <f>IF(Table1[[#This Row],[Seconds of Use]]=0,0,Table1[[#This Row],[Customer Value]]/Table1[[#This Row],[Seconds of Use]]*100)</f>
        <v>12.439285714285713</v>
      </c>
    </row>
    <row r="1145" spans="1:18" x14ac:dyDescent="0.35">
      <c r="A1145" s="3" t="s">
        <v>1166</v>
      </c>
      <c r="B1145">
        <v>0</v>
      </c>
      <c r="C1145">
        <v>0</v>
      </c>
      <c r="D1145">
        <v>25</v>
      </c>
      <c r="E1145">
        <v>0</v>
      </c>
      <c r="F1145">
        <v>2980</v>
      </c>
      <c r="G1145">
        <v>58</v>
      </c>
      <c r="H1145">
        <v>6</v>
      </c>
      <c r="I1145">
        <v>23</v>
      </c>
      <c r="J1145">
        <v>3</v>
      </c>
      <c r="K1145">
        <v>1</v>
      </c>
      <c r="L1145">
        <v>1</v>
      </c>
      <c r="M1145">
        <v>30</v>
      </c>
      <c r="N1145">
        <v>145.52000000000001</v>
      </c>
      <c r="O1145">
        <v>0</v>
      </c>
      <c r="P11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45" t="str">
        <f>IF(Table1[[#This Row],[Fraud_Score]]&gt;=6, "High Risk",IF(Table1[[#This Row],[Fraud_Score]]&gt;=3, "Medium Risk", "Low Risk"))</f>
        <v>Low Risk</v>
      </c>
      <c r="R1145">
        <f>IF(Table1[[#This Row],[Seconds of Use]]=0,0,Table1[[#This Row],[Customer Value]]/Table1[[#This Row],[Seconds of Use]]*100)</f>
        <v>4.8832214765100677</v>
      </c>
    </row>
    <row r="1146" spans="1:18" x14ac:dyDescent="0.35">
      <c r="A1146" s="3" t="s">
        <v>1167</v>
      </c>
      <c r="B1146">
        <v>0</v>
      </c>
      <c r="C1146">
        <v>0</v>
      </c>
      <c r="D1146">
        <v>18</v>
      </c>
      <c r="E1146">
        <v>0</v>
      </c>
      <c r="F1146">
        <v>1450</v>
      </c>
      <c r="G1146">
        <v>23</v>
      </c>
      <c r="H1146">
        <v>26</v>
      </c>
      <c r="I1146">
        <v>14</v>
      </c>
      <c r="J1146">
        <v>2</v>
      </c>
      <c r="K1146">
        <v>1</v>
      </c>
      <c r="L1146">
        <v>1</v>
      </c>
      <c r="M1146">
        <v>25</v>
      </c>
      <c r="N1146">
        <v>183.285</v>
      </c>
      <c r="O1146">
        <v>0</v>
      </c>
      <c r="P11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46" t="str">
        <f>IF(Table1[[#This Row],[Fraud_Score]]&gt;=6, "High Risk",IF(Table1[[#This Row],[Fraud_Score]]&gt;=3, "Medium Risk", "Low Risk"))</f>
        <v>Low Risk</v>
      </c>
      <c r="R1146">
        <f>IF(Table1[[#This Row],[Seconds of Use]]=0,0,Table1[[#This Row],[Customer Value]]/Table1[[#This Row],[Seconds of Use]]*100)</f>
        <v>12.640344827586206</v>
      </c>
    </row>
    <row r="1147" spans="1:18" x14ac:dyDescent="0.35">
      <c r="A1147" s="3" t="s">
        <v>1168</v>
      </c>
      <c r="B1147">
        <v>14</v>
      </c>
      <c r="C1147">
        <v>1</v>
      </c>
      <c r="D1147">
        <v>17</v>
      </c>
      <c r="E1147">
        <v>1</v>
      </c>
      <c r="F1147">
        <v>6148</v>
      </c>
      <c r="G1147">
        <v>138</v>
      </c>
      <c r="H1147">
        <v>83</v>
      </c>
      <c r="I1147">
        <v>42</v>
      </c>
      <c r="J1147">
        <v>1</v>
      </c>
      <c r="K1147">
        <v>2</v>
      </c>
      <c r="L1147">
        <v>1</v>
      </c>
      <c r="M1147">
        <v>15</v>
      </c>
      <c r="N1147">
        <v>802.23</v>
      </c>
      <c r="O1147">
        <v>0</v>
      </c>
      <c r="P11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147" t="str">
        <f>IF(Table1[[#This Row],[Fraud_Score]]&gt;=6, "High Risk",IF(Table1[[#This Row],[Fraud_Score]]&gt;=3, "Medium Risk", "Low Risk"))</f>
        <v>Medium Risk</v>
      </c>
      <c r="R1147">
        <f>IF(Table1[[#This Row],[Seconds of Use]]=0,0,Table1[[#This Row],[Customer Value]]/Table1[[#This Row],[Seconds of Use]]*100)</f>
        <v>13.048633702016915</v>
      </c>
    </row>
    <row r="1148" spans="1:18" x14ac:dyDescent="0.35">
      <c r="A1148" s="3" t="s">
        <v>1169</v>
      </c>
      <c r="B1148">
        <v>10</v>
      </c>
      <c r="C1148">
        <v>0</v>
      </c>
      <c r="D1148">
        <v>15</v>
      </c>
      <c r="E1148">
        <v>0</v>
      </c>
      <c r="F1148">
        <v>8688</v>
      </c>
      <c r="G1148">
        <v>168</v>
      </c>
      <c r="H1148">
        <v>71</v>
      </c>
      <c r="I1148">
        <v>40</v>
      </c>
      <c r="J1148">
        <v>4</v>
      </c>
      <c r="K1148">
        <v>1</v>
      </c>
      <c r="L1148">
        <v>1</v>
      </c>
      <c r="M1148">
        <v>45</v>
      </c>
      <c r="N1148">
        <v>398.9</v>
      </c>
      <c r="O1148">
        <v>0</v>
      </c>
      <c r="P11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48" t="str">
        <f>IF(Table1[[#This Row],[Fraud_Score]]&gt;=6, "High Risk",IF(Table1[[#This Row],[Fraud_Score]]&gt;=3, "Medium Risk", "Low Risk"))</f>
        <v>Medium Risk</v>
      </c>
      <c r="R1148">
        <f>IF(Table1[[#This Row],[Seconds of Use]]=0,0,Table1[[#This Row],[Customer Value]]/Table1[[#This Row],[Seconds of Use]]*100)</f>
        <v>4.5913904235727436</v>
      </c>
    </row>
    <row r="1149" spans="1:18" x14ac:dyDescent="0.35">
      <c r="A1149" s="3" t="s">
        <v>1170</v>
      </c>
      <c r="B1149">
        <v>6</v>
      </c>
      <c r="C1149">
        <v>0</v>
      </c>
      <c r="D1149">
        <v>16</v>
      </c>
      <c r="E1149">
        <v>3</v>
      </c>
      <c r="F1149">
        <v>2608</v>
      </c>
      <c r="G1149">
        <v>42</v>
      </c>
      <c r="H1149">
        <v>29</v>
      </c>
      <c r="I1149">
        <v>19</v>
      </c>
      <c r="J1149">
        <v>3</v>
      </c>
      <c r="K1149">
        <v>1</v>
      </c>
      <c r="L1149">
        <v>1</v>
      </c>
      <c r="M1149">
        <v>30</v>
      </c>
      <c r="N1149">
        <v>222</v>
      </c>
      <c r="O1149">
        <v>0</v>
      </c>
      <c r="P11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49" t="str">
        <f>IF(Table1[[#This Row],[Fraud_Score]]&gt;=6, "High Risk",IF(Table1[[#This Row],[Fraud_Score]]&gt;=3, "Medium Risk", "Low Risk"))</f>
        <v>Low Risk</v>
      </c>
      <c r="R1149">
        <f>IF(Table1[[#This Row],[Seconds of Use]]=0,0,Table1[[#This Row],[Customer Value]]/Table1[[#This Row],[Seconds of Use]]*100)</f>
        <v>8.5122699386503058</v>
      </c>
    </row>
    <row r="1150" spans="1:18" x14ac:dyDescent="0.35">
      <c r="A1150" s="3" t="s">
        <v>1171</v>
      </c>
      <c r="B1150">
        <v>0</v>
      </c>
      <c r="C1150">
        <v>0</v>
      </c>
      <c r="D1150">
        <v>9</v>
      </c>
      <c r="E1150">
        <v>1</v>
      </c>
      <c r="F1150">
        <v>4145</v>
      </c>
      <c r="G1150">
        <v>37</v>
      </c>
      <c r="H1150">
        <v>213</v>
      </c>
      <c r="I1150">
        <v>10</v>
      </c>
      <c r="J1150">
        <v>3</v>
      </c>
      <c r="K1150">
        <v>1</v>
      </c>
      <c r="L1150">
        <v>1</v>
      </c>
      <c r="M1150">
        <v>30</v>
      </c>
      <c r="N1150">
        <v>1019.28</v>
      </c>
      <c r="O1150">
        <v>0</v>
      </c>
      <c r="P11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50" t="str">
        <f>IF(Table1[[#This Row],[Fraud_Score]]&gt;=6, "High Risk",IF(Table1[[#This Row],[Fraud_Score]]&gt;=3, "Medium Risk", "Low Risk"))</f>
        <v>Low Risk</v>
      </c>
      <c r="R1150">
        <f>IF(Table1[[#This Row],[Seconds of Use]]=0,0,Table1[[#This Row],[Customer Value]]/Table1[[#This Row],[Seconds of Use]]*100)</f>
        <v>24.59059107358263</v>
      </c>
    </row>
    <row r="1151" spans="1:18" x14ac:dyDescent="0.35">
      <c r="A1151" s="3" t="s">
        <v>1172</v>
      </c>
      <c r="B1151">
        <v>1</v>
      </c>
      <c r="C1151">
        <v>1</v>
      </c>
      <c r="D1151">
        <v>9</v>
      </c>
      <c r="E1151">
        <v>1</v>
      </c>
      <c r="F1151">
        <v>1243</v>
      </c>
      <c r="G1151">
        <v>16</v>
      </c>
      <c r="H1151">
        <v>0</v>
      </c>
      <c r="I1151">
        <v>7</v>
      </c>
      <c r="J1151">
        <v>3</v>
      </c>
      <c r="K1151">
        <v>1</v>
      </c>
      <c r="L1151">
        <v>1</v>
      </c>
      <c r="M1151">
        <v>30</v>
      </c>
      <c r="N1151">
        <v>50.36</v>
      </c>
      <c r="O1151">
        <v>1</v>
      </c>
      <c r="P11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51" t="str">
        <f>IF(Table1[[#This Row],[Fraud_Score]]&gt;=6, "High Risk",IF(Table1[[#This Row],[Fraud_Score]]&gt;=3, "Medium Risk", "Low Risk"))</f>
        <v>Low Risk</v>
      </c>
      <c r="R1151">
        <f>IF(Table1[[#This Row],[Seconds of Use]]=0,0,Table1[[#This Row],[Customer Value]]/Table1[[#This Row],[Seconds of Use]]*100)</f>
        <v>4.0514883346741755</v>
      </c>
    </row>
    <row r="1152" spans="1:18" x14ac:dyDescent="0.35">
      <c r="A1152" s="3" t="s">
        <v>1173</v>
      </c>
      <c r="B1152">
        <v>0</v>
      </c>
      <c r="C1152">
        <v>0</v>
      </c>
      <c r="D1152">
        <v>34</v>
      </c>
      <c r="E1152">
        <v>0</v>
      </c>
      <c r="F1152">
        <v>4005</v>
      </c>
      <c r="G1152">
        <v>62</v>
      </c>
      <c r="H1152">
        <v>0</v>
      </c>
      <c r="I1152">
        <v>13</v>
      </c>
      <c r="J1152">
        <v>2</v>
      </c>
      <c r="K1152">
        <v>1</v>
      </c>
      <c r="L1152">
        <v>1</v>
      </c>
      <c r="M1152">
        <v>25</v>
      </c>
      <c r="N1152">
        <v>183.01499999999999</v>
      </c>
      <c r="O1152">
        <v>0</v>
      </c>
      <c r="P11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2" t="str">
        <f>IF(Table1[[#This Row],[Fraud_Score]]&gt;=6, "High Risk",IF(Table1[[#This Row],[Fraud_Score]]&gt;=3, "Medium Risk", "Low Risk"))</f>
        <v>Low Risk</v>
      </c>
      <c r="R1152">
        <f>IF(Table1[[#This Row],[Seconds of Use]]=0,0,Table1[[#This Row],[Customer Value]]/Table1[[#This Row],[Seconds of Use]]*100)</f>
        <v>4.5696629213483142</v>
      </c>
    </row>
    <row r="1153" spans="1:18" x14ac:dyDescent="0.35">
      <c r="A1153" s="3" t="s">
        <v>1174</v>
      </c>
      <c r="B1153">
        <v>0</v>
      </c>
      <c r="C1153">
        <v>0</v>
      </c>
      <c r="D1153">
        <v>35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2</v>
      </c>
      <c r="K1153">
        <v>1</v>
      </c>
      <c r="L1153">
        <v>2</v>
      </c>
      <c r="M1153">
        <v>25</v>
      </c>
      <c r="N1153">
        <v>0</v>
      </c>
      <c r="O1153">
        <v>0</v>
      </c>
      <c r="P11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3" t="str">
        <f>IF(Table1[[#This Row],[Fraud_Score]]&gt;=6, "High Risk",IF(Table1[[#This Row],[Fraud_Score]]&gt;=3, "Medium Risk", "Low Risk"))</f>
        <v>Low Risk</v>
      </c>
      <c r="R1153">
        <f>IF(Table1[[#This Row],[Seconds of Use]]=0,0,Table1[[#This Row],[Customer Value]]/Table1[[#This Row],[Seconds of Use]]*100)</f>
        <v>0</v>
      </c>
    </row>
    <row r="1154" spans="1:18" x14ac:dyDescent="0.35">
      <c r="A1154" s="3" t="s">
        <v>1175</v>
      </c>
      <c r="B1154">
        <v>2</v>
      </c>
      <c r="C1154">
        <v>0</v>
      </c>
      <c r="D1154">
        <v>33</v>
      </c>
      <c r="E1154">
        <v>0</v>
      </c>
      <c r="F1154">
        <v>2088</v>
      </c>
      <c r="G1154">
        <v>51</v>
      </c>
      <c r="H1154">
        <v>347</v>
      </c>
      <c r="I1154">
        <v>20</v>
      </c>
      <c r="J1154">
        <v>2</v>
      </c>
      <c r="K1154">
        <v>1</v>
      </c>
      <c r="L1154">
        <v>1</v>
      </c>
      <c r="M1154">
        <v>25</v>
      </c>
      <c r="N1154">
        <v>1657.7550000000001</v>
      </c>
      <c r="O1154">
        <v>0</v>
      </c>
      <c r="P11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4" t="str">
        <f>IF(Table1[[#This Row],[Fraud_Score]]&gt;=6, "High Risk",IF(Table1[[#This Row],[Fraud_Score]]&gt;=3, "Medium Risk", "Low Risk"))</f>
        <v>Low Risk</v>
      </c>
      <c r="R1154">
        <f>IF(Table1[[#This Row],[Seconds of Use]]=0,0,Table1[[#This Row],[Customer Value]]/Table1[[#This Row],[Seconds of Use]]*100)</f>
        <v>79.394396551724142</v>
      </c>
    </row>
    <row r="1155" spans="1:18" x14ac:dyDescent="0.35">
      <c r="A1155" s="3" t="s">
        <v>1176</v>
      </c>
      <c r="B1155">
        <v>2</v>
      </c>
      <c r="C1155">
        <v>0</v>
      </c>
      <c r="D1155">
        <v>34</v>
      </c>
      <c r="E1155">
        <v>0</v>
      </c>
      <c r="F1155">
        <v>3833</v>
      </c>
      <c r="G1155">
        <v>57</v>
      </c>
      <c r="H1155">
        <v>0</v>
      </c>
      <c r="I1155">
        <v>31</v>
      </c>
      <c r="J1155">
        <v>2</v>
      </c>
      <c r="K1155">
        <v>1</v>
      </c>
      <c r="L1155">
        <v>1</v>
      </c>
      <c r="M1155">
        <v>25</v>
      </c>
      <c r="N1155">
        <v>175.05</v>
      </c>
      <c r="O1155">
        <v>0</v>
      </c>
      <c r="P11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5" t="str">
        <f>IF(Table1[[#This Row],[Fraud_Score]]&gt;=6, "High Risk",IF(Table1[[#This Row],[Fraud_Score]]&gt;=3, "Medium Risk", "Low Risk"))</f>
        <v>Low Risk</v>
      </c>
      <c r="R1155">
        <f>IF(Table1[[#This Row],[Seconds of Use]]=0,0,Table1[[#This Row],[Customer Value]]/Table1[[#This Row],[Seconds of Use]]*100)</f>
        <v>4.5669188625097838</v>
      </c>
    </row>
    <row r="1156" spans="1:18" x14ac:dyDescent="0.35">
      <c r="A1156" s="3" t="s">
        <v>1177</v>
      </c>
      <c r="B1156">
        <v>0</v>
      </c>
      <c r="C1156">
        <v>0</v>
      </c>
      <c r="D1156">
        <v>34</v>
      </c>
      <c r="E1156">
        <v>0</v>
      </c>
      <c r="F1156">
        <v>2028</v>
      </c>
      <c r="G1156">
        <v>49</v>
      </c>
      <c r="H1156">
        <v>0</v>
      </c>
      <c r="I1156">
        <v>29</v>
      </c>
      <c r="J1156">
        <v>1</v>
      </c>
      <c r="K1156">
        <v>1</v>
      </c>
      <c r="L1156">
        <v>1</v>
      </c>
      <c r="M1156">
        <v>15</v>
      </c>
      <c r="N1156">
        <v>114.235</v>
      </c>
      <c r="O1156">
        <v>0</v>
      </c>
      <c r="P11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6" t="str">
        <f>IF(Table1[[#This Row],[Fraud_Score]]&gt;=6, "High Risk",IF(Table1[[#This Row],[Fraud_Score]]&gt;=3, "Medium Risk", "Low Risk"))</f>
        <v>Low Risk</v>
      </c>
      <c r="R1156">
        <f>IF(Table1[[#This Row],[Seconds of Use]]=0,0,Table1[[#This Row],[Customer Value]]/Table1[[#This Row],[Seconds of Use]]*100)</f>
        <v>5.6328895463510849</v>
      </c>
    </row>
    <row r="1157" spans="1:18" x14ac:dyDescent="0.35">
      <c r="A1157" s="3" t="s">
        <v>1178</v>
      </c>
      <c r="B1157">
        <v>3</v>
      </c>
      <c r="C1157">
        <v>0</v>
      </c>
      <c r="D1157">
        <v>34</v>
      </c>
      <c r="E1157">
        <v>0</v>
      </c>
      <c r="F1157">
        <v>3410</v>
      </c>
      <c r="G1157">
        <v>73</v>
      </c>
      <c r="H1157">
        <v>20</v>
      </c>
      <c r="I1157">
        <v>24</v>
      </c>
      <c r="J1157">
        <v>2</v>
      </c>
      <c r="K1157">
        <v>1</v>
      </c>
      <c r="L1157">
        <v>1</v>
      </c>
      <c r="M1157">
        <v>25</v>
      </c>
      <c r="N1157">
        <v>246.73500000000001</v>
      </c>
      <c r="O1157">
        <v>0</v>
      </c>
      <c r="P11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7" t="str">
        <f>IF(Table1[[#This Row],[Fraud_Score]]&gt;=6, "High Risk",IF(Table1[[#This Row],[Fraud_Score]]&gt;=3, "Medium Risk", "Low Risk"))</f>
        <v>Low Risk</v>
      </c>
      <c r="R1157">
        <f>IF(Table1[[#This Row],[Seconds of Use]]=0,0,Table1[[#This Row],[Customer Value]]/Table1[[#This Row],[Seconds of Use]]*100)</f>
        <v>7.235630498533725</v>
      </c>
    </row>
    <row r="1158" spans="1:18" x14ac:dyDescent="0.35">
      <c r="A1158" s="3" t="s">
        <v>1179</v>
      </c>
      <c r="B1158">
        <v>0</v>
      </c>
      <c r="C1158">
        <v>0</v>
      </c>
      <c r="D1158">
        <v>34</v>
      </c>
      <c r="E1158">
        <v>0</v>
      </c>
      <c r="F1158">
        <v>1995</v>
      </c>
      <c r="G1158">
        <v>30</v>
      </c>
      <c r="H1158">
        <v>273</v>
      </c>
      <c r="I1158">
        <v>14</v>
      </c>
      <c r="J1158">
        <v>3</v>
      </c>
      <c r="K1158">
        <v>1</v>
      </c>
      <c r="L1158">
        <v>1</v>
      </c>
      <c r="M1158">
        <v>30</v>
      </c>
      <c r="N1158">
        <v>1173</v>
      </c>
      <c r="O1158">
        <v>0</v>
      </c>
      <c r="P11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8" t="str">
        <f>IF(Table1[[#This Row],[Fraud_Score]]&gt;=6, "High Risk",IF(Table1[[#This Row],[Fraud_Score]]&gt;=3, "Medium Risk", "Low Risk"))</f>
        <v>Low Risk</v>
      </c>
      <c r="R1158">
        <f>IF(Table1[[#This Row],[Seconds of Use]]=0,0,Table1[[#This Row],[Customer Value]]/Table1[[#This Row],[Seconds of Use]]*100)</f>
        <v>58.796992481203006</v>
      </c>
    </row>
    <row r="1159" spans="1:18" x14ac:dyDescent="0.35">
      <c r="A1159" s="3" t="s">
        <v>1180</v>
      </c>
      <c r="B1159">
        <v>5</v>
      </c>
      <c r="C1159">
        <v>0</v>
      </c>
      <c r="D1159">
        <v>33</v>
      </c>
      <c r="E1159">
        <v>0</v>
      </c>
      <c r="F1159">
        <v>8750</v>
      </c>
      <c r="G1159">
        <v>112</v>
      </c>
      <c r="H1159">
        <v>132</v>
      </c>
      <c r="I1159">
        <v>39</v>
      </c>
      <c r="J1159">
        <v>3</v>
      </c>
      <c r="K1159">
        <v>1</v>
      </c>
      <c r="L1159">
        <v>1</v>
      </c>
      <c r="M1159">
        <v>30</v>
      </c>
      <c r="N1159">
        <v>882.48</v>
      </c>
      <c r="O1159">
        <v>0</v>
      </c>
      <c r="P11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59" t="str">
        <f>IF(Table1[[#This Row],[Fraud_Score]]&gt;=6, "High Risk",IF(Table1[[#This Row],[Fraud_Score]]&gt;=3, "Medium Risk", "Low Risk"))</f>
        <v>Low Risk</v>
      </c>
      <c r="R1159">
        <f>IF(Table1[[#This Row],[Seconds of Use]]=0,0,Table1[[#This Row],[Customer Value]]/Table1[[#This Row],[Seconds of Use]]*100)</f>
        <v>10.085485714285715</v>
      </c>
    </row>
    <row r="1160" spans="1:18" x14ac:dyDescent="0.35">
      <c r="A1160" s="3" t="s">
        <v>1181</v>
      </c>
      <c r="B1160">
        <v>0</v>
      </c>
      <c r="C1160">
        <v>0</v>
      </c>
      <c r="D1160">
        <v>34</v>
      </c>
      <c r="E1160">
        <v>0</v>
      </c>
      <c r="F1160">
        <v>13408</v>
      </c>
      <c r="G1160">
        <v>160</v>
      </c>
      <c r="H1160">
        <v>0</v>
      </c>
      <c r="I1160">
        <v>40</v>
      </c>
      <c r="J1160">
        <v>3</v>
      </c>
      <c r="K1160">
        <v>1</v>
      </c>
      <c r="L1160">
        <v>1</v>
      </c>
      <c r="M1160">
        <v>30</v>
      </c>
      <c r="N1160">
        <v>542.72</v>
      </c>
      <c r="O1160">
        <v>0</v>
      </c>
      <c r="P11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60" t="str">
        <f>IF(Table1[[#This Row],[Fraud_Score]]&gt;=6, "High Risk",IF(Table1[[#This Row],[Fraud_Score]]&gt;=3, "Medium Risk", "Low Risk"))</f>
        <v>Medium Risk</v>
      </c>
      <c r="R1160">
        <f>IF(Table1[[#This Row],[Seconds of Use]]=0,0,Table1[[#This Row],[Customer Value]]/Table1[[#This Row],[Seconds of Use]]*100)</f>
        <v>4.0477326968973752</v>
      </c>
    </row>
    <row r="1161" spans="1:18" x14ac:dyDescent="0.35">
      <c r="A1161" s="3" t="s">
        <v>1182</v>
      </c>
      <c r="B1161">
        <v>0</v>
      </c>
      <c r="C1161">
        <v>0</v>
      </c>
      <c r="D1161">
        <v>34</v>
      </c>
      <c r="E1161">
        <v>0</v>
      </c>
      <c r="F1161">
        <v>4150</v>
      </c>
      <c r="G1161">
        <v>74</v>
      </c>
      <c r="H1161">
        <v>0</v>
      </c>
      <c r="I1161">
        <v>21</v>
      </c>
      <c r="J1161">
        <v>3</v>
      </c>
      <c r="K1161">
        <v>1</v>
      </c>
      <c r="L1161">
        <v>1</v>
      </c>
      <c r="M1161">
        <v>30</v>
      </c>
      <c r="N1161">
        <v>168.96</v>
      </c>
      <c r="O1161">
        <v>0</v>
      </c>
      <c r="P11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61" t="str">
        <f>IF(Table1[[#This Row],[Fraud_Score]]&gt;=6, "High Risk",IF(Table1[[#This Row],[Fraud_Score]]&gt;=3, "Medium Risk", "Low Risk"))</f>
        <v>Low Risk</v>
      </c>
      <c r="R1161">
        <f>IF(Table1[[#This Row],[Seconds of Use]]=0,0,Table1[[#This Row],[Customer Value]]/Table1[[#This Row],[Seconds of Use]]*100)</f>
        <v>4.0713253012048192</v>
      </c>
    </row>
    <row r="1162" spans="1:18" x14ac:dyDescent="0.35">
      <c r="A1162" s="3" t="s">
        <v>1183</v>
      </c>
      <c r="B1162">
        <v>0</v>
      </c>
      <c r="C1162">
        <v>0</v>
      </c>
      <c r="D1162">
        <v>34</v>
      </c>
      <c r="E1162">
        <v>0</v>
      </c>
      <c r="F1162">
        <v>5553</v>
      </c>
      <c r="G1162">
        <v>86</v>
      </c>
      <c r="H1162">
        <v>0</v>
      </c>
      <c r="I1162">
        <v>8</v>
      </c>
      <c r="J1162">
        <v>2</v>
      </c>
      <c r="K1162">
        <v>1</v>
      </c>
      <c r="L1162">
        <v>1</v>
      </c>
      <c r="M1162">
        <v>25</v>
      </c>
      <c r="N1162">
        <v>253.755</v>
      </c>
      <c r="O1162">
        <v>0</v>
      </c>
      <c r="P11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62" t="str">
        <f>IF(Table1[[#This Row],[Fraud_Score]]&gt;=6, "High Risk",IF(Table1[[#This Row],[Fraud_Score]]&gt;=3, "Medium Risk", "Low Risk"))</f>
        <v>Low Risk</v>
      </c>
      <c r="R1162">
        <f>IF(Table1[[#This Row],[Seconds of Use]]=0,0,Table1[[#This Row],[Customer Value]]/Table1[[#This Row],[Seconds of Use]]*100)</f>
        <v>4.5696920583468392</v>
      </c>
    </row>
    <row r="1163" spans="1:18" x14ac:dyDescent="0.35">
      <c r="A1163" s="3" t="s">
        <v>1184</v>
      </c>
      <c r="B1163">
        <v>1</v>
      </c>
      <c r="C1163">
        <v>0</v>
      </c>
      <c r="D1163">
        <v>34</v>
      </c>
      <c r="E1163">
        <v>0</v>
      </c>
      <c r="F1163">
        <v>1873</v>
      </c>
      <c r="G1163">
        <v>45</v>
      </c>
      <c r="H1163">
        <v>0</v>
      </c>
      <c r="I1163">
        <v>13</v>
      </c>
      <c r="J1163">
        <v>3</v>
      </c>
      <c r="K1163">
        <v>1</v>
      </c>
      <c r="L1163">
        <v>2</v>
      </c>
      <c r="M1163">
        <v>30</v>
      </c>
      <c r="N1163">
        <v>76.72</v>
      </c>
      <c r="O1163">
        <v>0</v>
      </c>
      <c r="P11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63" t="str">
        <f>IF(Table1[[#This Row],[Fraud_Score]]&gt;=6, "High Risk",IF(Table1[[#This Row],[Fraud_Score]]&gt;=3, "Medium Risk", "Low Risk"))</f>
        <v>Low Risk</v>
      </c>
      <c r="R1163">
        <f>IF(Table1[[#This Row],[Seconds of Use]]=0,0,Table1[[#This Row],[Customer Value]]/Table1[[#This Row],[Seconds of Use]]*100)</f>
        <v>4.0961025093432992</v>
      </c>
    </row>
    <row r="1164" spans="1:18" x14ac:dyDescent="0.35">
      <c r="A1164" s="3" t="s">
        <v>1185</v>
      </c>
      <c r="B1164">
        <v>17</v>
      </c>
      <c r="C1164">
        <v>0</v>
      </c>
      <c r="D1164">
        <v>34</v>
      </c>
      <c r="E1164">
        <v>1</v>
      </c>
      <c r="F1164">
        <v>14775</v>
      </c>
      <c r="G1164">
        <v>216</v>
      </c>
      <c r="H1164">
        <v>42</v>
      </c>
      <c r="I1164">
        <v>28</v>
      </c>
      <c r="J1164">
        <v>2</v>
      </c>
      <c r="K1164">
        <v>1</v>
      </c>
      <c r="L1164">
        <v>1</v>
      </c>
      <c r="M1164">
        <v>25</v>
      </c>
      <c r="N1164">
        <v>863.59500000000003</v>
      </c>
      <c r="O1164">
        <v>0</v>
      </c>
      <c r="P11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164" t="str">
        <f>IF(Table1[[#This Row],[Fraud_Score]]&gt;=6, "High Risk",IF(Table1[[#This Row],[Fraud_Score]]&gt;=3, "Medium Risk", "Low Risk"))</f>
        <v>Medium Risk</v>
      </c>
      <c r="R1164">
        <f>IF(Table1[[#This Row],[Seconds of Use]]=0,0,Table1[[#This Row],[Customer Value]]/Table1[[#This Row],[Seconds of Use]]*100)</f>
        <v>5.8449746192893404</v>
      </c>
    </row>
    <row r="1165" spans="1:18" x14ac:dyDescent="0.35">
      <c r="A1165" s="3" t="s">
        <v>1186</v>
      </c>
      <c r="B1165">
        <v>0</v>
      </c>
      <c r="C1165">
        <v>0</v>
      </c>
      <c r="D1165">
        <v>34</v>
      </c>
      <c r="E1165">
        <v>0</v>
      </c>
      <c r="F1165">
        <v>2730</v>
      </c>
      <c r="G1165">
        <v>18</v>
      </c>
      <c r="H1165">
        <v>471</v>
      </c>
      <c r="I1165">
        <v>4</v>
      </c>
      <c r="J1165">
        <v>3</v>
      </c>
      <c r="K1165">
        <v>1</v>
      </c>
      <c r="L1165">
        <v>1</v>
      </c>
      <c r="M1165">
        <v>30</v>
      </c>
      <c r="N1165">
        <v>1993.92</v>
      </c>
      <c r="O1165">
        <v>0</v>
      </c>
      <c r="P11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65" t="str">
        <f>IF(Table1[[#This Row],[Fraud_Score]]&gt;=6, "High Risk",IF(Table1[[#This Row],[Fraud_Score]]&gt;=3, "Medium Risk", "Low Risk"))</f>
        <v>Low Risk</v>
      </c>
      <c r="R1165">
        <f>IF(Table1[[#This Row],[Seconds of Use]]=0,0,Table1[[#This Row],[Customer Value]]/Table1[[#This Row],[Seconds of Use]]*100)</f>
        <v>73.037362637362634</v>
      </c>
    </row>
    <row r="1166" spans="1:18" x14ac:dyDescent="0.35">
      <c r="A1166" s="3" t="s">
        <v>1187</v>
      </c>
      <c r="B1166">
        <v>1</v>
      </c>
      <c r="C1166">
        <v>0</v>
      </c>
      <c r="D1166">
        <v>33</v>
      </c>
      <c r="E1166">
        <v>0</v>
      </c>
      <c r="F1166">
        <v>15120</v>
      </c>
      <c r="G1166">
        <v>173</v>
      </c>
      <c r="H1166">
        <v>138</v>
      </c>
      <c r="I1166">
        <v>26</v>
      </c>
      <c r="J1166">
        <v>2</v>
      </c>
      <c r="K1166">
        <v>1</v>
      </c>
      <c r="L1166">
        <v>1</v>
      </c>
      <c r="M1166">
        <v>25</v>
      </c>
      <c r="N1166">
        <v>1309.1849999999999</v>
      </c>
      <c r="O1166">
        <v>0</v>
      </c>
      <c r="P11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66" t="str">
        <f>IF(Table1[[#This Row],[Fraud_Score]]&gt;=6, "High Risk",IF(Table1[[#This Row],[Fraud_Score]]&gt;=3, "Medium Risk", "Low Risk"))</f>
        <v>Medium Risk</v>
      </c>
      <c r="R1166">
        <f>IF(Table1[[#This Row],[Seconds of Use]]=0,0,Table1[[#This Row],[Customer Value]]/Table1[[#This Row],[Seconds of Use]]*100)</f>
        <v>8.6586309523809533</v>
      </c>
    </row>
    <row r="1167" spans="1:18" x14ac:dyDescent="0.35">
      <c r="A1167" s="3" t="s">
        <v>1188</v>
      </c>
      <c r="B1167">
        <v>0</v>
      </c>
      <c r="C1167">
        <v>0</v>
      </c>
      <c r="D1167">
        <v>33</v>
      </c>
      <c r="E1167">
        <v>0</v>
      </c>
      <c r="F1167">
        <v>6135</v>
      </c>
      <c r="G1167">
        <v>77</v>
      </c>
      <c r="H1167">
        <v>174</v>
      </c>
      <c r="I1167">
        <v>22</v>
      </c>
      <c r="J1167">
        <v>3</v>
      </c>
      <c r="K1167">
        <v>1</v>
      </c>
      <c r="L1167">
        <v>1</v>
      </c>
      <c r="M1167">
        <v>30</v>
      </c>
      <c r="N1167">
        <v>944.48</v>
      </c>
      <c r="O1167">
        <v>0</v>
      </c>
      <c r="P11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67" t="str">
        <f>IF(Table1[[#This Row],[Fraud_Score]]&gt;=6, "High Risk",IF(Table1[[#This Row],[Fraud_Score]]&gt;=3, "Medium Risk", "Low Risk"))</f>
        <v>Low Risk</v>
      </c>
      <c r="R1167">
        <f>IF(Table1[[#This Row],[Seconds of Use]]=0,0,Table1[[#This Row],[Customer Value]]/Table1[[#This Row],[Seconds of Use]]*100)</f>
        <v>15.394947025264875</v>
      </c>
    </row>
    <row r="1168" spans="1:18" x14ac:dyDescent="0.35">
      <c r="A1168" s="3" t="s">
        <v>1189</v>
      </c>
      <c r="B1168">
        <v>0</v>
      </c>
      <c r="C1168">
        <v>0</v>
      </c>
      <c r="D1168">
        <v>33</v>
      </c>
      <c r="E1168">
        <v>0</v>
      </c>
      <c r="F1168">
        <v>510</v>
      </c>
      <c r="G1168">
        <v>5</v>
      </c>
      <c r="H1168">
        <v>0</v>
      </c>
      <c r="I1168">
        <v>7</v>
      </c>
      <c r="J1168">
        <v>2</v>
      </c>
      <c r="K1168">
        <v>1</v>
      </c>
      <c r="L1168">
        <v>2</v>
      </c>
      <c r="M1168">
        <v>25</v>
      </c>
      <c r="N1168">
        <v>23.175000000000001</v>
      </c>
      <c r="O1168">
        <v>0</v>
      </c>
      <c r="P11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68" t="str">
        <f>IF(Table1[[#This Row],[Fraud_Score]]&gt;=6, "High Risk",IF(Table1[[#This Row],[Fraud_Score]]&gt;=3, "Medium Risk", "Low Risk"))</f>
        <v>Low Risk</v>
      </c>
      <c r="R1168">
        <f>IF(Table1[[#This Row],[Seconds of Use]]=0,0,Table1[[#This Row],[Customer Value]]/Table1[[#This Row],[Seconds of Use]]*100)</f>
        <v>4.5441176470588234</v>
      </c>
    </row>
    <row r="1169" spans="1:18" x14ac:dyDescent="0.35">
      <c r="A1169" s="3" t="s">
        <v>1190</v>
      </c>
      <c r="B1169">
        <v>0</v>
      </c>
      <c r="C1169">
        <v>0</v>
      </c>
      <c r="D1169">
        <v>34</v>
      </c>
      <c r="E1169">
        <v>0</v>
      </c>
      <c r="F1169">
        <v>345</v>
      </c>
      <c r="G1169">
        <v>5</v>
      </c>
      <c r="H1169">
        <v>1</v>
      </c>
      <c r="I1169">
        <v>4</v>
      </c>
      <c r="J1169">
        <v>2</v>
      </c>
      <c r="K1169">
        <v>1</v>
      </c>
      <c r="L1169">
        <v>2</v>
      </c>
      <c r="M1169">
        <v>25</v>
      </c>
      <c r="N1169">
        <v>20.25</v>
      </c>
      <c r="O1169">
        <v>0</v>
      </c>
      <c r="P11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69" t="str">
        <f>IF(Table1[[#This Row],[Fraud_Score]]&gt;=6, "High Risk",IF(Table1[[#This Row],[Fraud_Score]]&gt;=3, "Medium Risk", "Low Risk"))</f>
        <v>Low Risk</v>
      </c>
      <c r="R1169">
        <f>IF(Table1[[#This Row],[Seconds of Use]]=0,0,Table1[[#This Row],[Customer Value]]/Table1[[#This Row],[Seconds of Use]]*100)</f>
        <v>5.8695652173913047</v>
      </c>
    </row>
    <row r="1170" spans="1:18" x14ac:dyDescent="0.35">
      <c r="A1170" s="3" t="s">
        <v>1191</v>
      </c>
      <c r="B1170">
        <v>0</v>
      </c>
      <c r="C1170">
        <v>0</v>
      </c>
      <c r="D1170">
        <v>33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</v>
      </c>
      <c r="K1170">
        <v>1</v>
      </c>
      <c r="L1170">
        <v>2</v>
      </c>
      <c r="M1170">
        <v>25</v>
      </c>
      <c r="N1170">
        <v>0</v>
      </c>
      <c r="O1170">
        <v>1</v>
      </c>
      <c r="P11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70" t="str">
        <f>IF(Table1[[#This Row],[Fraud_Score]]&gt;=6, "High Risk",IF(Table1[[#This Row],[Fraud_Score]]&gt;=3, "Medium Risk", "Low Risk"))</f>
        <v>Low Risk</v>
      </c>
      <c r="R1170">
        <f>IF(Table1[[#This Row],[Seconds of Use]]=0,0,Table1[[#This Row],[Customer Value]]/Table1[[#This Row],[Seconds of Use]]*100)</f>
        <v>0</v>
      </c>
    </row>
    <row r="1171" spans="1:18" x14ac:dyDescent="0.35">
      <c r="A1171" s="3" t="s">
        <v>1192</v>
      </c>
      <c r="B1171">
        <v>0</v>
      </c>
      <c r="C1171">
        <v>0</v>
      </c>
      <c r="D1171">
        <v>33</v>
      </c>
      <c r="E1171">
        <v>0</v>
      </c>
      <c r="F1171">
        <v>7143</v>
      </c>
      <c r="G1171">
        <v>118</v>
      </c>
      <c r="H1171">
        <v>372</v>
      </c>
      <c r="I1171">
        <v>39</v>
      </c>
      <c r="J1171">
        <v>2</v>
      </c>
      <c r="K1171">
        <v>1</v>
      </c>
      <c r="L1171">
        <v>1</v>
      </c>
      <c r="M1171">
        <v>25</v>
      </c>
      <c r="N1171">
        <v>2000.7449999999999</v>
      </c>
      <c r="O1171">
        <v>0</v>
      </c>
      <c r="P11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71" t="str">
        <f>IF(Table1[[#This Row],[Fraud_Score]]&gt;=6, "High Risk",IF(Table1[[#This Row],[Fraud_Score]]&gt;=3, "Medium Risk", "Low Risk"))</f>
        <v>Low Risk</v>
      </c>
      <c r="R1171">
        <f>IF(Table1[[#This Row],[Seconds of Use]]=0,0,Table1[[#This Row],[Customer Value]]/Table1[[#This Row],[Seconds of Use]]*100)</f>
        <v>28.009869802603948</v>
      </c>
    </row>
    <row r="1172" spans="1:18" x14ac:dyDescent="0.35">
      <c r="A1172" s="3" t="s">
        <v>1193</v>
      </c>
      <c r="B1172">
        <v>0</v>
      </c>
      <c r="C1172">
        <v>0</v>
      </c>
      <c r="D1172">
        <v>33</v>
      </c>
      <c r="E1172">
        <v>0</v>
      </c>
      <c r="F1172">
        <v>11100</v>
      </c>
      <c r="G1172">
        <v>145</v>
      </c>
      <c r="H1172">
        <v>0</v>
      </c>
      <c r="I1172">
        <v>43</v>
      </c>
      <c r="J1172">
        <v>3</v>
      </c>
      <c r="K1172">
        <v>1</v>
      </c>
      <c r="L1172">
        <v>1</v>
      </c>
      <c r="M1172">
        <v>30</v>
      </c>
      <c r="N1172">
        <v>449.8</v>
      </c>
      <c r="O1172">
        <v>0</v>
      </c>
      <c r="P11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72" t="str">
        <f>IF(Table1[[#This Row],[Fraud_Score]]&gt;=6, "High Risk",IF(Table1[[#This Row],[Fraud_Score]]&gt;=3, "Medium Risk", "Low Risk"))</f>
        <v>Medium Risk</v>
      </c>
      <c r="R1172">
        <f>IF(Table1[[#This Row],[Seconds of Use]]=0,0,Table1[[#This Row],[Customer Value]]/Table1[[#This Row],[Seconds of Use]]*100)</f>
        <v>4.0522522522522522</v>
      </c>
    </row>
    <row r="1173" spans="1:18" x14ac:dyDescent="0.35">
      <c r="A1173" s="3" t="s">
        <v>1194</v>
      </c>
      <c r="B1173">
        <v>0</v>
      </c>
      <c r="C1173">
        <v>0</v>
      </c>
      <c r="D1173">
        <v>33</v>
      </c>
      <c r="E1173">
        <v>0</v>
      </c>
      <c r="F1173">
        <v>6353</v>
      </c>
      <c r="G1173">
        <v>66</v>
      </c>
      <c r="H1173">
        <v>96</v>
      </c>
      <c r="I1173">
        <v>33</v>
      </c>
      <c r="J1173">
        <v>2</v>
      </c>
      <c r="K1173">
        <v>1</v>
      </c>
      <c r="L1173">
        <v>1</v>
      </c>
      <c r="M1173">
        <v>25</v>
      </c>
      <c r="N1173">
        <v>720.85500000000002</v>
      </c>
      <c r="O1173">
        <v>0</v>
      </c>
      <c r="P11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73" t="str">
        <f>IF(Table1[[#This Row],[Fraud_Score]]&gt;=6, "High Risk",IF(Table1[[#This Row],[Fraud_Score]]&gt;=3, "Medium Risk", "Low Risk"))</f>
        <v>Low Risk</v>
      </c>
      <c r="R1173">
        <f>IF(Table1[[#This Row],[Seconds of Use]]=0,0,Table1[[#This Row],[Customer Value]]/Table1[[#This Row],[Seconds of Use]]*100)</f>
        <v>11.346686604753661</v>
      </c>
    </row>
    <row r="1174" spans="1:18" x14ac:dyDescent="0.35">
      <c r="A1174" s="3" t="s">
        <v>1195</v>
      </c>
      <c r="B1174">
        <v>15</v>
      </c>
      <c r="C1174">
        <v>0</v>
      </c>
      <c r="D1174">
        <v>29</v>
      </c>
      <c r="E1174">
        <v>0</v>
      </c>
      <c r="F1174">
        <v>590</v>
      </c>
      <c r="G1174">
        <v>38</v>
      </c>
      <c r="H1174">
        <v>4</v>
      </c>
      <c r="I1174">
        <v>13</v>
      </c>
      <c r="J1174">
        <v>2</v>
      </c>
      <c r="K1174">
        <v>1</v>
      </c>
      <c r="L1174">
        <v>2</v>
      </c>
      <c r="M1174">
        <v>25</v>
      </c>
      <c r="N1174">
        <v>46.26</v>
      </c>
      <c r="O1174">
        <v>1</v>
      </c>
      <c r="P11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74" t="str">
        <f>IF(Table1[[#This Row],[Fraud_Score]]&gt;=6, "High Risk",IF(Table1[[#This Row],[Fraud_Score]]&gt;=3, "Medium Risk", "Low Risk"))</f>
        <v>Medium Risk</v>
      </c>
      <c r="R1174">
        <f>IF(Table1[[#This Row],[Seconds of Use]]=0,0,Table1[[#This Row],[Customer Value]]/Table1[[#This Row],[Seconds of Use]]*100)</f>
        <v>7.8406779661016941</v>
      </c>
    </row>
    <row r="1175" spans="1:18" x14ac:dyDescent="0.35">
      <c r="A1175" s="3" t="s">
        <v>1196</v>
      </c>
      <c r="B1175">
        <v>13</v>
      </c>
      <c r="C1175">
        <v>0</v>
      </c>
      <c r="D1175">
        <v>32</v>
      </c>
      <c r="E1175">
        <v>6</v>
      </c>
      <c r="F1175">
        <v>10070</v>
      </c>
      <c r="G1175">
        <v>84</v>
      </c>
      <c r="H1175">
        <v>0</v>
      </c>
      <c r="I1175">
        <v>38</v>
      </c>
      <c r="J1175">
        <v>4</v>
      </c>
      <c r="K1175">
        <v>1</v>
      </c>
      <c r="L1175">
        <v>1</v>
      </c>
      <c r="M1175">
        <v>45</v>
      </c>
      <c r="N1175">
        <v>253.85</v>
      </c>
      <c r="O1175">
        <v>0</v>
      </c>
      <c r="P11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75" t="str">
        <f>IF(Table1[[#This Row],[Fraud_Score]]&gt;=6, "High Risk",IF(Table1[[#This Row],[Fraud_Score]]&gt;=3, "Medium Risk", "Low Risk"))</f>
        <v>Low Risk</v>
      </c>
      <c r="R1175">
        <f>IF(Table1[[#This Row],[Seconds of Use]]=0,0,Table1[[#This Row],[Customer Value]]/Table1[[#This Row],[Seconds of Use]]*100)</f>
        <v>2.5208540218470703</v>
      </c>
    </row>
    <row r="1176" spans="1:18" x14ac:dyDescent="0.35">
      <c r="A1176" s="3" t="s">
        <v>1197</v>
      </c>
      <c r="B1176">
        <v>5</v>
      </c>
      <c r="C1176">
        <v>1</v>
      </c>
      <c r="D1176">
        <v>32</v>
      </c>
      <c r="E1176">
        <v>0</v>
      </c>
      <c r="F1176">
        <v>5453</v>
      </c>
      <c r="G1176">
        <v>89</v>
      </c>
      <c r="H1176">
        <v>14</v>
      </c>
      <c r="I1176">
        <v>20</v>
      </c>
      <c r="J1176">
        <v>2</v>
      </c>
      <c r="K1176">
        <v>1</v>
      </c>
      <c r="L1176">
        <v>1</v>
      </c>
      <c r="M1176">
        <v>25</v>
      </c>
      <c r="N1176">
        <v>312.39</v>
      </c>
      <c r="O1176">
        <v>1</v>
      </c>
      <c r="P11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76" t="str">
        <f>IF(Table1[[#This Row],[Fraud_Score]]&gt;=6, "High Risk",IF(Table1[[#This Row],[Fraud_Score]]&gt;=3, "Medium Risk", "Low Risk"))</f>
        <v>Medium Risk</v>
      </c>
      <c r="R1176">
        <f>IF(Table1[[#This Row],[Seconds of Use]]=0,0,Table1[[#This Row],[Customer Value]]/Table1[[#This Row],[Seconds of Use]]*100)</f>
        <v>5.7287731523931784</v>
      </c>
    </row>
    <row r="1177" spans="1:18" x14ac:dyDescent="0.35">
      <c r="A1177" s="3" t="s">
        <v>1198</v>
      </c>
      <c r="B1177">
        <v>0</v>
      </c>
      <c r="C1177">
        <v>0</v>
      </c>
      <c r="D1177">
        <v>30</v>
      </c>
      <c r="E1177">
        <v>0</v>
      </c>
      <c r="F1177">
        <v>2475</v>
      </c>
      <c r="G1177">
        <v>13</v>
      </c>
      <c r="H1177">
        <v>0</v>
      </c>
      <c r="I1177">
        <v>10</v>
      </c>
      <c r="J1177">
        <v>3</v>
      </c>
      <c r="K1177">
        <v>1</v>
      </c>
      <c r="L1177">
        <v>1</v>
      </c>
      <c r="M1177">
        <v>30</v>
      </c>
      <c r="N1177">
        <v>99.52</v>
      </c>
      <c r="O1177">
        <v>0</v>
      </c>
      <c r="P11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77" t="str">
        <f>IF(Table1[[#This Row],[Fraud_Score]]&gt;=6, "High Risk",IF(Table1[[#This Row],[Fraud_Score]]&gt;=3, "Medium Risk", "Low Risk"))</f>
        <v>Low Risk</v>
      </c>
      <c r="R1177">
        <f>IF(Table1[[#This Row],[Seconds of Use]]=0,0,Table1[[#This Row],[Customer Value]]/Table1[[#This Row],[Seconds of Use]]*100)</f>
        <v>4.0210101010101011</v>
      </c>
    </row>
    <row r="1178" spans="1:18" x14ac:dyDescent="0.35">
      <c r="A1178" s="3" t="s">
        <v>1199</v>
      </c>
      <c r="B1178">
        <v>1</v>
      </c>
      <c r="C1178">
        <v>1</v>
      </c>
      <c r="D1178">
        <v>31</v>
      </c>
      <c r="E1178">
        <v>0</v>
      </c>
      <c r="F1178">
        <v>2625</v>
      </c>
      <c r="G1178">
        <v>32</v>
      </c>
      <c r="H1178">
        <v>0</v>
      </c>
      <c r="I1178">
        <v>12</v>
      </c>
      <c r="J1178">
        <v>2</v>
      </c>
      <c r="K1178">
        <v>1</v>
      </c>
      <c r="L1178">
        <v>2</v>
      </c>
      <c r="M1178">
        <v>25</v>
      </c>
      <c r="N1178">
        <v>119.565</v>
      </c>
      <c r="O1178">
        <v>1</v>
      </c>
      <c r="P11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78" t="str">
        <f>IF(Table1[[#This Row],[Fraud_Score]]&gt;=6, "High Risk",IF(Table1[[#This Row],[Fraud_Score]]&gt;=3, "Medium Risk", "Low Risk"))</f>
        <v>Medium Risk</v>
      </c>
      <c r="R1178">
        <f>IF(Table1[[#This Row],[Seconds of Use]]=0,0,Table1[[#This Row],[Customer Value]]/Table1[[#This Row],[Seconds of Use]]*100)</f>
        <v>4.5548571428571423</v>
      </c>
    </row>
    <row r="1179" spans="1:18" x14ac:dyDescent="0.35">
      <c r="A1179" s="3" t="s">
        <v>1200</v>
      </c>
      <c r="B1179">
        <v>1</v>
      </c>
      <c r="C1179">
        <v>0</v>
      </c>
      <c r="D1179">
        <v>32</v>
      </c>
      <c r="E1179">
        <v>0</v>
      </c>
      <c r="F1179">
        <v>1903</v>
      </c>
      <c r="G1179">
        <v>35</v>
      </c>
      <c r="H1179">
        <v>22</v>
      </c>
      <c r="I1179">
        <v>27</v>
      </c>
      <c r="J1179">
        <v>3</v>
      </c>
      <c r="K1179">
        <v>1</v>
      </c>
      <c r="L1179">
        <v>2</v>
      </c>
      <c r="M1179">
        <v>30</v>
      </c>
      <c r="N1179">
        <v>165.52</v>
      </c>
      <c r="O1179">
        <v>1</v>
      </c>
      <c r="P11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79" t="str">
        <f>IF(Table1[[#This Row],[Fraud_Score]]&gt;=6, "High Risk",IF(Table1[[#This Row],[Fraud_Score]]&gt;=3, "Medium Risk", "Low Risk"))</f>
        <v>Low Risk</v>
      </c>
      <c r="R1179">
        <f>IF(Table1[[#This Row],[Seconds of Use]]=0,0,Table1[[#This Row],[Customer Value]]/Table1[[#This Row],[Seconds of Use]]*100)</f>
        <v>8.6978455070940619</v>
      </c>
    </row>
    <row r="1180" spans="1:18" x14ac:dyDescent="0.35">
      <c r="A1180" s="3" t="s">
        <v>1201</v>
      </c>
      <c r="B1180">
        <v>0</v>
      </c>
      <c r="C1180">
        <v>1</v>
      </c>
      <c r="D1180">
        <v>32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</v>
      </c>
      <c r="K1180">
        <v>1</v>
      </c>
      <c r="L1180">
        <v>2</v>
      </c>
      <c r="M1180">
        <v>25</v>
      </c>
      <c r="N1180">
        <v>0</v>
      </c>
      <c r="O1180">
        <v>1</v>
      </c>
      <c r="P11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80" t="str">
        <f>IF(Table1[[#This Row],[Fraud_Score]]&gt;=6, "High Risk",IF(Table1[[#This Row],[Fraud_Score]]&gt;=3, "Medium Risk", "Low Risk"))</f>
        <v>Medium Risk</v>
      </c>
      <c r="R1180">
        <f>IF(Table1[[#This Row],[Seconds of Use]]=0,0,Table1[[#This Row],[Customer Value]]/Table1[[#This Row],[Seconds of Use]]*100)</f>
        <v>0</v>
      </c>
    </row>
    <row r="1181" spans="1:18" x14ac:dyDescent="0.35">
      <c r="A1181" s="3" t="s">
        <v>1202</v>
      </c>
      <c r="B1181">
        <v>0</v>
      </c>
      <c r="C1181">
        <v>0</v>
      </c>
      <c r="D1181">
        <v>32</v>
      </c>
      <c r="E1181">
        <v>0</v>
      </c>
      <c r="F1181">
        <v>1303</v>
      </c>
      <c r="G1181">
        <v>16</v>
      </c>
      <c r="H1181">
        <v>0</v>
      </c>
      <c r="I1181">
        <v>2</v>
      </c>
      <c r="J1181">
        <v>3</v>
      </c>
      <c r="K1181">
        <v>1</v>
      </c>
      <c r="L1181">
        <v>1</v>
      </c>
      <c r="M1181">
        <v>30</v>
      </c>
      <c r="N1181">
        <v>52.76</v>
      </c>
      <c r="O1181">
        <v>0</v>
      </c>
      <c r="P11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1" t="str">
        <f>IF(Table1[[#This Row],[Fraud_Score]]&gt;=6, "High Risk",IF(Table1[[#This Row],[Fraud_Score]]&gt;=3, "Medium Risk", "Low Risk"))</f>
        <v>Low Risk</v>
      </c>
      <c r="R1181">
        <f>IF(Table1[[#This Row],[Seconds of Use]]=0,0,Table1[[#This Row],[Customer Value]]/Table1[[#This Row],[Seconds of Use]]*100)</f>
        <v>4.0491174213353798</v>
      </c>
    </row>
    <row r="1182" spans="1:18" x14ac:dyDescent="0.35">
      <c r="A1182" s="3" t="s">
        <v>1203</v>
      </c>
      <c r="B1182">
        <v>0</v>
      </c>
      <c r="C1182">
        <v>0</v>
      </c>
      <c r="D1182">
        <v>29</v>
      </c>
      <c r="E1182">
        <v>0</v>
      </c>
      <c r="F1182">
        <v>6420</v>
      </c>
      <c r="G1182">
        <v>88</v>
      </c>
      <c r="H1182">
        <v>2</v>
      </c>
      <c r="I1182">
        <v>18</v>
      </c>
      <c r="J1182">
        <v>4</v>
      </c>
      <c r="K1182">
        <v>1</v>
      </c>
      <c r="L1182">
        <v>1</v>
      </c>
      <c r="M1182">
        <v>45</v>
      </c>
      <c r="N1182">
        <v>167.7</v>
      </c>
      <c r="O1182">
        <v>0</v>
      </c>
      <c r="P11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2" t="str">
        <f>IF(Table1[[#This Row],[Fraud_Score]]&gt;=6, "High Risk",IF(Table1[[#This Row],[Fraud_Score]]&gt;=3, "Medium Risk", "Low Risk"))</f>
        <v>Low Risk</v>
      </c>
      <c r="R1182">
        <f>IF(Table1[[#This Row],[Seconds of Use]]=0,0,Table1[[#This Row],[Customer Value]]/Table1[[#This Row],[Seconds of Use]]*100)</f>
        <v>2.6121495327102799</v>
      </c>
    </row>
    <row r="1183" spans="1:18" x14ac:dyDescent="0.35">
      <c r="A1183" s="3" t="s">
        <v>1204</v>
      </c>
      <c r="B1183">
        <v>0</v>
      </c>
      <c r="C1183">
        <v>0</v>
      </c>
      <c r="D1183">
        <v>32</v>
      </c>
      <c r="E1183">
        <v>0</v>
      </c>
      <c r="F1183">
        <v>263</v>
      </c>
      <c r="G1183">
        <v>1</v>
      </c>
      <c r="H1183">
        <v>0</v>
      </c>
      <c r="I1183">
        <v>1</v>
      </c>
      <c r="J1183">
        <v>3</v>
      </c>
      <c r="K1183">
        <v>1</v>
      </c>
      <c r="L1183">
        <v>2</v>
      </c>
      <c r="M1183">
        <v>30</v>
      </c>
      <c r="N1183">
        <v>10.56</v>
      </c>
      <c r="O1183">
        <v>1</v>
      </c>
      <c r="P11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3" t="str">
        <f>IF(Table1[[#This Row],[Fraud_Score]]&gt;=6, "High Risk",IF(Table1[[#This Row],[Fraud_Score]]&gt;=3, "Medium Risk", "Low Risk"))</f>
        <v>Low Risk</v>
      </c>
      <c r="R1183">
        <f>IF(Table1[[#This Row],[Seconds of Use]]=0,0,Table1[[#This Row],[Customer Value]]/Table1[[#This Row],[Seconds of Use]]*100)</f>
        <v>4.0152091254752849</v>
      </c>
    </row>
    <row r="1184" spans="1:18" x14ac:dyDescent="0.35">
      <c r="A1184" s="3" t="s">
        <v>1205</v>
      </c>
      <c r="B1184">
        <v>0</v>
      </c>
      <c r="C1184">
        <v>0</v>
      </c>
      <c r="D1184">
        <v>32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4</v>
      </c>
      <c r="K1184">
        <v>1</v>
      </c>
      <c r="L1184">
        <v>1</v>
      </c>
      <c r="M1184">
        <v>45</v>
      </c>
      <c r="N1184">
        <v>0</v>
      </c>
      <c r="O1184">
        <v>0</v>
      </c>
      <c r="P11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4" t="str">
        <f>IF(Table1[[#This Row],[Fraud_Score]]&gt;=6, "High Risk",IF(Table1[[#This Row],[Fraud_Score]]&gt;=3, "Medium Risk", "Low Risk"))</f>
        <v>Low Risk</v>
      </c>
      <c r="R1184">
        <f>IF(Table1[[#This Row],[Seconds of Use]]=0,0,Table1[[#This Row],[Customer Value]]/Table1[[#This Row],[Seconds of Use]]*100)</f>
        <v>0</v>
      </c>
    </row>
    <row r="1185" spans="1:18" x14ac:dyDescent="0.35">
      <c r="A1185" s="3" t="s">
        <v>1206</v>
      </c>
      <c r="B1185">
        <v>17</v>
      </c>
      <c r="C1185">
        <v>0</v>
      </c>
      <c r="D1185">
        <v>27</v>
      </c>
      <c r="E1185">
        <v>1</v>
      </c>
      <c r="F1185">
        <v>15710</v>
      </c>
      <c r="G1185">
        <v>229</v>
      </c>
      <c r="H1185">
        <v>0</v>
      </c>
      <c r="I1185">
        <v>76</v>
      </c>
      <c r="J1185">
        <v>2</v>
      </c>
      <c r="K1185">
        <v>1</v>
      </c>
      <c r="L1185">
        <v>1</v>
      </c>
      <c r="M1185">
        <v>25</v>
      </c>
      <c r="N1185">
        <v>717.255</v>
      </c>
      <c r="O1185">
        <v>0</v>
      </c>
      <c r="P11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185" t="str">
        <f>IF(Table1[[#This Row],[Fraud_Score]]&gt;=6, "High Risk",IF(Table1[[#This Row],[Fraud_Score]]&gt;=3, "Medium Risk", "Low Risk"))</f>
        <v>Medium Risk</v>
      </c>
      <c r="R1185">
        <f>IF(Table1[[#This Row],[Seconds of Use]]=0,0,Table1[[#This Row],[Customer Value]]/Table1[[#This Row],[Seconds of Use]]*100)</f>
        <v>4.5655951623169955</v>
      </c>
    </row>
    <row r="1186" spans="1:18" x14ac:dyDescent="0.35">
      <c r="A1186" s="3" t="s">
        <v>1207</v>
      </c>
      <c r="B1186">
        <v>0</v>
      </c>
      <c r="C1186">
        <v>0</v>
      </c>
      <c r="D1186">
        <v>30</v>
      </c>
      <c r="E1186">
        <v>1</v>
      </c>
      <c r="F1186">
        <v>6600</v>
      </c>
      <c r="G1186">
        <v>107</v>
      </c>
      <c r="H1186">
        <v>259</v>
      </c>
      <c r="I1186">
        <v>29</v>
      </c>
      <c r="J1186">
        <v>2</v>
      </c>
      <c r="K1186">
        <v>2</v>
      </c>
      <c r="L1186">
        <v>1</v>
      </c>
      <c r="M1186">
        <v>25</v>
      </c>
      <c r="N1186">
        <v>1467.3150000000001</v>
      </c>
      <c r="O1186">
        <v>0</v>
      </c>
      <c r="P11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86" t="str">
        <f>IF(Table1[[#This Row],[Fraud_Score]]&gt;=6, "High Risk",IF(Table1[[#This Row],[Fraud_Score]]&gt;=3, "Medium Risk", "Low Risk"))</f>
        <v>Low Risk</v>
      </c>
      <c r="R1186">
        <f>IF(Table1[[#This Row],[Seconds of Use]]=0,0,Table1[[#This Row],[Customer Value]]/Table1[[#This Row],[Seconds of Use]]*100)</f>
        <v>22.232045454545453</v>
      </c>
    </row>
    <row r="1187" spans="1:18" x14ac:dyDescent="0.35">
      <c r="A1187" s="3" t="s">
        <v>1208</v>
      </c>
      <c r="B1187">
        <v>0</v>
      </c>
      <c r="C1187">
        <v>0</v>
      </c>
      <c r="D1187">
        <v>32</v>
      </c>
      <c r="E1187">
        <v>0</v>
      </c>
      <c r="F1187">
        <v>3353</v>
      </c>
      <c r="G1187">
        <v>73</v>
      </c>
      <c r="H1187">
        <v>0</v>
      </c>
      <c r="I1187">
        <v>24</v>
      </c>
      <c r="J1187">
        <v>2</v>
      </c>
      <c r="K1187">
        <v>1</v>
      </c>
      <c r="L1187">
        <v>1</v>
      </c>
      <c r="M1187">
        <v>25</v>
      </c>
      <c r="N1187">
        <v>154.16999999999999</v>
      </c>
      <c r="O1187">
        <v>0</v>
      </c>
      <c r="P11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7" t="str">
        <f>IF(Table1[[#This Row],[Fraud_Score]]&gt;=6, "High Risk",IF(Table1[[#This Row],[Fraud_Score]]&gt;=3, "Medium Risk", "Low Risk"))</f>
        <v>Low Risk</v>
      </c>
      <c r="R1187">
        <f>IF(Table1[[#This Row],[Seconds of Use]]=0,0,Table1[[#This Row],[Customer Value]]/Table1[[#This Row],[Seconds of Use]]*100)</f>
        <v>4.597971965404116</v>
      </c>
    </row>
    <row r="1188" spans="1:18" x14ac:dyDescent="0.35">
      <c r="A1188" s="3" t="s">
        <v>1209</v>
      </c>
      <c r="B1188">
        <v>0</v>
      </c>
      <c r="C1188">
        <v>0</v>
      </c>
      <c r="D1188">
        <v>31</v>
      </c>
      <c r="E1188">
        <v>0</v>
      </c>
      <c r="F1188">
        <v>1300</v>
      </c>
      <c r="G1188">
        <v>35</v>
      </c>
      <c r="H1188">
        <v>26</v>
      </c>
      <c r="I1188">
        <v>16</v>
      </c>
      <c r="J1188">
        <v>3</v>
      </c>
      <c r="K1188">
        <v>1</v>
      </c>
      <c r="L1188">
        <v>2</v>
      </c>
      <c r="M1188">
        <v>30</v>
      </c>
      <c r="N1188">
        <v>157.4</v>
      </c>
      <c r="O1188">
        <v>0</v>
      </c>
      <c r="P11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8" t="str">
        <f>IF(Table1[[#This Row],[Fraud_Score]]&gt;=6, "High Risk",IF(Table1[[#This Row],[Fraud_Score]]&gt;=3, "Medium Risk", "Low Risk"))</f>
        <v>Low Risk</v>
      </c>
      <c r="R1188">
        <f>IF(Table1[[#This Row],[Seconds of Use]]=0,0,Table1[[#This Row],[Customer Value]]/Table1[[#This Row],[Seconds of Use]]*100)</f>
        <v>12.107692307692307</v>
      </c>
    </row>
    <row r="1189" spans="1:18" x14ac:dyDescent="0.35">
      <c r="A1189" s="3" t="s">
        <v>1210</v>
      </c>
      <c r="B1189">
        <v>0</v>
      </c>
      <c r="C1189">
        <v>0</v>
      </c>
      <c r="D1189">
        <v>32</v>
      </c>
      <c r="E1189">
        <v>0</v>
      </c>
      <c r="F1189">
        <v>2415</v>
      </c>
      <c r="G1189">
        <v>44</v>
      </c>
      <c r="H1189">
        <v>163</v>
      </c>
      <c r="I1189">
        <v>19</v>
      </c>
      <c r="J1189">
        <v>2</v>
      </c>
      <c r="K1189">
        <v>1</v>
      </c>
      <c r="L1189">
        <v>1</v>
      </c>
      <c r="M1189">
        <v>25</v>
      </c>
      <c r="N1189">
        <v>844.15499999999997</v>
      </c>
      <c r="O1189">
        <v>0</v>
      </c>
      <c r="P11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89" t="str">
        <f>IF(Table1[[#This Row],[Fraud_Score]]&gt;=6, "High Risk",IF(Table1[[#This Row],[Fraud_Score]]&gt;=3, "Medium Risk", "Low Risk"))</f>
        <v>Low Risk</v>
      </c>
      <c r="R1189">
        <f>IF(Table1[[#This Row],[Seconds of Use]]=0,0,Table1[[#This Row],[Customer Value]]/Table1[[#This Row],[Seconds of Use]]*100)</f>
        <v>34.954658385093168</v>
      </c>
    </row>
    <row r="1190" spans="1:18" x14ac:dyDescent="0.35">
      <c r="A1190" s="3" t="s">
        <v>1211</v>
      </c>
      <c r="B1190">
        <v>0</v>
      </c>
      <c r="C1190">
        <v>0</v>
      </c>
      <c r="D1190">
        <v>23</v>
      </c>
      <c r="E1190">
        <v>0</v>
      </c>
      <c r="F1190">
        <v>950</v>
      </c>
      <c r="G1190">
        <v>27</v>
      </c>
      <c r="H1190">
        <v>181</v>
      </c>
      <c r="I1190">
        <v>7</v>
      </c>
      <c r="J1190">
        <v>2</v>
      </c>
      <c r="K1190">
        <v>2</v>
      </c>
      <c r="L1190">
        <v>1</v>
      </c>
      <c r="M1190">
        <v>25</v>
      </c>
      <c r="N1190">
        <v>858.46500000000003</v>
      </c>
      <c r="O1190">
        <v>0</v>
      </c>
      <c r="P11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0" t="str">
        <f>IF(Table1[[#This Row],[Fraud_Score]]&gt;=6, "High Risk",IF(Table1[[#This Row],[Fraud_Score]]&gt;=3, "Medium Risk", "Low Risk"))</f>
        <v>Low Risk</v>
      </c>
      <c r="R1190">
        <f>IF(Table1[[#This Row],[Seconds of Use]]=0,0,Table1[[#This Row],[Customer Value]]/Table1[[#This Row],[Seconds of Use]]*100)</f>
        <v>90.364736842105259</v>
      </c>
    </row>
    <row r="1191" spans="1:18" x14ac:dyDescent="0.35">
      <c r="A1191" s="3" t="s">
        <v>1212</v>
      </c>
      <c r="B1191">
        <v>0</v>
      </c>
      <c r="C1191">
        <v>0</v>
      </c>
      <c r="D1191">
        <v>22</v>
      </c>
      <c r="E1191">
        <v>0</v>
      </c>
      <c r="F1191">
        <v>1203</v>
      </c>
      <c r="G1191">
        <v>30</v>
      </c>
      <c r="H1191">
        <v>18</v>
      </c>
      <c r="I1191">
        <v>64</v>
      </c>
      <c r="J1191">
        <v>4</v>
      </c>
      <c r="K1191">
        <v>1</v>
      </c>
      <c r="L1191">
        <v>1</v>
      </c>
      <c r="M1191">
        <v>45</v>
      </c>
      <c r="N1191">
        <v>75.825000000000003</v>
      </c>
      <c r="O1191">
        <v>0</v>
      </c>
      <c r="P11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191" t="str">
        <f>IF(Table1[[#This Row],[Fraud_Score]]&gt;=6, "High Risk",IF(Table1[[#This Row],[Fraud_Score]]&gt;=3, "Medium Risk", "Low Risk"))</f>
        <v>Low Risk</v>
      </c>
      <c r="R1191">
        <f>IF(Table1[[#This Row],[Seconds of Use]]=0,0,Table1[[#This Row],[Customer Value]]/Table1[[#This Row],[Seconds of Use]]*100)</f>
        <v>6.3029925187032418</v>
      </c>
    </row>
    <row r="1192" spans="1:18" x14ac:dyDescent="0.35">
      <c r="A1192" s="3" t="s">
        <v>1213</v>
      </c>
      <c r="B1192">
        <v>3</v>
      </c>
      <c r="C1192">
        <v>0</v>
      </c>
      <c r="D1192">
        <v>23</v>
      </c>
      <c r="E1192">
        <v>0</v>
      </c>
      <c r="F1192">
        <v>335</v>
      </c>
      <c r="G1192">
        <v>16</v>
      </c>
      <c r="H1192">
        <v>0</v>
      </c>
      <c r="I1192">
        <v>3</v>
      </c>
      <c r="J1192">
        <v>2</v>
      </c>
      <c r="K1192">
        <v>1</v>
      </c>
      <c r="L1192">
        <v>2</v>
      </c>
      <c r="M1192">
        <v>25</v>
      </c>
      <c r="N1192">
        <v>15.795</v>
      </c>
      <c r="O1192">
        <v>0</v>
      </c>
      <c r="P11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2" t="str">
        <f>IF(Table1[[#This Row],[Fraud_Score]]&gt;=6, "High Risk",IF(Table1[[#This Row],[Fraud_Score]]&gt;=3, "Medium Risk", "Low Risk"))</f>
        <v>Low Risk</v>
      </c>
      <c r="R1192">
        <f>IF(Table1[[#This Row],[Seconds of Use]]=0,0,Table1[[#This Row],[Customer Value]]/Table1[[#This Row],[Seconds of Use]]*100)</f>
        <v>4.7149253731343288</v>
      </c>
    </row>
    <row r="1193" spans="1:18" x14ac:dyDescent="0.35">
      <c r="A1193" s="3" t="s">
        <v>1214</v>
      </c>
      <c r="B1193">
        <v>0</v>
      </c>
      <c r="C1193">
        <v>0</v>
      </c>
      <c r="D1193">
        <v>22</v>
      </c>
      <c r="E1193">
        <v>0</v>
      </c>
      <c r="F1193">
        <v>0</v>
      </c>
      <c r="G1193">
        <v>0</v>
      </c>
      <c r="H1193">
        <v>9</v>
      </c>
      <c r="I1193">
        <v>0</v>
      </c>
      <c r="J1193">
        <v>4</v>
      </c>
      <c r="K1193">
        <v>1</v>
      </c>
      <c r="L1193">
        <v>2</v>
      </c>
      <c r="M1193">
        <v>45</v>
      </c>
      <c r="N1193">
        <v>22.5</v>
      </c>
      <c r="O1193">
        <v>0</v>
      </c>
      <c r="P11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3" t="str">
        <f>IF(Table1[[#This Row],[Fraud_Score]]&gt;=6, "High Risk",IF(Table1[[#This Row],[Fraud_Score]]&gt;=3, "Medium Risk", "Low Risk"))</f>
        <v>Low Risk</v>
      </c>
      <c r="R1193">
        <f>IF(Table1[[#This Row],[Seconds of Use]]=0,0,Table1[[#This Row],[Customer Value]]/Table1[[#This Row],[Seconds of Use]]*100)</f>
        <v>0</v>
      </c>
    </row>
    <row r="1194" spans="1:18" x14ac:dyDescent="0.35">
      <c r="A1194" s="3" t="s">
        <v>1215</v>
      </c>
      <c r="B1194">
        <v>2</v>
      </c>
      <c r="C1194">
        <v>0</v>
      </c>
      <c r="D1194">
        <v>21</v>
      </c>
      <c r="E1194">
        <v>0</v>
      </c>
      <c r="F1194">
        <v>860</v>
      </c>
      <c r="G1194">
        <v>23</v>
      </c>
      <c r="H1194">
        <v>7</v>
      </c>
      <c r="I1194">
        <v>9</v>
      </c>
      <c r="J1194">
        <v>2</v>
      </c>
      <c r="K1194">
        <v>1</v>
      </c>
      <c r="L1194">
        <v>1</v>
      </c>
      <c r="M1194">
        <v>25</v>
      </c>
      <c r="N1194">
        <v>71.234999999999999</v>
      </c>
      <c r="O1194">
        <v>0</v>
      </c>
      <c r="P11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4" t="str">
        <f>IF(Table1[[#This Row],[Fraud_Score]]&gt;=6, "High Risk",IF(Table1[[#This Row],[Fraud_Score]]&gt;=3, "Medium Risk", "Low Risk"))</f>
        <v>Low Risk</v>
      </c>
      <c r="R1194">
        <f>IF(Table1[[#This Row],[Seconds of Use]]=0,0,Table1[[#This Row],[Customer Value]]/Table1[[#This Row],[Seconds of Use]]*100)</f>
        <v>8.2831395348837216</v>
      </c>
    </row>
    <row r="1195" spans="1:18" x14ac:dyDescent="0.35">
      <c r="A1195" s="3" t="s">
        <v>1216</v>
      </c>
      <c r="B1195">
        <v>0</v>
      </c>
      <c r="C1195">
        <v>0</v>
      </c>
      <c r="D1195">
        <v>21</v>
      </c>
      <c r="E1195">
        <v>0</v>
      </c>
      <c r="F1195">
        <v>2860</v>
      </c>
      <c r="G1195">
        <v>52</v>
      </c>
      <c r="H1195">
        <v>0</v>
      </c>
      <c r="I1195">
        <v>19</v>
      </c>
      <c r="J1195">
        <v>3</v>
      </c>
      <c r="K1195">
        <v>1</v>
      </c>
      <c r="L1195">
        <v>1</v>
      </c>
      <c r="M1195">
        <v>30</v>
      </c>
      <c r="N1195">
        <v>116.48</v>
      </c>
      <c r="O1195">
        <v>0</v>
      </c>
      <c r="P11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5" t="str">
        <f>IF(Table1[[#This Row],[Fraud_Score]]&gt;=6, "High Risk",IF(Table1[[#This Row],[Fraud_Score]]&gt;=3, "Medium Risk", "Low Risk"))</f>
        <v>Low Risk</v>
      </c>
      <c r="R1195">
        <f>IF(Table1[[#This Row],[Seconds of Use]]=0,0,Table1[[#This Row],[Customer Value]]/Table1[[#This Row],[Seconds of Use]]*100)</f>
        <v>4.0727272727272732</v>
      </c>
    </row>
    <row r="1196" spans="1:18" x14ac:dyDescent="0.35">
      <c r="A1196" s="3" t="s">
        <v>1217</v>
      </c>
      <c r="B1196">
        <v>0</v>
      </c>
      <c r="C1196">
        <v>0</v>
      </c>
      <c r="D1196">
        <v>14</v>
      </c>
      <c r="E1196">
        <v>0</v>
      </c>
      <c r="F1196">
        <v>1330</v>
      </c>
      <c r="G1196">
        <v>17</v>
      </c>
      <c r="H1196">
        <v>16</v>
      </c>
      <c r="I1196">
        <v>10</v>
      </c>
      <c r="J1196">
        <v>2</v>
      </c>
      <c r="K1196">
        <v>1</v>
      </c>
      <c r="L1196">
        <v>1</v>
      </c>
      <c r="M1196">
        <v>25</v>
      </c>
      <c r="N1196">
        <v>132.61500000000001</v>
      </c>
      <c r="O1196">
        <v>0</v>
      </c>
      <c r="P11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6" t="str">
        <f>IF(Table1[[#This Row],[Fraud_Score]]&gt;=6, "High Risk",IF(Table1[[#This Row],[Fraud_Score]]&gt;=3, "Medium Risk", "Low Risk"))</f>
        <v>Low Risk</v>
      </c>
      <c r="R1196">
        <f>IF(Table1[[#This Row],[Seconds of Use]]=0,0,Table1[[#This Row],[Customer Value]]/Table1[[#This Row],[Seconds of Use]]*100)</f>
        <v>9.9710526315789494</v>
      </c>
    </row>
    <row r="1197" spans="1:18" x14ac:dyDescent="0.35">
      <c r="A1197" s="3" t="s">
        <v>1218</v>
      </c>
      <c r="B1197">
        <v>8</v>
      </c>
      <c r="C1197">
        <v>0</v>
      </c>
      <c r="D1197">
        <v>13</v>
      </c>
      <c r="E1197">
        <v>0</v>
      </c>
      <c r="F1197">
        <v>6028</v>
      </c>
      <c r="G1197">
        <v>132</v>
      </c>
      <c r="H1197">
        <v>73</v>
      </c>
      <c r="I1197">
        <v>38</v>
      </c>
      <c r="J1197">
        <v>1</v>
      </c>
      <c r="K1197">
        <v>2</v>
      </c>
      <c r="L1197">
        <v>1</v>
      </c>
      <c r="M1197">
        <v>15</v>
      </c>
      <c r="N1197">
        <v>740.3</v>
      </c>
      <c r="O1197">
        <v>0</v>
      </c>
      <c r="P11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197" t="str">
        <f>IF(Table1[[#This Row],[Fraud_Score]]&gt;=6, "High Risk",IF(Table1[[#This Row],[Fraud_Score]]&gt;=3, "Medium Risk", "Low Risk"))</f>
        <v>Low Risk</v>
      </c>
      <c r="R1197">
        <f>IF(Table1[[#This Row],[Seconds of Use]]=0,0,Table1[[#This Row],[Customer Value]]/Table1[[#This Row],[Seconds of Use]]*100)</f>
        <v>12.281021897810218</v>
      </c>
    </row>
    <row r="1198" spans="1:18" x14ac:dyDescent="0.35">
      <c r="A1198" s="3" t="s">
        <v>1219</v>
      </c>
      <c r="B1198">
        <v>4</v>
      </c>
      <c r="C1198">
        <v>0</v>
      </c>
      <c r="D1198">
        <v>11</v>
      </c>
      <c r="E1198">
        <v>0</v>
      </c>
      <c r="F1198">
        <v>8568</v>
      </c>
      <c r="G1198">
        <v>162</v>
      </c>
      <c r="H1198">
        <v>61</v>
      </c>
      <c r="I1198">
        <v>36</v>
      </c>
      <c r="J1198">
        <v>4</v>
      </c>
      <c r="K1198">
        <v>1</v>
      </c>
      <c r="L1198">
        <v>1</v>
      </c>
      <c r="M1198">
        <v>45</v>
      </c>
      <c r="N1198">
        <v>370.75</v>
      </c>
      <c r="O1198">
        <v>0</v>
      </c>
      <c r="P11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198" t="str">
        <f>IF(Table1[[#This Row],[Fraud_Score]]&gt;=6, "High Risk",IF(Table1[[#This Row],[Fraud_Score]]&gt;=3, "Medium Risk", "Low Risk"))</f>
        <v>Medium Risk</v>
      </c>
      <c r="R1198">
        <f>IF(Table1[[#This Row],[Seconds of Use]]=0,0,Table1[[#This Row],[Customer Value]]/Table1[[#This Row],[Seconds of Use]]*100)</f>
        <v>4.3271475256769376</v>
      </c>
    </row>
    <row r="1199" spans="1:18" x14ac:dyDescent="0.35">
      <c r="A1199" s="3" t="s">
        <v>1220</v>
      </c>
      <c r="B1199">
        <v>0</v>
      </c>
      <c r="C1199">
        <v>0</v>
      </c>
      <c r="D1199">
        <v>12</v>
      </c>
      <c r="E1199">
        <v>1</v>
      </c>
      <c r="F1199">
        <v>2488</v>
      </c>
      <c r="G1199">
        <v>36</v>
      </c>
      <c r="H1199">
        <v>19</v>
      </c>
      <c r="I1199">
        <v>15</v>
      </c>
      <c r="J1199">
        <v>3</v>
      </c>
      <c r="K1199">
        <v>1</v>
      </c>
      <c r="L1199">
        <v>1</v>
      </c>
      <c r="M1199">
        <v>30</v>
      </c>
      <c r="N1199">
        <v>176.96</v>
      </c>
      <c r="O1199">
        <v>0</v>
      </c>
      <c r="P11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199" t="str">
        <f>IF(Table1[[#This Row],[Fraud_Score]]&gt;=6, "High Risk",IF(Table1[[#This Row],[Fraud_Score]]&gt;=3, "Medium Risk", "Low Risk"))</f>
        <v>Low Risk</v>
      </c>
      <c r="R1199">
        <f>IF(Table1[[#This Row],[Seconds of Use]]=0,0,Table1[[#This Row],[Customer Value]]/Table1[[#This Row],[Seconds of Use]]*100)</f>
        <v>7.112540192926045</v>
      </c>
    </row>
    <row r="1200" spans="1:18" x14ac:dyDescent="0.35">
      <c r="A1200" s="3" t="s">
        <v>1221</v>
      </c>
      <c r="B1200">
        <v>0</v>
      </c>
      <c r="C1200">
        <v>0</v>
      </c>
      <c r="D1200">
        <v>5</v>
      </c>
      <c r="E1200">
        <v>0</v>
      </c>
      <c r="F1200">
        <v>4025</v>
      </c>
      <c r="G1200">
        <v>31</v>
      </c>
      <c r="H1200">
        <v>203</v>
      </c>
      <c r="I1200">
        <v>6</v>
      </c>
      <c r="J1200">
        <v>3</v>
      </c>
      <c r="K1200">
        <v>1</v>
      </c>
      <c r="L1200">
        <v>1</v>
      </c>
      <c r="M1200">
        <v>30</v>
      </c>
      <c r="N1200">
        <v>974.24</v>
      </c>
      <c r="O1200">
        <v>0</v>
      </c>
      <c r="P12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0" t="str">
        <f>IF(Table1[[#This Row],[Fraud_Score]]&gt;=6, "High Risk",IF(Table1[[#This Row],[Fraud_Score]]&gt;=3, "Medium Risk", "Low Risk"))</f>
        <v>Low Risk</v>
      </c>
      <c r="R1200">
        <f>IF(Table1[[#This Row],[Seconds of Use]]=0,0,Table1[[#This Row],[Customer Value]]/Table1[[#This Row],[Seconds of Use]]*100)</f>
        <v>24.20472049689441</v>
      </c>
    </row>
    <row r="1201" spans="1:18" x14ac:dyDescent="0.35">
      <c r="A1201" s="3" t="s">
        <v>1222</v>
      </c>
      <c r="B1201">
        <v>0</v>
      </c>
      <c r="C1201">
        <v>1</v>
      </c>
      <c r="D1201">
        <v>5</v>
      </c>
      <c r="E1201">
        <v>0</v>
      </c>
      <c r="F1201">
        <v>1123</v>
      </c>
      <c r="G1201">
        <v>10</v>
      </c>
      <c r="H1201">
        <v>0</v>
      </c>
      <c r="I1201">
        <v>3</v>
      </c>
      <c r="J1201">
        <v>2</v>
      </c>
      <c r="K1201">
        <v>1</v>
      </c>
      <c r="L1201">
        <v>2</v>
      </c>
      <c r="M1201">
        <v>25</v>
      </c>
      <c r="N1201">
        <v>50.984999999999999</v>
      </c>
      <c r="O1201">
        <v>1</v>
      </c>
      <c r="P12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01" t="str">
        <f>IF(Table1[[#This Row],[Fraud_Score]]&gt;=6, "High Risk",IF(Table1[[#This Row],[Fraud_Score]]&gt;=3, "Medium Risk", "Low Risk"))</f>
        <v>Medium Risk</v>
      </c>
      <c r="R1201">
        <f>IF(Table1[[#This Row],[Seconds of Use]]=0,0,Table1[[#This Row],[Customer Value]]/Table1[[#This Row],[Seconds of Use]]*100)</f>
        <v>4.5400712377560106</v>
      </c>
    </row>
    <row r="1202" spans="1:18" x14ac:dyDescent="0.35">
      <c r="A1202" s="3" t="s">
        <v>1223</v>
      </c>
      <c r="B1202">
        <v>4</v>
      </c>
      <c r="C1202">
        <v>0</v>
      </c>
      <c r="D1202">
        <v>40</v>
      </c>
      <c r="E1202">
        <v>0</v>
      </c>
      <c r="F1202">
        <v>4145</v>
      </c>
      <c r="G1202">
        <v>67</v>
      </c>
      <c r="H1202">
        <v>8</v>
      </c>
      <c r="I1202">
        <v>19</v>
      </c>
      <c r="J1202">
        <v>2</v>
      </c>
      <c r="K1202">
        <v>1</v>
      </c>
      <c r="L1202">
        <v>1</v>
      </c>
      <c r="M1202">
        <v>25</v>
      </c>
      <c r="N1202">
        <v>225.54</v>
      </c>
      <c r="O1202">
        <v>0</v>
      </c>
      <c r="P12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2" t="str">
        <f>IF(Table1[[#This Row],[Fraud_Score]]&gt;=6, "High Risk",IF(Table1[[#This Row],[Fraud_Score]]&gt;=3, "Medium Risk", "Low Risk"))</f>
        <v>Low Risk</v>
      </c>
      <c r="R1202">
        <f>IF(Table1[[#This Row],[Seconds of Use]]=0,0,Table1[[#This Row],[Customer Value]]/Table1[[#This Row],[Seconds of Use]]*100)</f>
        <v>5.441254523522316</v>
      </c>
    </row>
    <row r="1203" spans="1:18" x14ac:dyDescent="0.35">
      <c r="A1203" s="3" t="s">
        <v>1224</v>
      </c>
      <c r="B1203">
        <v>0</v>
      </c>
      <c r="C1203">
        <v>0</v>
      </c>
      <c r="D1203">
        <v>41</v>
      </c>
      <c r="E1203">
        <v>0</v>
      </c>
      <c r="F1203">
        <v>93</v>
      </c>
      <c r="G1203">
        <v>1</v>
      </c>
      <c r="H1203">
        <v>10</v>
      </c>
      <c r="I1203">
        <v>6</v>
      </c>
      <c r="J1203">
        <v>2</v>
      </c>
      <c r="K1203">
        <v>1</v>
      </c>
      <c r="L1203">
        <v>2</v>
      </c>
      <c r="M1203">
        <v>25</v>
      </c>
      <c r="N1203">
        <v>49.23</v>
      </c>
      <c r="O1203">
        <v>0</v>
      </c>
      <c r="P12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3" t="str">
        <f>IF(Table1[[#This Row],[Fraud_Score]]&gt;=6, "High Risk",IF(Table1[[#This Row],[Fraud_Score]]&gt;=3, "Medium Risk", "Low Risk"))</f>
        <v>Low Risk</v>
      </c>
      <c r="R1203">
        <f>IF(Table1[[#This Row],[Seconds of Use]]=0,0,Table1[[#This Row],[Customer Value]]/Table1[[#This Row],[Seconds of Use]]*100)</f>
        <v>52.935483870967737</v>
      </c>
    </row>
    <row r="1204" spans="1:18" x14ac:dyDescent="0.35">
      <c r="A1204" s="3" t="s">
        <v>1225</v>
      </c>
      <c r="B1204">
        <v>6</v>
      </c>
      <c r="C1204">
        <v>0</v>
      </c>
      <c r="D1204">
        <v>39</v>
      </c>
      <c r="E1204">
        <v>0</v>
      </c>
      <c r="F1204">
        <v>2228</v>
      </c>
      <c r="G1204">
        <v>56</v>
      </c>
      <c r="H1204">
        <v>362</v>
      </c>
      <c r="I1204">
        <v>26</v>
      </c>
      <c r="J1204">
        <v>2</v>
      </c>
      <c r="K1204">
        <v>1</v>
      </c>
      <c r="L1204">
        <v>1</v>
      </c>
      <c r="M1204">
        <v>25</v>
      </c>
      <c r="N1204">
        <v>1731.78</v>
      </c>
      <c r="O1204">
        <v>0</v>
      </c>
      <c r="P12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4" t="str">
        <f>IF(Table1[[#This Row],[Fraud_Score]]&gt;=6, "High Risk",IF(Table1[[#This Row],[Fraud_Score]]&gt;=3, "Medium Risk", "Low Risk"))</f>
        <v>Low Risk</v>
      </c>
      <c r="R1204">
        <f>IF(Table1[[#This Row],[Seconds of Use]]=0,0,Table1[[#This Row],[Customer Value]]/Table1[[#This Row],[Seconds of Use]]*100)</f>
        <v>77.728007181328536</v>
      </c>
    </row>
    <row r="1205" spans="1:18" x14ac:dyDescent="0.35">
      <c r="A1205" s="3" t="s">
        <v>1226</v>
      </c>
      <c r="B1205">
        <v>6</v>
      </c>
      <c r="C1205">
        <v>0</v>
      </c>
      <c r="D1205">
        <v>40</v>
      </c>
      <c r="E1205">
        <v>0</v>
      </c>
      <c r="F1205">
        <v>3973</v>
      </c>
      <c r="G1205">
        <v>62</v>
      </c>
      <c r="H1205">
        <v>4</v>
      </c>
      <c r="I1205">
        <v>37</v>
      </c>
      <c r="J1205">
        <v>2</v>
      </c>
      <c r="K1205">
        <v>1</v>
      </c>
      <c r="L1205">
        <v>1</v>
      </c>
      <c r="M1205">
        <v>25</v>
      </c>
      <c r="N1205">
        <v>199.57499999999999</v>
      </c>
      <c r="O1205">
        <v>0</v>
      </c>
      <c r="P12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5" t="str">
        <f>IF(Table1[[#This Row],[Fraud_Score]]&gt;=6, "High Risk",IF(Table1[[#This Row],[Fraud_Score]]&gt;=3, "Medium Risk", "Low Risk"))</f>
        <v>Low Risk</v>
      </c>
      <c r="R1205">
        <f>IF(Table1[[#This Row],[Seconds of Use]]=0,0,Table1[[#This Row],[Customer Value]]/Table1[[#This Row],[Seconds of Use]]*100)</f>
        <v>5.0232821545431658</v>
      </c>
    </row>
    <row r="1206" spans="1:18" x14ac:dyDescent="0.35">
      <c r="A1206" s="3" t="s">
        <v>1227</v>
      </c>
      <c r="B1206">
        <v>0</v>
      </c>
      <c r="C1206">
        <v>0</v>
      </c>
      <c r="D1206">
        <v>40</v>
      </c>
      <c r="E1206">
        <v>0</v>
      </c>
      <c r="F1206">
        <v>2168</v>
      </c>
      <c r="G1206">
        <v>54</v>
      </c>
      <c r="H1206">
        <v>5</v>
      </c>
      <c r="I1206">
        <v>35</v>
      </c>
      <c r="J1206">
        <v>1</v>
      </c>
      <c r="K1206">
        <v>1</v>
      </c>
      <c r="L1206">
        <v>1</v>
      </c>
      <c r="M1206">
        <v>15</v>
      </c>
      <c r="N1206">
        <v>149.71</v>
      </c>
      <c r="O1206">
        <v>0</v>
      </c>
      <c r="P12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6" t="str">
        <f>IF(Table1[[#This Row],[Fraud_Score]]&gt;=6, "High Risk",IF(Table1[[#This Row],[Fraud_Score]]&gt;=3, "Medium Risk", "Low Risk"))</f>
        <v>Low Risk</v>
      </c>
      <c r="R1206">
        <f>IF(Table1[[#This Row],[Seconds of Use]]=0,0,Table1[[#This Row],[Customer Value]]/Table1[[#This Row],[Seconds of Use]]*100)</f>
        <v>6.905442804428044</v>
      </c>
    </row>
    <row r="1207" spans="1:18" x14ac:dyDescent="0.35">
      <c r="A1207" s="3" t="s">
        <v>1228</v>
      </c>
      <c r="B1207">
        <v>7</v>
      </c>
      <c r="C1207">
        <v>0</v>
      </c>
      <c r="D1207">
        <v>40</v>
      </c>
      <c r="E1207">
        <v>1</v>
      </c>
      <c r="F1207">
        <v>3550</v>
      </c>
      <c r="G1207">
        <v>78</v>
      </c>
      <c r="H1207">
        <v>35</v>
      </c>
      <c r="I1207">
        <v>30</v>
      </c>
      <c r="J1207">
        <v>3</v>
      </c>
      <c r="K1207">
        <v>1</v>
      </c>
      <c r="L1207">
        <v>1</v>
      </c>
      <c r="M1207">
        <v>30</v>
      </c>
      <c r="N1207">
        <v>285.12</v>
      </c>
      <c r="O1207">
        <v>0</v>
      </c>
      <c r="P12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07" t="str">
        <f>IF(Table1[[#This Row],[Fraud_Score]]&gt;=6, "High Risk",IF(Table1[[#This Row],[Fraud_Score]]&gt;=3, "Medium Risk", "Low Risk"))</f>
        <v>Low Risk</v>
      </c>
      <c r="R1207">
        <f>IF(Table1[[#This Row],[Seconds of Use]]=0,0,Table1[[#This Row],[Customer Value]]/Table1[[#This Row],[Seconds of Use]]*100)</f>
        <v>8.0315492957746475</v>
      </c>
    </row>
    <row r="1208" spans="1:18" x14ac:dyDescent="0.35">
      <c r="A1208" s="3" t="s">
        <v>1229</v>
      </c>
      <c r="B1208">
        <v>0</v>
      </c>
      <c r="C1208">
        <v>0</v>
      </c>
      <c r="D1208">
        <v>40</v>
      </c>
      <c r="E1208">
        <v>0</v>
      </c>
      <c r="F1208">
        <v>2135</v>
      </c>
      <c r="G1208">
        <v>35</v>
      </c>
      <c r="H1208">
        <v>288</v>
      </c>
      <c r="I1208">
        <v>20</v>
      </c>
      <c r="J1208">
        <v>3</v>
      </c>
      <c r="K1208">
        <v>1</v>
      </c>
      <c r="L1208">
        <v>1</v>
      </c>
      <c r="M1208">
        <v>30</v>
      </c>
      <c r="N1208">
        <v>1238.8</v>
      </c>
      <c r="O1208">
        <v>0</v>
      </c>
      <c r="P12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08" t="str">
        <f>IF(Table1[[#This Row],[Fraud_Score]]&gt;=6, "High Risk",IF(Table1[[#This Row],[Fraud_Score]]&gt;=3, "Medium Risk", "Low Risk"))</f>
        <v>Low Risk</v>
      </c>
      <c r="R1208">
        <f>IF(Table1[[#This Row],[Seconds of Use]]=0,0,Table1[[#This Row],[Customer Value]]/Table1[[#This Row],[Seconds of Use]]*100)</f>
        <v>58.023419203747075</v>
      </c>
    </row>
    <row r="1209" spans="1:18" x14ac:dyDescent="0.35">
      <c r="A1209" s="3" t="s">
        <v>1230</v>
      </c>
      <c r="B1209">
        <v>9</v>
      </c>
      <c r="C1209">
        <v>0</v>
      </c>
      <c r="D1209">
        <v>39</v>
      </c>
      <c r="E1209">
        <v>2</v>
      </c>
      <c r="F1209">
        <v>8890</v>
      </c>
      <c r="G1209">
        <v>117</v>
      </c>
      <c r="H1209">
        <v>147</v>
      </c>
      <c r="I1209">
        <v>45</v>
      </c>
      <c r="J1209">
        <v>3</v>
      </c>
      <c r="K1209">
        <v>1</v>
      </c>
      <c r="L1209">
        <v>1</v>
      </c>
      <c r="M1209">
        <v>30</v>
      </c>
      <c r="N1209">
        <v>948.28</v>
      </c>
      <c r="O1209">
        <v>0</v>
      </c>
      <c r="P12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09" t="str">
        <f>IF(Table1[[#This Row],[Fraud_Score]]&gt;=6, "High Risk",IF(Table1[[#This Row],[Fraud_Score]]&gt;=3, "Medium Risk", "Low Risk"))</f>
        <v>Low Risk</v>
      </c>
      <c r="R1209">
        <f>IF(Table1[[#This Row],[Seconds of Use]]=0,0,Table1[[#This Row],[Customer Value]]/Table1[[#This Row],[Seconds of Use]]*100)</f>
        <v>10.66681664791901</v>
      </c>
    </row>
    <row r="1210" spans="1:18" x14ac:dyDescent="0.35">
      <c r="A1210" s="3" t="s">
        <v>1231</v>
      </c>
      <c r="B1210">
        <v>3</v>
      </c>
      <c r="C1210">
        <v>0</v>
      </c>
      <c r="D1210">
        <v>40</v>
      </c>
      <c r="E1210">
        <v>0</v>
      </c>
      <c r="F1210">
        <v>13548</v>
      </c>
      <c r="G1210">
        <v>165</v>
      </c>
      <c r="H1210">
        <v>3</v>
      </c>
      <c r="I1210">
        <v>46</v>
      </c>
      <c r="J1210">
        <v>3</v>
      </c>
      <c r="K1210">
        <v>1</v>
      </c>
      <c r="L1210">
        <v>1</v>
      </c>
      <c r="M1210">
        <v>30</v>
      </c>
      <c r="N1210">
        <v>560.52</v>
      </c>
      <c r="O1210">
        <v>0</v>
      </c>
      <c r="P12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10" t="str">
        <f>IF(Table1[[#This Row],[Fraud_Score]]&gt;=6, "High Risk",IF(Table1[[#This Row],[Fraud_Score]]&gt;=3, "Medium Risk", "Low Risk"))</f>
        <v>Medium Risk</v>
      </c>
      <c r="R1210">
        <f>IF(Table1[[#This Row],[Seconds of Use]]=0,0,Table1[[#This Row],[Customer Value]]/Table1[[#This Row],[Seconds of Use]]*100)</f>
        <v>4.1372896368467673</v>
      </c>
    </row>
    <row r="1211" spans="1:18" x14ac:dyDescent="0.35">
      <c r="A1211" s="3" t="s">
        <v>1232</v>
      </c>
      <c r="B1211">
        <v>3</v>
      </c>
      <c r="C1211">
        <v>0</v>
      </c>
      <c r="D1211">
        <v>40</v>
      </c>
      <c r="E1211">
        <v>1</v>
      </c>
      <c r="F1211">
        <v>4290</v>
      </c>
      <c r="G1211">
        <v>79</v>
      </c>
      <c r="H1211">
        <v>5</v>
      </c>
      <c r="I1211">
        <v>27</v>
      </c>
      <c r="J1211">
        <v>3</v>
      </c>
      <c r="K1211">
        <v>1</v>
      </c>
      <c r="L1211">
        <v>1</v>
      </c>
      <c r="M1211">
        <v>30</v>
      </c>
      <c r="N1211">
        <v>194.76</v>
      </c>
      <c r="O1211">
        <v>0</v>
      </c>
      <c r="P12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11" t="str">
        <f>IF(Table1[[#This Row],[Fraud_Score]]&gt;=6, "High Risk",IF(Table1[[#This Row],[Fraud_Score]]&gt;=3, "Medium Risk", "Low Risk"))</f>
        <v>Low Risk</v>
      </c>
      <c r="R1211">
        <f>IF(Table1[[#This Row],[Seconds of Use]]=0,0,Table1[[#This Row],[Customer Value]]/Table1[[#This Row],[Seconds of Use]]*100)</f>
        <v>4.5398601398601395</v>
      </c>
    </row>
    <row r="1212" spans="1:18" x14ac:dyDescent="0.35">
      <c r="A1212" s="3" t="s">
        <v>1233</v>
      </c>
      <c r="B1212">
        <v>2</v>
      </c>
      <c r="C1212">
        <v>0</v>
      </c>
      <c r="D1212">
        <v>40</v>
      </c>
      <c r="E1212">
        <v>0</v>
      </c>
      <c r="F1212">
        <v>5693</v>
      </c>
      <c r="G1212">
        <v>91</v>
      </c>
      <c r="H1212">
        <v>10</v>
      </c>
      <c r="I1212">
        <v>14</v>
      </c>
      <c r="J1212">
        <v>2</v>
      </c>
      <c r="K1212">
        <v>1</v>
      </c>
      <c r="L1212">
        <v>1</v>
      </c>
      <c r="M1212">
        <v>25</v>
      </c>
      <c r="N1212">
        <v>305.27999999999997</v>
      </c>
      <c r="O1212">
        <v>0</v>
      </c>
      <c r="P12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12" t="str">
        <f>IF(Table1[[#This Row],[Fraud_Score]]&gt;=6, "High Risk",IF(Table1[[#This Row],[Fraud_Score]]&gt;=3, "Medium Risk", "Low Risk"))</f>
        <v>Low Risk</v>
      </c>
      <c r="R1212">
        <f>IF(Table1[[#This Row],[Seconds of Use]]=0,0,Table1[[#This Row],[Customer Value]]/Table1[[#This Row],[Seconds of Use]]*100)</f>
        <v>5.3623748463024761</v>
      </c>
    </row>
    <row r="1213" spans="1:18" x14ac:dyDescent="0.35">
      <c r="A1213" s="3" t="s">
        <v>1234</v>
      </c>
      <c r="B1213">
        <v>5</v>
      </c>
      <c r="C1213">
        <v>0</v>
      </c>
      <c r="D1213">
        <v>40</v>
      </c>
      <c r="E1213">
        <v>0</v>
      </c>
      <c r="F1213">
        <v>2013</v>
      </c>
      <c r="G1213">
        <v>50</v>
      </c>
      <c r="H1213">
        <v>11</v>
      </c>
      <c r="I1213">
        <v>19</v>
      </c>
      <c r="J1213">
        <v>3</v>
      </c>
      <c r="K1213">
        <v>1</v>
      </c>
      <c r="L1213">
        <v>2</v>
      </c>
      <c r="M1213">
        <v>30</v>
      </c>
      <c r="N1213">
        <v>126.52</v>
      </c>
      <c r="O1213">
        <v>0</v>
      </c>
      <c r="P12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13" t="str">
        <f>IF(Table1[[#This Row],[Fraud_Score]]&gt;=6, "High Risk",IF(Table1[[#This Row],[Fraud_Score]]&gt;=3, "Medium Risk", "Low Risk"))</f>
        <v>Low Risk</v>
      </c>
      <c r="R1213">
        <f>IF(Table1[[#This Row],[Seconds of Use]]=0,0,Table1[[#This Row],[Customer Value]]/Table1[[#This Row],[Seconds of Use]]*100)</f>
        <v>6.285146547441629</v>
      </c>
    </row>
    <row r="1214" spans="1:18" x14ac:dyDescent="0.35">
      <c r="A1214" s="3" t="s">
        <v>1235</v>
      </c>
      <c r="B1214">
        <v>21</v>
      </c>
      <c r="C1214">
        <v>0</v>
      </c>
      <c r="D1214">
        <v>40</v>
      </c>
      <c r="E1214">
        <v>3</v>
      </c>
      <c r="F1214">
        <v>14915</v>
      </c>
      <c r="G1214">
        <v>221</v>
      </c>
      <c r="H1214">
        <v>57</v>
      </c>
      <c r="I1214">
        <v>34</v>
      </c>
      <c r="J1214">
        <v>3</v>
      </c>
      <c r="K1214">
        <v>1</v>
      </c>
      <c r="L1214">
        <v>1</v>
      </c>
      <c r="M1214">
        <v>30</v>
      </c>
      <c r="N1214">
        <v>833.44</v>
      </c>
      <c r="O1214">
        <v>0</v>
      </c>
      <c r="P12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214" t="str">
        <f>IF(Table1[[#This Row],[Fraud_Score]]&gt;=6, "High Risk",IF(Table1[[#This Row],[Fraud_Score]]&gt;=3, "Medium Risk", "Low Risk"))</f>
        <v>Medium Risk</v>
      </c>
      <c r="R1214">
        <f>IF(Table1[[#This Row],[Seconds of Use]]=0,0,Table1[[#This Row],[Customer Value]]/Table1[[#This Row],[Seconds of Use]]*100)</f>
        <v>5.5879316124706673</v>
      </c>
    </row>
    <row r="1215" spans="1:18" x14ac:dyDescent="0.35">
      <c r="A1215" s="3" t="s">
        <v>1236</v>
      </c>
      <c r="B1215">
        <v>0</v>
      </c>
      <c r="C1215">
        <v>0</v>
      </c>
      <c r="D1215">
        <v>40</v>
      </c>
      <c r="E1215">
        <v>1</v>
      </c>
      <c r="F1215">
        <v>2870</v>
      </c>
      <c r="G1215">
        <v>23</v>
      </c>
      <c r="H1215">
        <v>486</v>
      </c>
      <c r="I1215">
        <v>10</v>
      </c>
      <c r="J1215">
        <v>3</v>
      </c>
      <c r="K1215">
        <v>1</v>
      </c>
      <c r="L1215">
        <v>1</v>
      </c>
      <c r="M1215">
        <v>30</v>
      </c>
      <c r="N1215">
        <v>2059.7199999999998</v>
      </c>
      <c r="O1215">
        <v>0</v>
      </c>
      <c r="P12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15" t="str">
        <f>IF(Table1[[#This Row],[Fraud_Score]]&gt;=6, "High Risk",IF(Table1[[#This Row],[Fraud_Score]]&gt;=3, "Medium Risk", "Low Risk"))</f>
        <v>Low Risk</v>
      </c>
      <c r="R1215">
        <f>IF(Table1[[#This Row],[Seconds of Use]]=0,0,Table1[[#This Row],[Customer Value]]/Table1[[#This Row],[Seconds of Use]]*100)</f>
        <v>71.767247386759564</v>
      </c>
    </row>
    <row r="1216" spans="1:18" x14ac:dyDescent="0.35">
      <c r="A1216" s="3" t="s">
        <v>1237</v>
      </c>
      <c r="B1216">
        <v>5</v>
      </c>
      <c r="C1216">
        <v>0</v>
      </c>
      <c r="D1216">
        <v>39</v>
      </c>
      <c r="E1216">
        <v>0</v>
      </c>
      <c r="F1216">
        <v>15260</v>
      </c>
      <c r="G1216">
        <v>178</v>
      </c>
      <c r="H1216">
        <v>153</v>
      </c>
      <c r="I1216">
        <v>32</v>
      </c>
      <c r="J1216">
        <v>2</v>
      </c>
      <c r="K1216">
        <v>1</v>
      </c>
      <c r="L1216">
        <v>1</v>
      </c>
      <c r="M1216">
        <v>25</v>
      </c>
      <c r="N1216">
        <v>1383.21</v>
      </c>
      <c r="O1216">
        <v>0</v>
      </c>
      <c r="P12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16" t="str">
        <f>IF(Table1[[#This Row],[Fraud_Score]]&gt;=6, "High Risk",IF(Table1[[#This Row],[Fraud_Score]]&gt;=3, "Medium Risk", "Low Risk"))</f>
        <v>Medium Risk</v>
      </c>
      <c r="R1216">
        <f>IF(Table1[[#This Row],[Seconds of Use]]=0,0,Table1[[#This Row],[Customer Value]]/Table1[[#This Row],[Seconds of Use]]*100)</f>
        <v>9.0642857142857149</v>
      </c>
    </row>
    <row r="1217" spans="1:18" x14ac:dyDescent="0.35">
      <c r="A1217" s="3" t="s">
        <v>1238</v>
      </c>
      <c r="B1217">
        <v>0</v>
      </c>
      <c r="C1217">
        <v>0</v>
      </c>
      <c r="D1217">
        <v>39</v>
      </c>
      <c r="E1217">
        <v>1</v>
      </c>
      <c r="F1217">
        <v>6275</v>
      </c>
      <c r="G1217">
        <v>82</v>
      </c>
      <c r="H1217">
        <v>189</v>
      </c>
      <c r="I1217">
        <v>28</v>
      </c>
      <c r="J1217">
        <v>3</v>
      </c>
      <c r="K1217">
        <v>1</v>
      </c>
      <c r="L1217">
        <v>1</v>
      </c>
      <c r="M1217">
        <v>30</v>
      </c>
      <c r="N1217">
        <v>1010.28</v>
      </c>
      <c r="O1217">
        <v>0</v>
      </c>
      <c r="P12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17" t="str">
        <f>IF(Table1[[#This Row],[Fraud_Score]]&gt;=6, "High Risk",IF(Table1[[#This Row],[Fraud_Score]]&gt;=3, "Medium Risk", "Low Risk"))</f>
        <v>Low Risk</v>
      </c>
      <c r="R1217">
        <f>IF(Table1[[#This Row],[Seconds of Use]]=0,0,Table1[[#This Row],[Customer Value]]/Table1[[#This Row],[Seconds of Use]]*100)</f>
        <v>16.100079681274902</v>
      </c>
    </row>
    <row r="1218" spans="1:18" x14ac:dyDescent="0.35">
      <c r="A1218" s="3" t="s">
        <v>1239</v>
      </c>
      <c r="B1218">
        <v>0</v>
      </c>
      <c r="C1218">
        <v>0</v>
      </c>
      <c r="D1218">
        <v>39</v>
      </c>
      <c r="E1218">
        <v>0</v>
      </c>
      <c r="F1218">
        <v>650</v>
      </c>
      <c r="G1218">
        <v>10</v>
      </c>
      <c r="H1218">
        <v>3</v>
      </c>
      <c r="I1218">
        <v>13</v>
      </c>
      <c r="J1218">
        <v>2</v>
      </c>
      <c r="K1218">
        <v>1</v>
      </c>
      <c r="L1218">
        <v>2</v>
      </c>
      <c r="M1218">
        <v>25</v>
      </c>
      <c r="N1218">
        <v>43.2</v>
      </c>
      <c r="O1218">
        <v>0</v>
      </c>
      <c r="P12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18" t="str">
        <f>IF(Table1[[#This Row],[Fraud_Score]]&gt;=6, "High Risk",IF(Table1[[#This Row],[Fraud_Score]]&gt;=3, "Medium Risk", "Low Risk"))</f>
        <v>Low Risk</v>
      </c>
      <c r="R1218">
        <f>IF(Table1[[#This Row],[Seconds of Use]]=0,0,Table1[[#This Row],[Customer Value]]/Table1[[#This Row],[Seconds of Use]]*100)</f>
        <v>6.6461538461538456</v>
      </c>
    </row>
    <row r="1219" spans="1:18" x14ac:dyDescent="0.35">
      <c r="A1219" s="3" t="s">
        <v>1240</v>
      </c>
      <c r="B1219">
        <v>0</v>
      </c>
      <c r="C1219">
        <v>0</v>
      </c>
      <c r="D1219">
        <v>40</v>
      </c>
      <c r="E1219">
        <v>0</v>
      </c>
      <c r="F1219">
        <v>485</v>
      </c>
      <c r="G1219">
        <v>10</v>
      </c>
      <c r="H1219">
        <v>16</v>
      </c>
      <c r="I1219">
        <v>10</v>
      </c>
      <c r="J1219">
        <v>2</v>
      </c>
      <c r="K1219">
        <v>1</v>
      </c>
      <c r="L1219">
        <v>2</v>
      </c>
      <c r="M1219">
        <v>25</v>
      </c>
      <c r="N1219">
        <v>94.275000000000006</v>
      </c>
      <c r="O1219">
        <v>0</v>
      </c>
      <c r="P12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19" t="str">
        <f>IF(Table1[[#This Row],[Fraud_Score]]&gt;=6, "High Risk",IF(Table1[[#This Row],[Fraud_Score]]&gt;=3, "Medium Risk", "Low Risk"))</f>
        <v>Low Risk</v>
      </c>
      <c r="R1219">
        <f>IF(Table1[[#This Row],[Seconds of Use]]=0,0,Table1[[#This Row],[Customer Value]]/Table1[[#This Row],[Seconds of Use]]*100)</f>
        <v>19.438144329896907</v>
      </c>
    </row>
    <row r="1220" spans="1:18" x14ac:dyDescent="0.35">
      <c r="A1220" s="3" t="s">
        <v>1241</v>
      </c>
      <c r="B1220">
        <v>0</v>
      </c>
      <c r="C1220">
        <v>0</v>
      </c>
      <c r="D1220">
        <v>39</v>
      </c>
      <c r="E1220">
        <v>0</v>
      </c>
      <c r="F1220">
        <v>0</v>
      </c>
      <c r="G1220">
        <v>0</v>
      </c>
      <c r="H1220">
        <v>3</v>
      </c>
      <c r="I1220">
        <v>0</v>
      </c>
      <c r="J1220">
        <v>2</v>
      </c>
      <c r="K1220">
        <v>1</v>
      </c>
      <c r="L1220">
        <v>2</v>
      </c>
      <c r="M1220">
        <v>25</v>
      </c>
      <c r="N1220">
        <v>13.5</v>
      </c>
      <c r="O1220">
        <v>1</v>
      </c>
      <c r="P12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20" t="str">
        <f>IF(Table1[[#This Row],[Fraud_Score]]&gt;=6, "High Risk",IF(Table1[[#This Row],[Fraud_Score]]&gt;=3, "Medium Risk", "Low Risk"))</f>
        <v>Low Risk</v>
      </c>
      <c r="R1220">
        <f>IF(Table1[[#This Row],[Seconds of Use]]=0,0,Table1[[#This Row],[Customer Value]]/Table1[[#This Row],[Seconds of Use]]*100)</f>
        <v>0</v>
      </c>
    </row>
    <row r="1221" spans="1:18" x14ac:dyDescent="0.35">
      <c r="A1221" s="3" t="s">
        <v>1242</v>
      </c>
      <c r="B1221">
        <v>0</v>
      </c>
      <c r="C1221">
        <v>0</v>
      </c>
      <c r="D1221">
        <v>39</v>
      </c>
      <c r="E1221">
        <v>0</v>
      </c>
      <c r="F1221">
        <v>7283</v>
      </c>
      <c r="G1221">
        <v>123</v>
      </c>
      <c r="H1221">
        <v>387</v>
      </c>
      <c r="I1221">
        <v>45</v>
      </c>
      <c r="J1221">
        <v>2</v>
      </c>
      <c r="K1221">
        <v>1</v>
      </c>
      <c r="L1221">
        <v>1</v>
      </c>
      <c r="M1221">
        <v>25</v>
      </c>
      <c r="N1221">
        <v>2074.77</v>
      </c>
      <c r="O1221">
        <v>0</v>
      </c>
      <c r="P12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21" t="str">
        <f>IF(Table1[[#This Row],[Fraud_Score]]&gt;=6, "High Risk",IF(Table1[[#This Row],[Fraud_Score]]&gt;=3, "Medium Risk", "Low Risk"))</f>
        <v>Low Risk</v>
      </c>
      <c r="R1221">
        <f>IF(Table1[[#This Row],[Seconds of Use]]=0,0,Table1[[#This Row],[Customer Value]]/Table1[[#This Row],[Seconds of Use]]*100)</f>
        <v>28.487848414115064</v>
      </c>
    </row>
    <row r="1222" spans="1:18" x14ac:dyDescent="0.35">
      <c r="A1222" s="3" t="s">
        <v>1243</v>
      </c>
      <c r="B1222">
        <v>3</v>
      </c>
      <c r="C1222">
        <v>0</v>
      </c>
      <c r="D1222">
        <v>39</v>
      </c>
      <c r="E1222">
        <v>1</v>
      </c>
      <c r="F1222">
        <v>11240</v>
      </c>
      <c r="G1222">
        <v>150</v>
      </c>
      <c r="H1222">
        <v>14</v>
      </c>
      <c r="I1222">
        <v>49</v>
      </c>
      <c r="J1222">
        <v>3</v>
      </c>
      <c r="K1222">
        <v>1</v>
      </c>
      <c r="L1222">
        <v>1</v>
      </c>
      <c r="M1222">
        <v>30</v>
      </c>
      <c r="N1222">
        <v>511.6</v>
      </c>
      <c r="O1222">
        <v>0</v>
      </c>
      <c r="P12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22" t="str">
        <f>IF(Table1[[#This Row],[Fraud_Score]]&gt;=6, "High Risk",IF(Table1[[#This Row],[Fraud_Score]]&gt;=3, "Medium Risk", "Low Risk"))</f>
        <v>Medium Risk</v>
      </c>
      <c r="R1222">
        <f>IF(Table1[[#This Row],[Seconds of Use]]=0,0,Table1[[#This Row],[Customer Value]]/Table1[[#This Row],[Seconds of Use]]*100)</f>
        <v>4.5516014234875444</v>
      </c>
    </row>
    <row r="1223" spans="1:18" x14ac:dyDescent="0.35">
      <c r="A1223" s="3" t="s">
        <v>1244</v>
      </c>
      <c r="B1223">
        <v>4</v>
      </c>
      <c r="C1223">
        <v>0</v>
      </c>
      <c r="D1223">
        <v>39</v>
      </c>
      <c r="E1223">
        <v>1</v>
      </c>
      <c r="F1223">
        <v>6493</v>
      </c>
      <c r="G1223">
        <v>71</v>
      </c>
      <c r="H1223">
        <v>111</v>
      </c>
      <c r="I1223">
        <v>39</v>
      </c>
      <c r="J1223">
        <v>2</v>
      </c>
      <c r="K1223">
        <v>1</v>
      </c>
      <c r="L1223">
        <v>1</v>
      </c>
      <c r="M1223">
        <v>25</v>
      </c>
      <c r="N1223">
        <v>794.88</v>
      </c>
      <c r="O1223">
        <v>0</v>
      </c>
      <c r="P12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23" t="str">
        <f>IF(Table1[[#This Row],[Fraud_Score]]&gt;=6, "High Risk",IF(Table1[[#This Row],[Fraud_Score]]&gt;=3, "Medium Risk", "Low Risk"))</f>
        <v>Low Risk</v>
      </c>
      <c r="R1223">
        <f>IF(Table1[[#This Row],[Seconds of Use]]=0,0,Table1[[#This Row],[Customer Value]]/Table1[[#This Row],[Seconds of Use]]*100)</f>
        <v>12.242106884336978</v>
      </c>
    </row>
    <row r="1224" spans="1:18" x14ac:dyDescent="0.35">
      <c r="A1224" s="3" t="s">
        <v>1245</v>
      </c>
      <c r="B1224">
        <v>19</v>
      </c>
      <c r="C1224">
        <v>0</v>
      </c>
      <c r="D1224">
        <v>35</v>
      </c>
      <c r="E1224">
        <v>0</v>
      </c>
      <c r="F1224">
        <v>730</v>
      </c>
      <c r="G1224">
        <v>43</v>
      </c>
      <c r="H1224">
        <v>19</v>
      </c>
      <c r="I1224">
        <v>19</v>
      </c>
      <c r="J1224">
        <v>2</v>
      </c>
      <c r="K1224">
        <v>1</v>
      </c>
      <c r="L1224">
        <v>2</v>
      </c>
      <c r="M1224">
        <v>25</v>
      </c>
      <c r="N1224">
        <v>120.285</v>
      </c>
      <c r="O1224">
        <v>1</v>
      </c>
      <c r="P12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24" t="str">
        <f>IF(Table1[[#This Row],[Fraud_Score]]&gt;=6, "High Risk",IF(Table1[[#This Row],[Fraud_Score]]&gt;=3, "Medium Risk", "Low Risk"))</f>
        <v>Medium Risk</v>
      </c>
      <c r="R1224">
        <f>IF(Table1[[#This Row],[Seconds of Use]]=0,0,Table1[[#This Row],[Customer Value]]/Table1[[#This Row],[Seconds of Use]]*100)</f>
        <v>16.477397260273971</v>
      </c>
    </row>
    <row r="1225" spans="1:18" x14ac:dyDescent="0.35">
      <c r="A1225" s="3" t="s">
        <v>1246</v>
      </c>
      <c r="B1225">
        <v>17</v>
      </c>
      <c r="C1225">
        <v>0</v>
      </c>
      <c r="D1225">
        <v>38</v>
      </c>
      <c r="E1225">
        <v>8</v>
      </c>
      <c r="F1225">
        <v>10210</v>
      </c>
      <c r="G1225">
        <v>89</v>
      </c>
      <c r="H1225">
        <v>4</v>
      </c>
      <c r="I1225">
        <v>44</v>
      </c>
      <c r="J1225">
        <v>4</v>
      </c>
      <c r="K1225">
        <v>2</v>
      </c>
      <c r="L1225">
        <v>1</v>
      </c>
      <c r="M1225">
        <v>45</v>
      </c>
      <c r="N1225">
        <v>267.47500000000002</v>
      </c>
      <c r="O1225">
        <v>0</v>
      </c>
      <c r="P12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225" t="str">
        <f>IF(Table1[[#This Row],[Fraud_Score]]&gt;=6, "High Risk",IF(Table1[[#This Row],[Fraud_Score]]&gt;=3, "Medium Risk", "Low Risk"))</f>
        <v>Low Risk</v>
      </c>
      <c r="R1225">
        <f>IF(Table1[[#This Row],[Seconds of Use]]=0,0,Table1[[#This Row],[Customer Value]]/Table1[[#This Row],[Seconds of Use]]*100)</f>
        <v>2.6197355533790403</v>
      </c>
    </row>
    <row r="1226" spans="1:18" x14ac:dyDescent="0.35">
      <c r="A1226" s="3" t="s">
        <v>1247</v>
      </c>
      <c r="B1226">
        <v>9</v>
      </c>
      <c r="C1226">
        <v>0</v>
      </c>
      <c r="D1226">
        <v>38</v>
      </c>
      <c r="E1226">
        <v>1</v>
      </c>
      <c r="F1226">
        <v>5593</v>
      </c>
      <c r="G1226">
        <v>94</v>
      </c>
      <c r="H1226">
        <v>29</v>
      </c>
      <c r="I1226">
        <v>26</v>
      </c>
      <c r="J1226">
        <v>2</v>
      </c>
      <c r="K1226">
        <v>1</v>
      </c>
      <c r="L1226">
        <v>1</v>
      </c>
      <c r="M1226">
        <v>25</v>
      </c>
      <c r="N1226">
        <v>386.41500000000002</v>
      </c>
      <c r="O1226">
        <v>1</v>
      </c>
      <c r="P12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26" t="str">
        <f>IF(Table1[[#This Row],[Fraud_Score]]&gt;=6, "High Risk",IF(Table1[[#This Row],[Fraud_Score]]&gt;=3, "Medium Risk", "Low Risk"))</f>
        <v>Low Risk</v>
      </c>
      <c r="R1226">
        <f>IF(Table1[[#This Row],[Seconds of Use]]=0,0,Table1[[#This Row],[Customer Value]]/Table1[[#This Row],[Seconds of Use]]*100)</f>
        <v>6.9089039871267657</v>
      </c>
    </row>
    <row r="1227" spans="1:18" x14ac:dyDescent="0.35">
      <c r="A1227" s="3" t="s">
        <v>1248</v>
      </c>
      <c r="B1227">
        <v>0</v>
      </c>
      <c r="C1227">
        <v>0</v>
      </c>
      <c r="D1227">
        <v>36</v>
      </c>
      <c r="E1227">
        <v>0</v>
      </c>
      <c r="F1227">
        <v>2615</v>
      </c>
      <c r="G1227">
        <v>18</v>
      </c>
      <c r="H1227">
        <v>3</v>
      </c>
      <c r="I1227">
        <v>16</v>
      </c>
      <c r="J1227">
        <v>3</v>
      </c>
      <c r="K1227">
        <v>1</v>
      </c>
      <c r="L1227">
        <v>1</v>
      </c>
      <c r="M1227">
        <v>30</v>
      </c>
      <c r="N1227">
        <v>117.32</v>
      </c>
      <c r="O1227">
        <v>0</v>
      </c>
      <c r="P12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27" t="str">
        <f>IF(Table1[[#This Row],[Fraud_Score]]&gt;=6, "High Risk",IF(Table1[[#This Row],[Fraud_Score]]&gt;=3, "Medium Risk", "Low Risk"))</f>
        <v>Low Risk</v>
      </c>
      <c r="R1227">
        <f>IF(Table1[[#This Row],[Seconds of Use]]=0,0,Table1[[#This Row],[Customer Value]]/Table1[[#This Row],[Seconds of Use]]*100)</f>
        <v>4.4864244741873804</v>
      </c>
    </row>
    <row r="1228" spans="1:18" x14ac:dyDescent="0.35">
      <c r="A1228" s="3" t="s">
        <v>1249</v>
      </c>
      <c r="B1228">
        <v>5</v>
      </c>
      <c r="C1228">
        <v>1</v>
      </c>
      <c r="D1228">
        <v>37</v>
      </c>
      <c r="E1228">
        <v>0</v>
      </c>
      <c r="F1228">
        <v>2765</v>
      </c>
      <c r="G1228">
        <v>37</v>
      </c>
      <c r="H1228">
        <v>12</v>
      </c>
      <c r="I1228">
        <v>18</v>
      </c>
      <c r="J1228">
        <v>2</v>
      </c>
      <c r="K1228">
        <v>1</v>
      </c>
      <c r="L1228">
        <v>2</v>
      </c>
      <c r="M1228">
        <v>25</v>
      </c>
      <c r="N1228">
        <v>180.09</v>
      </c>
      <c r="O1228">
        <v>1</v>
      </c>
      <c r="P12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28" t="str">
        <f>IF(Table1[[#This Row],[Fraud_Score]]&gt;=6, "High Risk",IF(Table1[[#This Row],[Fraud_Score]]&gt;=3, "Medium Risk", "Low Risk"))</f>
        <v>Medium Risk</v>
      </c>
      <c r="R1228">
        <f>IF(Table1[[#This Row],[Seconds of Use]]=0,0,Table1[[#This Row],[Customer Value]]/Table1[[#This Row],[Seconds of Use]]*100)</f>
        <v>6.5132007233273059</v>
      </c>
    </row>
    <row r="1229" spans="1:18" x14ac:dyDescent="0.35">
      <c r="A1229" s="3" t="s">
        <v>1250</v>
      </c>
      <c r="B1229">
        <v>5</v>
      </c>
      <c r="C1229">
        <v>0</v>
      </c>
      <c r="D1229">
        <v>38</v>
      </c>
      <c r="E1229">
        <v>0</v>
      </c>
      <c r="F1229">
        <v>2043</v>
      </c>
      <c r="G1229">
        <v>40</v>
      </c>
      <c r="H1229">
        <v>37</v>
      </c>
      <c r="I1229">
        <v>33</v>
      </c>
      <c r="J1229">
        <v>3</v>
      </c>
      <c r="K1229">
        <v>1</v>
      </c>
      <c r="L1229">
        <v>2</v>
      </c>
      <c r="M1229">
        <v>30</v>
      </c>
      <c r="N1229">
        <v>231.32</v>
      </c>
      <c r="O1229">
        <v>1</v>
      </c>
      <c r="P12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29" t="str">
        <f>IF(Table1[[#This Row],[Fraud_Score]]&gt;=6, "High Risk",IF(Table1[[#This Row],[Fraud_Score]]&gt;=3, "Medium Risk", "Low Risk"))</f>
        <v>Low Risk</v>
      </c>
      <c r="R1229">
        <f>IF(Table1[[#This Row],[Seconds of Use]]=0,0,Table1[[#This Row],[Customer Value]]/Table1[[#This Row],[Seconds of Use]]*100)</f>
        <v>11.322564855604503</v>
      </c>
    </row>
    <row r="1230" spans="1:18" x14ac:dyDescent="0.35">
      <c r="A1230" s="3" t="s">
        <v>1251</v>
      </c>
      <c r="B1230">
        <v>0</v>
      </c>
      <c r="C1230">
        <v>0</v>
      </c>
      <c r="D1230">
        <v>38</v>
      </c>
      <c r="E1230">
        <v>0</v>
      </c>
      <c r="F1230">
        <v>0</v>
      </c>
      <c r="G1230">
        <v>0</v>
      </c>
      <c r="H1230">
        <v>3</v>
      </c>
      <c r="I1230">
        <v>0</v>
      </c>
      <c r="J1230">
        <v>3</v>
      </c>
      <c r="K1230">
        <v>1</v>
      </c>
      <c r="L1230">
        <v>2</v>
      </c>
      <c r="M1230">
        <v>30</v>
      </c>
      <c r="N1230">
        <v>12</v>
      </c>
      <c r="O1230">
        <v>1</v>
      </c>
      <c r="P12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30" t="str">
        <f>IF(Table1[[#This Row],[Fraud_Score]]&gt;=6, "High Risk",IF(Table1[[#This Row],[Fraud_Score]]&gt;=3, "Medium Risk", "Low Risk"))</f>
        <v>Low Risk</v>
      </c>
      <c r="R1230">
        <f>IF(Table1[[#This Row],[Seconds of Use]]=0,0,Table1[[#This Row],[Customer Value]]/Table1[[#This Row],[Seconds of Use]]*100)</f>
        <v>0</v>
      </c>
    </row>
    <row r="1231" spans="1:18" x14ac:dyDescent="0.35">
      <c r="A1231" s="3" t="s">
        <v>1252</v>
      </c>
      <c r="B1231">
        <v>0</v>
      </c>
      <c r="C1231">
        <v>0</v>
      </c>
      <c r="D1231">
        <v>38</v>
      </c>
      <c r="E1231">
        <v>0</v>
      </c>
      <c r="F1231">
        <v>1443</v>
      </c>
      <c r="G1231">
        <v>21</v>
      </c>
      <c r="H1231">
        <v>3</v>
      </c>
      <c r="I1231">
        <v>8</v>
      </c>
      <c r="J1231">
        <v>3</v>
      </c>
      <c r="K1231">
        <v>1</v>
      </c>
      <c r="L1231">
        <v>1</v>
      </c>
      <c r="M1231">
        <v>30</v>
      </c>
      <c r="N1231">
        <v>70.56</v>
      </c>
      <c r="O1231">
        <v>0</v>
      </c>
      <c r="P12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31" t="str">
        <f>IF(Table1[[#This Row],[Fraud_Score]]&gt;=6, "High Risk",IF(Table1[[#This Row],[Fraud_Score]]&gt;=3, "Medium Risk", "Low Risk"))</f>
        <v>Low Risk</v>
      </c>
      <c r="R1231">
        <f>IF(Table1[[#This Row],[Seconds of Use]]=0,0,Table1[[#This Row],[Customer Value]]/Table1[[#This Row],[Seconds of Use]]*100)</f>
        <v>4.8898128898128901</v>
      </c>
    </row>
    <row r="1232" spans="1:18" x14ac:dyDescent="0.35">
      <c r="A1232" s="3" t="s">
        <v>1253</v>
      </c>
      <c r="B1232">
        <v>0</v>
      </c>
      <c r="C1232">
        <v>0</v>
      </c>
      <c r="D1232">
        <v>35</v>
      </c>
      <c r="E1232">
        <v>1</v>
      </c>
      <c r="F1232">
        <v>6560</v>
      </c>
      <c r="G1232">
        <v>93</v>
      </c>
      <c r="H1232">
        <v>17</v>
      </c>
      <c r="I1232">
        <v>24</v>
      </c>
      <c r="J1232">
        <v>4</v>
      </c>
      <c r="K1232">
        <v>1</v>
      </c>
      <c r="L1232">
        <v>1</v>
      </c>
      <c r="M1232">
        <v>45</v>
      </c>
      <c r="N1232">
        <v>208.82499999999999</v>
      </c>
      <c r="O1232">
        <v>0</v>
      </c>
      <c r="P12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32" t="str">
        <f>IF(Table1[[#This Row],[Fraud_Score]]&gt;=6, "High Risk",IF(Table1[[#This Row],[Fraud_Score]]&gt;=3, "Medium Risk", "Low Risk"))</f>
        <v>Low Risk</v>
      </c>
      <c r="R1232">
        <f>IF(Table1[[#This Row],[Seconds of Use]]=0,0,Table1[[#This Row],[Customer Value]]/Table1[[#This Row],[Seconds of Use]]*100)</f>
        <v>3.1833079268292681</v>
      </c>
    </row>
    <row r="1233" spans="1:18" x14ac:dyDescent="0.35">
      <c r="A1233" s="3" t="s">
        <v>1254</v>
      </c>
      <c r="B1233">
        <v>0</v>
      </c>
      <c r="C1233">
        <v>1</v>
      </c>
      <c r="D1233">
        <v>38</v>
      </c>
      <c r="E1233">
        <v>0</v>
      </c>
      <c r="F1233">
        <v>403</v>
      </c>
      <c r="G1233">
        <v>3</v>
      </c>
      <c r="H1233">
        <v>12</v>
      </c>
      <c r="I1233">
        <v>6</v>
      </c>
      <c r="J1233">
        <v>4</v>
      </c>
      <c r="K1233">
        <v>1</v>
      </c>
      <c r="L1233">
        <v>2</v>
      </c>
      <c r="M1233">
        <v>45</v>
      </c>
      <c r="N1233">
        <v>40.15</v>
      </c>
      <c r="O1233">
        <v>1</v>
      </c>
      <c r="P12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33" t="str">
        <f>IF(Table1[[#This Row],[Fraud_Score]]&gt;=6, "High Risk",IF(Table1[[#This Row],[Fraud_Score]]&gt;=3, "Medium Risk", "Low Risk"))</f>
        <v>Medium Risk</v>
      </c>
      <c r="R1233">
        <f>IF(Table1[[#This Row],[Seconds of Use]]=0,0,Table1[[#This Row],[Customer Value]]/Table1[[#This Row],[Seconds of Use]]*100)</f>
        <v>9.9627791563275441</v>
      </c>
    </row>
    <row r="1234" spans="1:18" x14ac:dyDescent="0.35">
      <c r="A1234" s="3" t="s">
        <v>1255</v>
      </c>
      <c r="B1234">
        <v>0</v>
      </c>
      <c r="C1234">
        <v>0</v>
      </c>
      <c r="D1234">
        <v>38</v>
      </c>
      <c r="E1234">
        <v>1</v>
      </c>
      <c r="F1234">
        <v>0</v>
      </c>
      <c r="G1234">
        <v>0</v>
      </c>
      <c r="H1234">
        <v>7</v>
      </c>
      <c r="I1234">
        <v>0</v>
      </c>
      <c r="J1234">
        <v>5</v>
      </c>
      <c r="K1234">
        <v>1</v>
      </c>
      <c r="L1234">
        <v>1</v>
      </c>
      <c r="M1234">
        <v>55</v>
      </c>
      <c r="N1234">
        <v>10.5</v>
      </c>
      <c r="O1234">
        <v>0</v>
      </c>
      <c r="P12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34" t="str">
        <f>IF(Table1[[#This Row],[Fraud_Score]]&gt;=6, "High Risk",IF(Table1[[#This Row],[Fraud_Score]]&gt;=3, "Medium Risk", "Low Risk"))</f>
        <v>Low Risk</v>
      </c>
      <c r="R1234">
        <f>IF(Table1[[#This Row],[Seconds of Use]]=0,0,Table1[[#This Row],[Customer Value]]/Table1[[#This Row],[Seconds of Use]]*100)</f>
        <v>0</v>
      </c>
    </row>
    <row r="1235" spans="1:18" x14ac:dyDescent="0.35">
      <c r="A1235" s="3" t="s">
        <v>1256</v>
      </c>
      <c r="B1235">
        <v>21</v>
      </c>
      <c r="C1235">
        <v>0</v>
      </c>
      <c r="D1235">
        <v>33</v>
      </c>
      <c r="E1235">
        <v>3</v>
      </c>
      <c r="F1235">
        <v>15850</v>
      </c>
      <c r="G1235">
        <v>234</v>
      </c>
      <c r="H1235">
        <v>3</v>
      </c>
      <c r="I1235">
        <v>82</v>
      </c>
      <c r="J1235">
        <v>2</v>
      </c>
      <c r="K1235">
        <v>1</v>
      </c>
      <c r="L1235">
        <v>1</v>
      </c>
      <c r="M1235">
        <v>25</v>
      </c>
      <c r="N1235">
        <v>737.28</v>
      </c>
      <c r="O1235">
        <v>0</v>
      </c>
      <c r="P12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235" t="str">
        <f>IF(Table1[[#This Row],[Fraud_Score]]&gt;=6, "High Risk",IF(Table1[[#This Row],[Fraud_Score]]&gt;=3, "Medium Risk", "Low Risk"))</f>
        <v>Medium Risk</v>
      </c>
      <c r="R1235">
        <f>IF(Table1[[#This Row],[Seconds of Use]]=0,0,Table1[[#This Row],[Customer Value]]/Table1[[#This Row],[Seconds of Use]]*100)</f>
        <v>4.6516088328075709</v>
      </c>
    </row>
    <row r="1236" spans="1:18" x14ac:dyDescent="0.35">
      <c r="A1236" s="3" t="s">
        <v>1257</v>
      </c>
      <c r="B1236">
        <v>2</v>
      </c>
      <c r="C1236">
        <v>0</v>
      </c>
      <c r="D1236">
        <v>36</v>
      </c>
      <c r="E1236">
        <v>3</v>
      </c>
      <c r="F1236">
        <v>6740</v>
      </c>
      <c r="G1236">
        <v>112</v>
      </c>
      <c r="H1236">
        <v>274</v>
      </c>
      <c r="I1236">
        <v>35</v>
      </c>
      <c r="J1236">
        <v>2</v>
      </c>
      <c r="K1236">
        <v>2</v>
      </c>
      <c r="L1236">
        <v>1</v>
      </c>
      <c r="M1236">
        <v>25</v>
      </c>
      <c r="N1236">
        <v>1541.34</v>
      </c>
      <c r="O1236">
        <v>0</v>
      </c>
      <c r="P12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36" t="str">
        <f>IF(Table1[[#This Row],[Fraud_Score]]&gt;=6, "High Risk",IF(Table1[[#This Row],[Fraud_Score]]&gt;=3, "Medium Risk", "Low Risk"))</f>
        <v>Low Risk</v>
      </c>
      <c r="R1236">
        <f>IF(Table1[[#This Row],[Seconds of Use]]=0,0,Table1[[#This Row],[Customer Value]]/Table1[[#This Row],[Seconds of Use]]*100)</f>
        <v>22.868545994065283</v>
      </c>
    </row>
    <row r="1237" spans="1:18" x14ac:dyDescent="0.35">
      <c r="A1237" s="3" t="s">
        <v>1258</v>
      </c>
      <c r="B1237">
        <v>0</v>
      </c>
      <c r="C1237">
        <v>0</v>
      </c>
      <c r="D1237">
        <v>38</v>
      </c>
      <c r="E1237">
        <v>0</v>
      </c>
      <c r="F1237">
        <v>3493</v>
      </c>
      <c r="G1237">
        <v>78</v>
      </c>
      <c r="H1237">
        <v>5</v>
      </c>
      <c r="I1237">
        <v>30</v>
      </c>
      <c r="J1237">
        <v>2</v>
      </c>
      <c r="K1237">
        <v>1</v>
      </c>
      <c r="L1237">
        <v>1</v>
      </c>
      <c r="M1237">
        <v>25</v>
      </c>
      <c r="N1237">
        <v>183.19499999999999</v>
      </c>
      <c r="O1237">
        <v>0</v>
      </c>
      <c r="P12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37" t="str">
        <f>IF(Table1[[#This Row],[Fraud_Score]]&gt;=6, "High Risk",IF(Table1[[#This Row],[Fraud_Score]]&gt;=3, "Medium Risk", "Low Risk"))</f>
        <v>Low Risk</v>
      </c>
      <c r="R1237">
        <f>IF(Table1[[#This Row],[Seconds of Use]]=0,0,Table1[[#This Row],[Customer Value]]/Table1[[#This Row],[Seconds of Use]]*100)</f>
        <v>5.244632121385628</v>
      </c>
    </row>
    <row r="1238" spans="1:18" x14ac:dyDescent="0.35">
      <c r="A1238" s="3" t="s">
        <v>1259</v>
      </c>
      <c r="B1238">
        <v>0</v>
      </c>
      <c r="C1238">
        <v>0</v>
      </c>
      <c r="D1238">
        <v>37</v>
      </c>
      <c r="E1238">
        <v>0</v>
      </c>
      <c r="F1238">
        <v>1440</v>
      </c>
      <c r="G1238">
        <v>40</v>
      </c>
      <c r="H1238">
        <v>41</v>
      </c>
      <c r="I1238">
        <v>22</v>
      </c>
      <c r="J1238">
        <v>3</v>
      </c>
      <c r="K1238">
        <v>1</v>
      </c>
      <c r="L1238">
        <v>2</v>
      </c>
      <c r="M1238">
        <v>30</v>
      </c>
      <c r="N1238">
        <v>223.2</v>
      </c>
      <c r="O1238">
        <v>0</v>
      </c>
      <c r="P12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38" t="str">
        <f>IF(Table1[[#This Row],[Fraud_Score]]&gt;=6, "High Risk",IF(Table1[[#This Row],[Fraud_Score]]&gt;=3, "Medium Risk", "Low Risk"))</f>
        <v>Low Risk</v>
      </c>
      <c r="R1238">
        <f>IF(Table1[[#This Row],[Seconds of Use]]=0,0,Table1[[#This Row],[Customer Value]]/Table1[[#This Row],[Seconds of Use]]*100)</f>
        <v>15.5</v>
      </c>
    </row>
    <row r="1239" spans="1:18" x14ac:dyDescent="0.35">
      <c r="A1239" s="3" t="s">
        <v>1260</v>
      </c>
      <c r="B1239">
        <v>2</v>
      </c>
      <c r="C1239">
        <v>0</v>
      </c>
      <c r="D1239">
        <v>38</v>
      </c>
      <c r="E1239">
        <v>0</v>
      </c>
      <c r="F1239">
        <v>2555</v>
      </c>
      <c r="G1239">
        <v>49</v>
      </c>
      <c r="H1239">
        <v>178</v>
      </c>
      <c r="I1239">
        <v>25</v>
      </c>
      <c r="J1239">
        <v>2</v>
      </c>
      <c r="K1239">
        <v>1</v>
      </c>
      <c r="L1239">
        <v>1</v>
      </c>
      <c r="M1239">
        <v>25</v>
      </c>
      <c r="N1239">
        <v>918.18</v>
      </c>
      <c r="O1239">
        <v>0</v>
      </c>
      <c r="P12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39" t="str">
        <f>IF(Table1[[#This Row],[Fraud_Score]]&gt;=6, "High Risk",IF(Table1[[#This Row],[Fraud_Score]]&gt;=3, "Medium Risk", "Low Risk"))</f>
        <v>Low Risk</v>
      </c>
      <c r="R1239">
        <f>IF(Table1[[#This Row],[Seconds of Use]]=0,0,Table1[[#This Row],[Customer Value]]/Table1[[#This Row],[Seconds of Use]]*100)</f>
        <v>35.936594911937377</v>
      </c>
    </row>
    <row r="1240" spans="1:18" x14ac:dyDescent="0.35">
      <c r="A1240" s="3" t="s">
        <v>1261</v>
      </c>
      <c r="B1240">
        <v>0</v>
      </c>
      <c r="C1240">
        <v>0</v>
      </c>
      <c r="D1240">
        <v>29</v>
      </c>
      <c r="E1240">
        <v>1</v>
      </c>
      <c r="F1240">
        <v>1090</v>
      </c>
      <c r="G1240">
        <v>32</v>
      </c>
      <c r="H1240">
        <v>196</v>
      </c>
      <c r="I1240">
        <v>13</v>
      </c>
      <c r="J1240">
        <v>2</v>
      </c>
      <c r="K1240">
        <v>2</v>
      </c>
      <c r="L1240">
        <v>1</v>
      </c>
      <c r="M1240">
        <v>25</v>
      </c>
      <c r="N1240">
        <v>932.49</v>
      </c>
      <c r="O1240">
        <v>0</v>
      </c>
      <c r="P12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40" t="str">
        <f>IF(Table1[[#This Row],[Fraud_Score]]&gt;=6, "High Risk",IF(Table1[[#This Row],[Fraud_Score]]&gt;=3, "Medium Risk", "Low Risk"))</f>
        <v>Low Risk</v>
      </c>
      <c r="R1240">
        <f>IF(Table1[[#This Row],[Seconds of Use]]=0,0,Table1[[#This Row],[Customer Value]]/Table1[[#This Row],[Seconds of Use]]*100)</f>
        <v>85.549541284403674</v>
      </c>
    </row>
    <row r="1241" spans="1:18" x14ac:dyDescent="0.35">
      <c r="A1241" s="3" t="s">
        <v>1262</v>
      </c>
      <c r="B1241">
        <v>0</v>
      </c>
      <c r="C1241">
        <v>0</v>
      </c>
      <c r="D1241">
        <v>28</v>
      </c>
      <c r="E1241">
        <v>0</v>
      </c>
      <c r="F1241">
        <v>1343</v>
      </c>
      <c r="G1241">
        <v>35</v>
      </c>
      <c r="H1241">
        <v>33</v>
      </c>
      <c r="I1241">
        <v>70</v>
      </c>
      <c r="J1241">
        <v>4</v>
      </c>
      <c r="K1241">
        <v>1</v>
      </c>
      <c r="L1241">
        <v>1</v>
      </c>
      <c r="M1241">
        <v>45</v>
      </c>
      <c r="N1241">
        <v>116.95</v>
      </c>
      <c r="O1241">
        <v>0</v>
      </c>
      <c r="P12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241" t="str">
        <f>IF(Table1[[#This Row],[Fraud_Score]]&gt;=6, "High Risk",IF(Table1[[#This Row],[Fraud_Score]]&gt;=3, "Medium Risk", "Low Risk"))</f>
        <v>Low Risk</v>
      </c>
      <c r="R1241">
        <f>IF(Table1[[#This Row],[Seconds of Use]]=0,0,Table1[[#This Row],[Customer Value]]/Table1[[#This Row],[Seconds of Use]]*100)</f>
        <v>8.7081161578555477</v>
      </c>
    </row>
    <row r="1242" spans="1:18" x14ac:dyDescent="0.35">
      <c r="A1242" s="3" t="s">
        <v>1263</v>
      </c>
      <c r="B1242">
        <v>7</v>
      </c>
      <c r="C1242">
        <v>0</v>
      </c>
      <c r="D1242">
        <v>29</v>
      </c>
      <c r="E1242">
        <v>0</v>
      </c>
      <c r="F1242">
        <v>475</v>
      </c>
      <c r="G1242">
        <v>21</v>
      </c>
      <c r="H1242">
        <v>13</v>
      </c>
      <c r="I1242">
        <v>9</v>
      </c>
      <c r="J1242">
        <v>2</v>
      </c>
      <c r="K1242">
        <v>1</v>
      </c>
      <c r="L1242">
        <v>2</v>
      </c>
      <c r="M1242">
        <v>25</v>
      </c>
      <c r="N1242">
        <v>80.819999999999993</v>
      </c>
      <c r="O1242">
        <v>0</v>
      </c>
      <c r="P12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42" t="str">
        <f>IF(Table1[[#This Row],[Fraud_Score]]&gt;=6, "High Risk",IF(Table1[[#This Row],[Fraud_Score]]&gt;=3, "Medium Risk", "Low Risk"))</f>
        <v>Low Risk</v>
      </c>
      <c r="R1242">
        <f>IF(Table1[[#This Row],[Seconds of Use]]=0,0,Table1[[#This Row],[Customer Value]]/Table1[[#This Row],[Seconds of Use]]*100)</f>
        <v>17.014736842105265</v>
      </c>
    </row>
    <row r="1243" spans="1:18" x14ac:dyDescent="0.35">
      <c r="A1243" s="3" t="s">
        <v>1264</v>
      </c>
      <c r="B1243">
        <v>0</v>
      </c>
      <c r="C1243">
        <v>0</v>
      </c>
      <c r="D1243">
        <v>28</v>
      </c>
      <c r="E1243">
        <v>0</v>
      </c>
      <c r="F1243">
        <v>600</v>
      </c>
      <c r="G1243">
        <v>6</v>
      </c>
      <c r="H1243">
        <v>24</v>
      </c>
      <c r="I1243">
        <v>5</v>
      </c>
      <c r="J1243">
        <v>4</v>
      </c>
      <c r="K1243">
        <v>1</v>
      </c>
      <c r="L1243">
        <v>2</v>
      </c>
      <c r="M1243">
        <v>45</v>
      </c>
      <c r="N1243">
        <v>75.150000000000006</v>
      </c>
      <c r="O1243">
        <v>0</v>
      </c>
      <c r="P12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43" t="str">
        <f>IF(Table1[[#This Row],[Fraud_Score]]&gt;=6, "High Risk",IF(Table1[[#This Row],[Fraud_Score]]&gt;=3, "Medium Risk", "Low Risk"))</f>
        <v>Low Risk</v>
      </c>
      <c r="R1243">
        <f>IF(Table1[[#This Row],[Seconds of Use]]=0,0,Table1[[#This Row],[Customer Value]]/Table1[[#This Row],[Seconds of Use]]*100)</f>
        <v>12.525</v>
      </c>
    </row>
    <row r="1244" spans="1:18" x14ac:dyDescent="0.35">
      <c r="A1244" s="3" t="s">
        <v>1265</v>
      </c>
      <c r="B1244">
        <v>6</v>
      </c>
      <c r="C1244">
        <v>0</v>
      </c>
      <c r="D1244">
        <v>27</v>
      </c>
      <c r="E1244">
        <v>0</v>
      </c>
      <c r="F1244">
        <v>1000</v>
      </c>
      <c r="G1244">
        <v>28</v>
      </c>
      <c r="H1244">
        <v>22</v>
      </c>
      <c r="I1244">
        <v>15</v>
      </c>
      <c r="J1244">
        <v>2</v>
      </c>
      <c r="K1244">
        <v>1</v>
      </c>
      <c r="L1244">
        <v>1</v>
      </c>
      <c r="M1244">
        <v>25</v>
      </c>
      <c r="N1244">
        <v>145.26</v>
      </c>
      <c r="O1244">
        <v>0</v>
      </c>
      <c r="P12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44" t="str">
        <f>IF(Table1[[#This Row],[Fraud_Score]]&gt;=6, "High Risk",IF(Table1[[#This Row],[Fraud_Score]]&gt;=3, "Medium Risk", "Low Risk"))</f>
        <v>Low Risk</v>
      </c>
      <c r="R1244">
        <f>IF(Table1[[#This Row],[Seconds of Use]]=0,0,Table1[[#This Row],[Customer Value]]/Table1[[#This Row],[Seconds of Use]]*100)</f>
        <v>14.526</v>
      </c>
    </row>
    <row r="1245" spans="1:18" x14ac:dyDescent="0.35">
      <c r="A1245" s="3" t="s">
        <v>1266</v>
      </c>
      <c r="B1245">
        <v>0</v>
      </c>
      <c r="C1245">
        <v>0</v>
      </c>
      <c r="D1245">
        <v>27</v>
      </c>
      <c r="E1245">
        <v>0</v>
      </c>
      <c r="F1245">
        <v>3000</v>
      </c>
      <c r="G1245">
        <v>57</v>
      </c>
      <c r="H1245">
        <v>11</v>
      </c>
      <c r="I1245">
        <v>25</v>
      </c>
      <c r="J1245">
        <v>3</v>
      </c>
      <c r="K1245">
        <v>1</v>
      </c>
      <c r="L1245">
        <v>1</v>
      </c>
      <c r="M1245">
        <v>30</v>
      </c>
      <c r="N1245">
        <v>166.28</v>
      </c>
      <c r="O1245">
        <v>0</v>
      </c>
      <c r="P12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45" t="str">
        <f>IF(Table1[[#This Row],[Fraud_Score]]&gt;=6, "High Risk",IF(Table1[[#This Row],[Fraud_Score]]&gt;=3, "Medium Risk", "Low Risk"))</f>
        <v>Low Risk</v>
      </c>
      <c r="R1245">
        <f>IF(Table1[[#This Row],[Seconds of Use]]=0,0,Table1[[#This Row],[Customer Value]]/Table1[[#This Row],[Seconds of Use]]*100)</f>
        <v>5.5426666666666664</v>
      </c>
    </row>
    <row r="1246" spans="1:18" x14ac:dyDescent="0.35">
      <c r="A1246" s="3" t="s">
        <v>1267</v>
      </c>
      <c r="B1246">
        <v>0</v>
      </c>
      <c r="C1246">
        <v>0</v>
      </c>
      <c r="D1246">
        <v>20</v>
      </c>
      <c r="E1246">
        <v>0</v>
      </c>
      <c r="F1246">
        <v>1470</v>
      </c>
      <c r="G1246">
        <v>22</v>
      </c>
      <c r="H1246">
        <v>31</v>
      </c>
      <c r="I1246">
        <v>16</v>
      </c>
      <c r="J1246">
        <v>2</v>
      </c>
      <c r="K1246">
        <v>1</v>
      </c>
      <c r="L1246">
        <v>1</v>
      </c>
      <c r="M1246">
        <v>25</v>
      </c>
      <c r="N1246">
        <v>206.64</v>
      </c>
      <c r="O1246">
        <v>0</v>
      </c>
      <c r="P12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46" t="str">
        <f>IF(Table1[[#This Row],[Fraud_Score]]&gt;=6, "High Risk",IF(Table1[[#This Row],[Fraud_Score]]&gt;=3, "Medium Risk", "Low Risk"))</f>
        <v>Low Risk</v>
      </c>
      <c r="R1246">
        <f>IF(Table1[[#This Row],[Seconds of Use]]=0,0,Table1[[#This Row],[Customer Value]]/Table1[[#This Row],[Seconds of Use]]*100)</f>
        <v>14.057142857142857</v>
      </c>
    </row>
    <row r="1247" spans="1:18" x14ac:dyDescent="0.35">
      <c r="A1247" s="3" t="s">
        <v>1268</v>
      </c>
      <c r="B1247">
        <v>12</v>
      </c>
      <c r="C1247">
        <v>0</v>
      </c>
      <c r="D1247">
        <v>19</v>
      </c>
      <c r="E1247">
        <v>1</v>
      </c>
      <c r="F1247">
        <v>6168</v>
      </c>
      <c r="G1247">
        <v>137</v>
      </c>
      <c r="H1247">
        <v>88</v>
      </c>
      <c r="I1247">
        <v>44</v>
      </c>
      <c r="J1247">
        <v>1</v>
      </c>
      <c r="K1247">
        <v>2</v>
      </c>
      <c r="L1247">
        <v>1</v>
      </c>
      <c r="M1247">
        <v>15</v>
      </c>
      <c r="N1247">
        <v>830.77499999999998</v>
      </c>
      <c r="O1247">
        <v>0</v>
      </c>
      <c r="P12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247" t="str">
        <f>IF(Table1[[#This Row],[Fraud_Score]]&gt;=6, "High Risk",IF(Table1[[#This Row],[Fraud_Score]]&gt;=3, "Medium Risk", "Low Risk"))</f>
        <v>Low Risk</v>
      </c>
      <c r="R1247">
        <f>IF(Table1[[#This Row],[Seconds of Use]]=0,0,Table1[[#This Row],[Customer Value]]/Table1[[#This Row],[Seconds of Use]]*100)</f>
        <v>13.469114785992216</v>
      </c>
    </row>
    <row r="1248" spans="1:18" x14ac:dyDescent="0.35">
      <c r="A1248" s="3" t="s">
        <v>1269</v>
      </c>
      <c r="B1248">
        <v>8</v>
      </c>
      <c r="C1248">
        <v>0</v>
      </c>
      <c r="D1248">
        <v>17</v>
      </c>
      <c r="E1248">
        <v>0</v>
      </c>
      <c r="F1248">
        <v>8708</v>
      </c>
      <c r="G1248">
        <v>167</v>
      </c>
      <c r="H1248">
        <v>76</v>
      </c>
      <c r="I1248">
        <v>42</v>
      </c>
      <c r="J1248">
        <v>4</v>
      </c>
      <c r="K1248">
        <v>1</v>
      </c>
      <c r="L1248">
        <v>1</v>
      </c>
      <c r="M1248">
        <v>45</v>
      </c>
      <c r="N1248">
        <v>411.875</v>
      </c>
      <c r="O1248">
        <v>0</v>
      </c>
      <c r="P12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48" t="str">
        <f>IF(Table1[[#This Row],[Fraud_Score]]&gt;=6, "High Risk",IF(Table1[[#This Row],[Fraud_Score]]&gt;=3, "Medium Risk", "Low Risk"))</f>
        <v>Medium Risk</v>
      </c>
      <c r="R1248">
        <f>IF(Table1[[#This Row],[Seconds of Use]]=0,0,Table1[[#This Row],[Customer Value]]/Table1[[#This Row],[Seconds of Use]]*100)</f>
        <v>4.7298461185117135</v>
      </c>
    </row>
    <row r="1249" spans="1:18" x14ac:dyDescent="0.35">
      <c r="A1249" s="3" t="s">
        <v>1270</v>
      </c>
      <c r="B1249">
        <v>4</v>
      </c>
      <c r="C1249">
        <v>0</v>
      </c>
      <c r="D1249">
        <v>18</v>
      </c>
      <c r="E1249">
        <v>3</v>
      </c>
      <c r="F1249">
        <v>2628</v>
      </c>
      <c r="G1249">
        <v>41</v>
      </c>
      <c r="H1249">
        <v>34</v>
      </c>
      <c r="I1249">
        <v>21</v>
      </c>
      <c r="J1249">
        <v>3</v>
      </c>
      <c r="K1249">
        <v>1</v>
      </c>
      <c r="L1249">
        <v>1</v>
      </c>
      <c r="M1249">
        <v>30</v>
      </c>
      <c r="N1249">
        <v>242.76</v>
      </c>
      <c r="O1249">
        <v>0</v>
      </c>
      <c r="P12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49" t="str">
        <f>IF(Table1[[#This Row],[Fraud_Score]]&gt;=6, "High Risk",IF(Table1[[#This Row],[Fraud_Score]]&gt;=3, "Medium Risk", "Low Risk"))</f>
        <v>Low Risk</v>
      </c>
      <c r="R1249">
        <f>IF(Table1[[#This Row],[Seconds of Use]]=0,0,Table1[[#This Row],[Customer Value]]/Table1[[#This Row],[Seconds of Use]]*100)</f>
        <v>9.237442922374429</v>
      </c>
    </row>
    <row r="1250" spans="1:18" x14ac:dyDescent="0.35">
      <c r="A1250" s="3" t="s">
        <v>1271</v>
      </c>
      <c r="B1250">
        <v>0</v>
      </c>
      <c r="C1250">
        <v>0</v>
      </c>
      <c r="D1250">
        <v>11</v>
      </c>
      <c r="E1250">
        <v>1</v>
      </c>
      <c r="F1250">
        <v>4165</v>
      </c>
      <c r="G1250">
        <v>36</v>
      </c>
      <c r="H1250">
        <v>218</v>
      </c>
      <c r="I1250">
        <v>12</v>
      </c>
      <c r="J1250">
        <v>3</v>
      </c>
      <c r="K1250">
        <v>1</v>
      </c>
      <c r="L1250">
        <v>1</v>
      </c>
      <c r="M1250">
        <v>30</v>
      </c>
      <c r="N1250">
        <v>1040.04</v>
      </c>
      <c r="O1250">
        <v>0</v>
      </c>
      <c r="P12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50" t="str">
        <f>IF(Table1[[#This Row],[Fraud_Score]]&gt;=6, "High Risk",IF(Table1[[#This Row],[Fraud_Score]]&gt;=3, "Medium Risk", "Low Risk"))</f>
        <v>Low Risk</v>
      </c>
      <c r="R1250">
        <f>IF(Table1[[#This Row],[Seconds of Use]]=0,0,Table1[[#This Row],[Customer Value]]/Table1[[#This Row],[Seconds of Use]]*100)</f>
        <v>24.970948379351739</v>
      </c>
    </row>
    <row r="1251" spans="1:18" x14ac:dyDescent="0.35">
      <c r="A1251" s="3" t="s">
        <v>1272</v>
      </c>
      <c r="B1251">
        <v>0</v>
      </c>
      <c r="C1251">
        <v>1</v>
      </c>
      <c r="D1251">
        <v>11</v>
      </c>
      <c r="E1251">
        <v>1</v>
      </c>
      <c r="F1251">
        <v>1263</v>
      </c>
      <c r="G1251">
        <v>15</v>
      </c>
      <c r="H1251">
        <v>3</v>
      </c>
      <c r="I1251">
        <v>9</v>
      </c>
      <c r="J1251">
        <v>3</v>
      </c>
      <c r="K1251">
        <v>1</v>
      </c>
      <c r="L1251">
        <v>1</v>
      </c>
      <c r="M1251">
        <v>30</v>
      </c>
      <c r="N1251">
        <v>63.12</v>
      </c>
      <c r="O1251">
        <v>1</v>
      </c>
      <c r="P12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251" t="str">
        <f>IF(Table1[[#This Row],[Fraud_Score]]&gt;=6, "High Risk",IF(Table1[[#This Row],[Fraud_Score]]&gt;=3, "Medium Risk", "Low Risk"))</f>
        <v>Low Risk</v>
      </c>
      <c r="R1251">
        <f>IF(Table1[[#This Row],[Seconds of Use]]=0,0,Table1[[#This Row],[Customer Value]]/Table1[[#This Row],[Seconds of Use]]*100)</f>
        <v>4.9976247030878858</v>
      </c>
    </row>
    <row r="1252" spans="1:18" x14ac:dyDescent="0.35">
      <c r="A1252" s="3" t="s">
        <v>1273</v>
      </c>
      <c r="B1252">
        <v>2</v>
      </c>
      <c r="C1252">
        <v>0</v>
      </c>
      <c r="D1252">
        <v>32</v>
      </c>
      <c r="E1252">
        <v>0</v>
      </c>
      <c r="F1252">
        <v>3985</v>
      </c>
      <c r="G1252">
        <v>63</v>
      </c>
      <c r="H1252">
        <v>0</v>
      </c>
      <c r="I1252">
        <v>11</v>
      </c>
      <c r="J1252">
        <v>2</v>
      </c>
      <c r="K1252">
        <v>1</v>
      </c>
      <c r="L1252">
        <v>1</v>
      </c>
      <c r="M1252">
        <v>25</v>
      </c>
      <c r="N1252">
        <v>182.16</v>
      </c>
      <c r="O1252">
        <v>0</v>
      </c>
      <c r="P12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2" t="str">
        <f>IF(Table1[[#This Row],[Fraud_Score]]&gt;=6, "High Risk",IF(Table1[[#This Row],[Fraud_Score]]&gt;=3, "Medium Risk", "Low Risk"))</f>
        <v>Low Risk</v>
      </c>
      <c r="R1252">
        <f>IF(Table1[[#This Row],[Seconds of Use]]=0,0,Table1[[#This Row],[Customer Value]]/Table1[[#This Row],[Seconds of Use]]*100)</f>
        <v>4.5711417816813045</v>
      </c>
    </row>
    <row r="1253" spans="1:18" x14ac:dyDescent="0.35">
      <c r="A1253" s="3" t="s">
        <v>1274</v>
      </c>
      <c r="B1253">
        <v>0</v>
      </c>
      <c r="C1253">
        <v>0</v>
      </c>
      <c r="D1253">
        <v>33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2</v>
      </c>
      <c r="K1253">
        <v>1</v>
      </c>
      <c r="L1253">
        <v>2</v>
      </c>
      <c r="M1253">
        <v>25</v>
      </c>
      <c r="N1253">
        <v>0</v>
      </c>
      <c r="O1253">
        <v>0</v>
      </c>
      <c r="P12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3" t="str">
        <f>IF(Table1[[#This Row],[Fraud_Score]]&gt;=6, "High Risk",IF(Table1[[#This Row],[Fraud_Score]]&gt;=3, "Medium Risk", "Low Risk"))</f>
        <v>Low Risk</v>
      </c>
      <c r="R1253">
        <f>IF(Table1[[#This Row],[Seconds of Use]]=0,0,Table1[[#This Row],[Customer Value]]/Table1[[#This Row],[Seconds of Use]]*100)</f>
        <v>0</v>
      </c>
    </row>
    <row r="1254" spans="1:18" x14ac:dyDescent="0.35">
      <c r="A1254" s="3" t="s">
        <v>1275</v>
      </c>
      <c r="B1254">
        <v>4</v>
      </c>
      <c r="C1254">
        <v>0</v>
      </c>
      <c r="D1254">
        <v>31</v>
      </c>
      <c r="E1254">
        <v>0</v>
      </c>
      <c r="F1254">
        <v>2068</v>
      </c>
      <c r="G1254">
        <v>52</v>
      </c>
      <c r="H1254">
        <v>342</v>
      </c>
      <c r="I1254">
        <v>18</v>
      </c>
      <c r="J1254">
        <v>2</v>
      </c>
      <c r="K1254">
        <v>1</v>
      </c>
      <c r="L1254">
        <v>1</v>
      </c>
      <c r="M1254">
        <v>25</v>
      </c>
      <c r="N1254">
        <v>1634.4</v>
      </c>
      <c r="O1254">
        <v>0</v>
      </c>
      <c r="P12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4" t="str">
        <f>IF(Table1[[#This Row],[Fraud_Score]]&gt;=6, "High Risk",IF(Table1[[#This Row],[Fraud_Score]]&gt;=3, "Medium Risk", "Low Risk"))</f>
        <v>Low Risk</v>
      </c>
      <c r="R1254">
        <f>IF(Table1[[#This Row],[Seconds of Use]]=0,0,Table1[[#This Row],[Customer Value]]/Table1[[#This Row],[Seconds of Use]]*100)</f>
        <v>79.032882011605423</v>
      </c>
    </row>
    <row r="1255" spans="1:18" x14ac:dyDescent="0.35">
      <c r="A1255" s="3" t="s">
        <v>1276</v>
      </c>
      <c r="B1255">
        <v>4</v>
      </c>
      <c r="C1255">
        <v>0</v>
      </c>
      <c r="D1255">
        <v>32</v>
      </c>
      <c r="E1255">
        <v>0</v>
      </c>
      <c r="F1255">
        <v>3813</v>
      </c>
      <c r="G1255">
        <v>58</v>
      </c>
      <c r="H1255">
        <v>0</v>
      </c>
      <c r="I1255">
        <v>29</v>
      </c>
      <c r="J1255">
        <v>1</v>
      </c>
      <c r="K1255">
        <v>1</v>
      </c>
      <c r="L1255">
        <v>1</v>
      </c>
      <c r="M1255">
        <v>15</v>
      </c>
      <c r="N1255">
        <v>212.905</v>
      </c>
      <c r="O1255">
        <v>0</v>
      </c>
      <c r="P12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5" t="str">
        <f>IF(Table1[[#This Row],[Fraud_Score]]&gt;=6, "High Risk",IF(Table1[[#This Row],[Fraud_Score]]&gt;=3, "Medium Risk", "Low Risk"))</f>
        <v>Low Risk</v>
      </c>
      <c r="R1255">
        <f>IF(Table1[[#This Row],[Seconds of Use]]=0,0,Table1[[#This Row],[Customer Value]]/Table1[[#This Row],[Seconds of Use]]*100)</f>
        <v>5.5836611591922374</v>
      </c>
    </row>
    <row r="1256" spans="1:18" x14ac:dyDescent="0.35">
      <c r="A1256" s="3" t="s">
        <v>1277</v>
      </c>
      <c r="B1256">
        <v>0</v>
      </c>
      <c r="C1256">
        <v>0</v>
      </c>
      <c r="D1256">
        <v>32</v>
      </c>
      <c r="E1256">
        <v>0</v>
      </c>
      <c r="F1256">
        <v>2008</v>
      </c>
      <c r="G1256">
        <v>50</v>
      </c>
      <c r="H1256">
        <v>0</v>
      </c>
      <c r="I1256">
        <v>27</v>
      </c>
      <c r="J1256">
        <v>1</v>
      </c>
      <c r="K1256">
        <v>1</v>
      </c>
      <c r="L1256">
        <v>1</v>
      </c>
      <c r="M1256">
        <v>15</v>
      </c>
      <c r="N1256">
        <v>113.19</v>
      </c>
      <c r="O1256">
        <v>0</v>
      </c>
      <c r="P12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6" t="str">
        <f>IF(Table1[[#This Row],[Fraud_Score]]&gt;=6, "High Risk",IF(Table1[[#This Row],[Fraud_Score]]&gt;=3, "Medium Risk", "Low Risk"))</f>
        <v>Low Risk</v>
      </c>
      <c r="R1256">
        <f>IF(Table1[[#This Row],[Seconds of Use]]=0,0,Table1[[#This Row],[Customer Value]]/Table1[[#This Row],[Seconds of Use]]*100)</f>
        <v>5.6369521912350598</v>
      </c>
    </row>
    <row r="1257" spans="1:18" x14ac:dyDescent="0.35">
      <c r="A1257" s="3" t="s">
        <v>1278</v>
      </c>
      <c r="B1257">
        <v>5</v>
      </c>
      <c r="C1257">
        <v>0</v>
      </c>
      <c r="D1257">
        <v>32</v>
      </c>
      <c r="E1257">
        <v>0</v>
      </c>
      <c r="F1257">
        <v>3390</v>
      </c>
      <c r="G1257">
        <v>74</v>
      </c>
      <c r="H1257">
        <v>15</v>
      </c>
      <c r="I1257">
        <v>22</v>
      </c>
      <c r="J1257">
        <v>2</v>
      </c>
      <c r="K1257">
        <v>1</v>
      </c>
      <c r="L1257">
        <v>1</v>
      </c>
      <c r="M1257">
        <v>25</v>
      </c>
      <c r="N1257">
        <v>223.38</v>
      </c>
      <c r="O1257">
        <v>0</v>
      </c>
      <c r="P12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7" t="str">
        <f>IF(Table1[[#This Row],[Fraud_Score]]&gt;=6, "High Risk",IF(Table1[[#This Row],[Fraud_Score]]&gt;=3, "Medium Risk", "Low Risk"))</f>
        <v>Low Risk</v>
      </c>
      <c r="R1257">
        <f>IF(Table1[[#This Row],[Seconds of Use]]=0,0,Table1[[#This Row],[Customer Value]]/Table1[[#This Row],[Seconds of Use]]*100)</f>
        <v>6.5893805309734512</v>
      </c>
    </row>
    <row r="1258" spans="1:18" x14ac:dyDescent="0.35">
      <c r="A1258" s="3" t="s">
        <v>1279</v>
      </c>
      <c r="B1258">
        <v>0</v>
      </c>
      <c r="C1258">
        <v>0</v>
      </c>
      <c r="D1258">
        <v>32</v>
      </c>
      <c r="E1258">
        <v>0</v>
      </c>
      <c r="F1258">
        <v>1975</v>
      </c>
      <c r="G1258">
        <v>31</v>
      </c>
      <c r="H1258">
        <v>268</v>
      </c>
      <c r="I1258">
        <v>12</v>
      </c>
      <c r="J1258">
        <v>3</v>
      </c>
      <c r="K1258">
        <v>1</v>
      </c>
      <c r="L1258">
        <v>1</v>
      </c>
      <c r="M1258">
        <v>30</v>
      </c>
      <c r="N1258">
        <v>1152.24</v>
      </c>
      <c r="O1258">
        <v>0</v>
      </c>
      <c r="P12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8" t="str">
        <f>IF(Table1[[#This Row],[Fraud_Score]]&gt;=6, "High Risk",IF(Table1[[#This Row],[Fraud_Score]]&gt;=3, "Medium Risk", "Low Risk"))</f>
        <v>Low Risk</v>
      </c>
      <c r="R1258">
        <f>IF(Table1[[#This Row],[Seconds of Use]]=0,0,Table1[[#This Row],[Customer Value]]/Table1[[#This Row],[Seconds of Use]]*100)</f>
        <v>58.341265822784813</v>
      </c>
    </row>
    <row r="1259" spans="1:18" x14ac:dyDescent="0.35">
      <c r="A1259" s="3" t="s">
        <v>1280</v>
      </c>
      <c r="B1259">
        <v>7</v>
      </c>
      <c r="C1259">
        <v>0</v>
      </c>
      <c r="D1259">
        <v>31</v>
      </c>
      <c r="E1259">
        <v>0</v>
      </c>
      <c r="F1259">
        <v>8730</v>
      </c>
      <c r="G1259">
        <v>113</v>
      </c>
      <c r="H1259">
        <v>127</v>
      </c>
      <c r="I1259">
        <v>37</v>
      </c>
      <c r="J1259">
        <v>3</v>
      </c>
      <c r="K1259">
        <v>1</v>
      </c>
      <c r="L1259">
        <v>1</v>
      </c>
      <c r="M1259">
        <v>30</v>
      </c>
      <c r="N1259">
        <v>861.72</v>
      </c>
      <c r="O1259">
        <v>0</v>
      </c>
      <c r="P12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59" t="str">
        <f>IF(Table1[[#This Row],[Fraud_Score]]&gt;=6, "High Risk",IF(Table1[[#This Row],[Fraud_Score]]&gt;=3, "Medium Risk", "Low Risk"))</f>
        <v>Low Risk</v>
      </c>
      <c r="R1259">
        <f>IF(Table1[[#This Row],[Seconds of Use]]=0,0,Table1[[#This Row],[Customer Value]]/Table1[[#This Row],[Seconds of Use]]*100)</f>
        <v>9.8707903780068733</v>
      </c>
    </row>
    <row r="1260" spans="1:18" x14ac:dyDescent="0.35">
      <c r="A1260" s="3" t="s">
        <v>1281</v>
      </c>
      <c r="B1260">
        <v>1</v>
      </c>
      <c r="C1260">
        <v>0</v>
      </c>
      <c r="D1260">
        <v>32</v>
      </c>
      <c r="E1260">
        <v>0</v>
      </c>
      <c r="F1260">
        <v>13388</v>
      </c>
      <c r="G1260">
        <v>161</v>
      </c>
      <c r="H1260">
        <v>0</v>
      </c>
      <c r="I1260">
        <v>38</v>
      </c>
      <c r="J1260">
        <v>3</v>
      </c>
      <c r="K1260">
        <v>1</v>
      </c>
      <c r="L1260">
        <v>1</v>
      </c>
      <c r="M1260">
        <v>30</v>
      </c>
      <c r="N1260">
        <v>541.96</v>
      </c>
      <c r="O1260">
        <v>0</v>
      </c>
      <c r="P12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60" t="str">
        <f>IF(Table1[[#This Row],[Fraud_Score]]&gt;=6, "High Risk",IF(Table1[[#This Row],[Fraud_Score]]&gt;=3, "Medium Risk", "Low Risk"))</f>
        <v>Medium Risk</v>
      </c>
      <c r="R1260">
        <f>IF(Table1[[#This Row],[Seconds of Use]]=0,0,Table1[[#This Row],[Customer Value]]/Table1[[#This Row],[Seconds of Use]]*100)</f>
        <v>4.0481027786077091</v>
      </c>
    </row>
    <row r="1261" spans="1:18" x14ac:dyDescent="0.35">
      <c r="A1261" s="3" t="s">
        <v>1282</v>
      </c>
      <c r="B1261">
        <v>1</v>
      </c>
      <c r="C1261">
        <v>0</v>
      </c>
      <c r="D1261">
        <v>32</v>
      </c>
      <c r="E1261">
        <v>0</v>
      </c>
      <c r="F1261">
        <v>4130</v>
      </c>
      <c r="G1261">
        <v>75</v>
      </c>
      <c r="H1261">
        <v>0</v>
      </c>
      <c r="I1261">
        <v>19</v>
      </c>
      <c r="J1261">
        <v>3</v>
      </c>
      <c r="K1261">
        <v>1</v>
      </c>
      <c r="L1261">
        <v>1</v>
      </c>
      <c r="M1261">
        <v>30</v>
      </c>
      <c r="N1261">
        <v>168.2</v>
      </c>
      <c r="O1261">
        <v>0</v>
      </c>
      <c r="P12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1" t="str">
        <f>IF(Table1[[#This Row],[Fraud_Score]]&gt;=6, "High Risk",IF(Table1[[#This Row],[Fraud_Score]]&gt;=3, "Medium Risk", "Low Risk"))</f>
        <v>Low Risk</v>
      </c>
      <c r="R1261">
        <f>IF(Table1[[#This Row],[Seconds of Use]]=0,0,Table1[[#This Row],[Customer Value]]/Table1[[#This Row],[Seconds of Use]]*100)</f>
        <v>4.0726392251815975</v>
      </c>
    </row>
    <row r="1262" spans="1:18" x14ac:dyDescent="0.35">
      <c r="A1262" s="3" t="s">
        <v>1283</v>
      </c>
      <c r="B1262">
        <v>0</v>
      </c>
      <c r="C1262">
        <v>0</v>
      </c>
      <c r="D1262">
        <v>32</v>
      </c>
      <c r="E1262">
        <v>0</v>
      </c>
      <c r="F1262">
        <v>5533</v>
      </c>
      <c r="G1262">
        <v>87</v>
      </c>
      <c r="H1262">
        <v>0</v>
      </c>
      <c r="I1262">
        <v>6</v>
      </c>
      <c r="J1262">
        <v>2</v>
      </c>
      <c r="K1262">
        <v>1</v>
      </c>
      <c r="L1262">
        <v>1</v>
      </c>
      <c r="M1262">
        <v>25</v>
      </c>
      <c r="N1262">
        <v>252.9</v>
      </c>
      <c r="O1262">
        <v>0</v>
      </c>
      <c r="P12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2" t="str">
        <f>IF(Table1[[#This Row],[Fraud_Score]]&gt;=6, "High Risk",IF(Table1[[#This Row],[Fraud_Score]]&gt;=3, "Medium Risk", "Low Risk"))</f>
        <v>Low Risk</v>
      </c>
      <c r="R1262">
        <f>IF(Table1[[#This Row],[Seconds of Use]]=0,0,Table1[[#This Row],[Customer Value]]/Table1[[#This Row],[Seconds of Use]]*100)</f>
        <v>4.5707572745346106</v>
      </c>
    </row>
    <row r="1263" spans="1:18" x14ac:dyDescent="0.35">
      <c r="A1263" s="3" t="s">
        <v>1284</v>
      </c>
      <c r="B1263">
        <v>3</v>
      </c>
      <c r="C1263">
        <v>0</v>
      </c>
      <c r="D1263">
        <v>32</v>
      </c>
      <c r="E1263">
        <v>0</v>
      </c>
      <c r="F1263">
        <v>1853</v>
      </c>
      <c r="G1263">
        <v>46</v>
      </c>
      <c r="H1263">
        <v>0</v>
      </c>
      <c r="I1263">
        <v>11</v>
      </c>
      <c r="J1263">
        <v>3</v>
      </c>
      <c r="K1263">
        <v>1</v>
      </c>
      <c r="L1263">
        <v>2</v>
      </c>
      <c r="M1263">
        <v>30</v>
      </c>
      <c r="N1263">
        <v>75.959999999999994</v>
      </c>
      <c r="O1263">
        <v>0</v>
      </c>
      <c r="P12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3" t="str">
        <f>IF(Table1[[#This Row],[Fraud_Score]]&gt;=6, "High Risk",IF(Table1[[#This Row],[Fraud_Score]]&gt;=3, "Medium Risk", "Low Risk"))</f>
        <v>Low Risk</v>
      </c>
      <c r="R1263">
        <f>IF(Table1[[#This Row],[Seconds of Use]]=0,0,Table1[[#This Row],[Customer Value]]/Table1[[#This Row],[Seconds of Use]]*100)</f>
        <v>4.0992984349703177</v>
      </c>
    </row>
    <row r="1264" spans="1:18" x14ac:dyDescent="0.35">
      <c r="A1264" s="3" t="s">
        <v>1285</v>
      </c>
      <c r="B1264">
        <v>19</v>
      </c>
      <c r="C1264">
        <v>0</v>
      </c>
      <c r="D1264">
        <v>32</v>
      </c>
      <c r="E1264">
        <v>1</v>
      </c>
      <c r="F1264">
        <v>14755</v>
      </c>
      <c r="G1264">
        <v>217</v>
      </c>
      <c r="H1264">
        <v>37</v>
      </c>
      <c r="I1264">
        <v>26</v>
      </c>
      <c r="J1264">
        <v>3</v>
      </c>
      <c r="K1264">
        <v>1</v>
      </c>
      <c r="L1264">
        <v>1</v>
      </c>
      <c r="M1264">
        <v>30</v>
      </c>
      <c r="N1264">
        <v>746.88</v>
      </c>
      <c r="O1264">
        <v>0</v>
      </c>
      <c r="P12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264" t="str">
        <f>IF(Table1[[#This Row],[Fraud_Score]]&gt;=6, "High Risk",IF(Table1[[#This Row],[Fraud_Score]]&gt;=3, "Medium Risk", "Low Risk"))</f>
        <v>Medium Risk</v>
      </c>
      <c r="R1264">
        <f>IF(Table1[[#This Row],[Seconds of Use]]=0,0,Table1[[#This Row],[Customer Value]]/Table1[[#This Row],[Seconds of Use]]*100)</f>
        <v>5.0618773297187394</v>
      </c>
    </row>
    <row r="1265" spans="1:18" x14ac:dyDescent="0.35">
      <c r="A1265" s="3" t="s">
        <v>1286</v>
      </c>
      <c r="B1265">
        <v>0</v>
      </c>
      <c r="C1265">
        <v>0</v>
      </c>
      <c r="D1265">
        <v>32</v>
      </c>
      <c r="E1265">
        <v>0</v>
      </c>
      <c r="F1265">
        <v>2710</v>
      </c>
      <c r="G1265">
        <v>19</v>
      </c>
      <c r="H1265">
        <v>466</v>
      </c>
      <c r="I1265">
        <v>2</v>
      </c>
      <c r="J1265">
        <v>3</v>
      </c>
      <c r="K1265">
        <v>1</v>
      </c>
      <c r="L1265">
        <v>1</v>
      </c>
      <c r="M1265">
        <v>30</v>
      </c>
      <c r="N1265">
        <v>1973.16</v>
      </c>
      <c r="O1265">
        <v>0</v>
      </c>
      <c r="P12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5" t="str">
        <f>IF(Table1[[#This Row],[Fraud_Score]]&gt;=6, "High Risk",IF(Table1[[#This Row],[Fraud_Score]]&gt;=3, "Medium Risk", "Low Risk"))</f>
        <v>Low Risk</v>
      </c>
      <c r="R1265">
        <f>IF(Table1[[#This Row],[Seconds of Use]]=0,0,Table1[[#This Row],[Customer Value]]/Table1[[#This Row],[Seconds of Use]]*100)</f>
        <v>72.810332103321045</v>
      </c>
    </row>
    <row r="1266" spans="1:18" x14ac:dyDescent="0.35">
      <c r="A1266" s="3" t="s">
        <v>1287</v>
      </c>
      <c r="B1266">
        <v>3</v>
      </c>
      <c r="C1266">
        <v>0</v>
      </c>
      <c r="D1266">
        <v>31</v>
      </c>
      <c r="E1266">
        <v>0</v>
      </c>
      <c r="F1266">
        <v>15100</v>
      </c>
      <c r="G1266">
        <v>174</v>
      </c>
      <c r="H1266">
        <v>133</v>
      </c>
      <c r="I1266">
        <v>24</v>
      </c>
      <c r="J1266">
        <v>2</v>
      </c>
      <c r="K1266">
        <v>1</v>
      </c>
      <c r="L1266">
        <v>1</v>
      </c>
      <c r="M1266">
        <v>25</v>
      </c>
      <c r="N1266">
        <v>1285.83</v>
      </c>
      <c r="O1266">
        <v>0</v>
      </c>
      <c r="P12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66" t="str">
        <f>IF(Table1[[#This Row],[Fraud_Score]]&gt;=6, "High Risk",IF(Table1[[#This Row],[Fraud_Score]]&gt;=3, "Medium Risk", "Low Risk"))</f>
        <v>Medium Risk</v>
      </c>
      <c r="R1266">
        <f>IF(Table1[[#This Row],[Seconds of Use]]=0,0,Table1[[#This Row],[Customer Value]]/Table1[[#This Row],[Seconds of Use]]*100)</f>
        <v>8.5154304635761591</v>
      </c>
    </row>
    <row r="1267" spans="1:18" x14ac:dyDescent="0.35">
      <c r="A1267" s="3" t="s">
        <v>1288</v>
      </c>
      <c r="B1267">
        <v>0</v>
      </c>
      <c r="C1267">
        <v>0</v>
      </c>
      <c r="D1267">
        <v>31</v>
      </c>
      <c r="E1267">
        <v>0</v>
      </c>
      <c r="F1267">
        <v>6115</v>
      </c>
      <c r="G1267">
        <v>78</v>
      </c>
      <c r="H1267">
        <v>169</v>
      </c>
      <c r="I1267">
        <v>20</v>
      </c>
      <c r="J1267">
        <v>3</v>
      </c>
      <c r="K1267">
        <v>1</v>
      </c>
      <c r="L1267">
        <v>1</v>
      </c>
      <c r="M1267">
        <v>30</v>
      </c>
      <c r="N1267">
        <v>923.72</v>
      </c>
      <c r="O1267">
        <v>0</v>
      </c>
      <c r="P12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7" t="str">
        <f>IF(Table1[[#This Row],[Fraud_Score]]&gt;=6, "High Risk",IF(Table1[[#This Row],[Fraud_Score]]&gt;=3, "Medium Risk", "Low Risk"))</f>
        <v>Low Risk</v>
      </c>
      <c r="R1267">
        <f>IF(Table1[[#This Row],[Seconds of Use]]=0,0,Table1[[#This Row],[Customer Value]]/Table1[[#This Row],[Seconds of Use]]*100)</f>
        <v>15.105805396565822</v>
      </c>
    </row>
    <row r="1268" spans="1:18" x14ac:dyDescent="0.35">
      <c r="A1268" s="3" t="s">
        <v>1289</v>
      </c>
      <c r="B1268">
        <v>0</v>
      </c>
      <c r="C1268">
        <v>0</v>
      </c>
      <c r="D1268">
        <v>31</v>
      </c>
      <c r="E1268">
        <v>0</v>
      </c>
      <c r="F1268">
        <v>490</v>
      </c>
      <c r="G1268">
        <v>6</v>
      </c>
      <c r="H1268">
        <v>0</v>
      </c>
      <c r="I1268">
        <v>5</v>
      </c>
      <c r="J1268">
        <v>2</v>
      </c>
      <c r="K1268">
        <v>1</v>
      </c>
      <c r="L1268">
        <v>2</v>
      </c>
      <c r="M1268">
        <v>25</v>
      </c>
      <c r="N1268">
        <v>22.32</v>
      </c>
      <c r="O1268">
        <v>0</v>
      </c>
      <c r="P12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8" t="str">
        <f>IF(Table1[[#This Row],[Fraud_Score]]&gt;=6, "High Risk",IF(Table1[[#This Row],[Fraud_Score]]&gt;=3, "Medium Risk", "Low Risk"))</f>
        <v>Low Risk</v>
      </c>
      <c r="R1268">
        <f>IF(Table1[[#This Row],[Seconds of Use]]=0,0,Table1[[#This Row],[Customer Value]]/Table1[[#This Row],[Seconds of Use]]*100)</f>
        <v>4.5551020408163261</v>
      </c>
    </row>
    <row r="1269" spans="1:18" x14ac:dyDescent="0.35">
      <c r="A1269" s="3" t="s">
        <v>1290</v>
      </c>
      <c r="B1269">
        <v>0</v>
      </c>
      <c r="C1269">
        <v>0</v>
      </c>
      <c r="D1269">
        <v>32</v>
      </c>
      <c r="E1269">
        <v>0</v>
      </c>
      <c r="F1269">
        <v>325</v>
      </c>
      <c r="G1269">
        <v>6</v>
      </c>
      <c r="H1269">
        <v>0</v>
      </c>
      <c r="I1269">
        <v>2</v>
      </c>
      <c r="J1269">
        <v>2</v>
      </c>
      <c r="K1269">
        <v>1</v>
      </c>
      <c r="L1269">
        <v>2</v>
      </c>
      <c r="M1269">
        <v>25</v>
      </c>
      <c r="N1269">
        <v>14.895</v>
      </c>
      <c r="O1269">
        <v>0</v>
      </c>
      <c r="P12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69" t="str">
        <f>IF(Table1[[#This Row],[Fraud_Score]]&gt;=6, "High Risk",IF(Table1[[#This Row],[Fraud_Score]]&gt;=3, "Medium Risk", "Low Risk"))</f>
        <v>Low Risk</v>
      </c>
      <c r="R1269">
        <f>IF(Table1[[#This Row],[Seconds of Use]]=0,0,Table1[[#This Row],[Customer Value]]/Table1[[#This Row],[Seconds of Use]]*100)</f>
        <v>4.5830769230769235</v>
      </c>
    </row>
    <row r="1270" spans="1:18" x14ac:dyDescent="0.35">
      <c r="A1270" s="3" t="s">
        <v>1291</v>
      </c>
      <c r="B1270">
        <v>0</v>
      </c>
      <c r="C1270">
        <v>0</v>
      </c>
      <c r="D1270">
        <v>31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2</v>
      </c>
      <c r="K1270">
        <v>1</v>
      </c>
      <c r="L1270">
        <v>2</v>
      </c>
      <c r="M1270">
        <v>25</v>
      </c>
      <c r="N1270">
        <v>0</v>
      </c>
      <c r="O1270">
        <v>1</v>
      </c>
      <c r="P12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70" t="str">
        <f>IF(Table1[[#This Row],[Fraud_Score]]&gt;=6, "High Risk",IF(Table1[[#This Row],[Fraud_Score]]&gt;=3, "Medium Risk", "Low Risk"))</f>
        <v>Low Risk</v>
      </c>
      <c r="R1270">
        <f>IF(Table1[[#This Row],[Seconds of Use]]=0,0,Table1[[#This Row],[Customer Value]]/Table1[[#This Row],[Seconds of Use]]*100)</f>
        <v>0</v>
      </c>
    </row>
    <row r="1271" spans="1:18" x14ac:dyDescent="0.35">
      <c r="A1271" s="3" t="s">
        <v>1292</v>
      </c>
      <c r="B1271">
        <v>0</v>
      </c>
      <c r="C1271">
        <v>0</v>
      </c>
      <c r="D1271">
        <v>31</v>
      </c>
      <c r="E1271">
        <v>0</v>
      </c>
      <c r="F1271">
        <v>7123</v>
      </c>
      <c r="G1271">
        <v>119</v>
      </c>
      <c r="H1271">
        <v>367</v>
      </c>
      <c r="I1271">
        <v>37</v>
      </c>
      <c r="J1271">
        <v>2</v>
      </c>
      <c r="K1271">
        <v>1</v>
      </c>
      <c r="L1271">
        <v>1</v>
      </c>
      <c r="M1271">
        <v>25</v>
      </c>
      <c r="N1271">
        <v>1977.39</v>
      </c>
      <c r="O1271">
        <v>0</v>
      </c>
      <c r="P12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71" t="str">
        <f>IF(Table1[[#This Row],[Fraud_Score]]&gt;=6, "High Risk",IF(Table1[[#This Row],[Fraud_Score]]&gt;=3, "Medium Risk", "Low Risk"))</f>
        <v>Low Risk</v>
      </c>
      <c r="R1271">
        <f>IF(Table1[[#This Row],[Seconds of Use]]=0,0,Table1[[#This Row],[Customer Value]]/Table1[[#This Row],[Seconds of Use]]*100)</f>
        <v>27.760634564088164</v>
      </c>
    </row>
    <row r="1272" spans="1:18" x14ac:dyDescent="0.35">
      <c r="A1272" s="3" t="s">
        <v>1293</v>
      </c>
      <c r="B1272">
        <v>1</v>
      </c>
      <c r="C1272">
        <v>0</v>
      </c>
      <c r="D1272">
        <v>31</v>
      </c>
      <c r="E1272">
        <v>0</v>
      </c>
      <c r="F1272">
        <v>11080</v>
      </c>
      <c r="G1272">
        <v>146</v>
      </c>
      <c r="H1272">
        <v>0</v>
      </c>
      <c r="I1272">
        <v>41</v>
      </c>
      <c r="J1272">
        <v>3</v>
      </c>
      <c r="K1272">
        <v>1</v>
      </c>
      <c r="L1272">
        <v>1</v>
      </c>
      <c r="M1272">
        <v>30</v>
      </c>
      <c r="N1272">
        <v>449.04</v>
      </c>
      <c r="O1272">
        <v>0</v>
      </c>
      <c r="P12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72" t="str">
        <f>IF(Table1[[#This Row],[Fraud_Score]]&gt;=6, "High Risk",IF(Table1[[#This Row],[Fraud_Score]]&gt;=3, "Medium Risk", "Low Risk"))</f>
        <v>Medium Risk</v>
      </c>
      <c r="R1272">
        <f>IF(Table1[[#This Row],[Seconds of Use]]=0,0,Table1[[#This Row],[Customer Value]]/Table1[[#This Row],[Seconds of Use]]*100)</f>
        <v>4.0527075812274367</v>
      </c>
    </row>
    <row r="1273" spans="1:18" x14ac:dyDescent="0.35">
      <c r="A1273" s="3" t="s">
        <v>1294</v>
      </c>
      <c r="B1273">
        <v>2</v>
      </c>
      <c r="C1273">
        <v>0</v>
      </c>
      <c r="D1273">
        <v>31</v>
      </c>
      <c r="E1273">
        <v>0</v>
      </c>
      <c r="F1273">
        <v>6333</v>
      </c>
      <c r="G1273">
        <v>67</v>
      </c>
      <c r="H1273">
        <v>91</v>
      </c>
      <c r="I1273">
        <v>31</v>
      </c>
      <c r="J1273">
        <v>2</v>
      </c>
      <c r="K1273">
        <v>1</v>
      </c>
      <c r="L1273">
        <v>1</v>
      </c>
      <c r="M1273">
        <v>25</v>
      </c>
      <c r="N1273">
        <v>697.5</v>
      </c>
      <c r="O1273">
        <v>0</v>
      </c>
      <c r="P12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73" t="str">
        <f>IF(Table1[[#This Row],[Fraud_Score]]&gt;=6, "High Risk",IF(Table1[[#This Row],[Fraud_Score]]&gt;=3, "Medium Risk", "Low Risk"))</f>
        <v>Low Risk</v>
      </c>
      <c r="R1273">
        <f>IF(Table1[[#This Row],[Seconds of Use]]=0,0,Table1[[#This Row],[Customer Value]]/Table1[[#This Row],[Seconds of Use]]*100)</f>
        <v>11.013737565135006</v>
      </c>
    </row>
    <row r="1274" spans="1:18" x14ac:dyDescent="0.35">
      <c r="A1274" s="3" t="s">
        <v>1295</v>
      </c>
      <c r="B1274">
        <v>17</v>
      </c>
      <c r="C1274">
        <v>0</v>
      </c>
      <c r="D1274">
        <v>27</v>
      </c>
      <c r="E1274">
        <v>0</v>
      </c>
      <c r="F1274">
        <v>570</v>
      </c>
      <c r="G1274">
        <v>39</v>
      </c>
      <c r="H1274">
        <v>0</v>
      </c>
      <c r="I1274">
        <v>11</v>
      </c>
      <c r="J1274">
        <v>2</v>
      </c>
      <c r="K1274">
        <v>1</v>
      </c>
      <c r="L1274">
        <v>2</v>
      </c>
      <c r="M1274">
        <v>25</v>
      </c>
      <c r="N1274">
        <v>27.405000000000001</v>
      </c>
      <c r="O1274">
        <v>1</v>
      </c>
      <c r="P12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74" t="str">
        <f>IF(Table1[[#This Row],[Fraud_Score]]&gt;=6, "High Risk",IF(Table1[[#This Row],[Fraud_Score]]&gt;=3, "Medium Risk", "Low Risk"))</f>
        <v>Medium Risk</v>
      </c>
      <c r="R1274">
        <f>IF(Table1[[#This Row],[Seconds of Use]]=0,0,Table1[[#This Row],[Customer Value]]/Table1[[#This Row],[Seconds of Use]]*100)</f>
        <v>4.8078947368421057</v>
      </c>
    </row>
    <row r="1275" spans="1:18" x14ac:dyDescent="0.35">
      <c r="A1275" s="3" t="s">
        <v>1296</v>
      </c>
      <c r="B1275">
        <v>15</v>
      </c>
      <c r="C1275">
        <v>0</v>
      </c>
      <c r="D1275">
        <v>30</v>
      </c>
      <c r="E1275">
        <v>6</v>
      </c>
      <c r="F1275">
        <v>10050</v>
      </c>
      <c r="G1275">
        <v>85</v>
      </c>
      <c r="H1275">
        <v>0</v>
      </c>
      <c r="I1275">
        <v>36</v>
      </c>
      <c r="J1275">
        <v>4</v>
      </c>
      <c r="K1275">
        <v>1</v>
      </c>
      <c r="L1275">
        <v>1</v>
      </c>
      <c r="M1275">
        <v>45</v>
      </c>
      <c r="N1275">
        <v>253.375</v>
      </c>
      <c r="O1275">
        <v>0</v>
      </c>
      <c r="P12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275" t="str">
        <f>IF(Table1[[#This Row],[Fraud_Score]]&gt;=6, "High Risk",IF(Table1[[#This Row],[Fraud_Score]]&gt;=3, "Medium Risk", "Low Risk"))</f>
        <v>Low Risk</v>
      </c>
      <c r="R1275">
        <f>IF(Table1[[#This Row],[Seconds of Use]]=0,0,Table1[[#This Row],[Customer Value]]/Table1[[#This Row],[Seconds of Use]]*100)</f>
        <v>2.5211442786069651</v>
      </c>
    </row>
    <row r="1276" spans="1:18" x14ac:dyDescent="0.35">
      <c r="A1276" s="3" t="s">
        <v>1297</v>
      </c>
      <c r="B1276">
        <v>7</v>
      </c>
      <c r="C1276">
        <v>0</v>
      </c>
      <c r="D1276">
        <v>30</v>
      </c>
      <c r="E1276">
        <v>0</v>
      </c>
      <c r="F1276">
        <v>5433</v>
      </c>
      <c r="G1276">
        <v>90</v>
      </c>
      <c r="H1276">
        <v>9</v>
      </c>
      <c r="I1276">
        <v>18</v>
      </c>
      <c r="J1276">
        <v>2</v>
      </c>
      <c r="K1276">
        <v>1</v>
      </c>
      <c r="L1276">
        <v>1</v>
      </c>
      <c r="M1276">
        <v>25</v>
      </c>
      <c r="N1276">
        <v>289.03500000000003</v>
      </c>
      <c r="O1276">
        <v>1</v>
      </c>
      <c r="P12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76" t="str">
        <f>IF(Table1[[#This Row],[Fraud_Score]]&gt;=6, "High Risk",IF(Table1[[#This Row],[Fraud_Score]]&gt;=3, "Medium Risk", "Low Risk"))</f>
        <v>Low Risk</v>
      </c>
      <c r="R1276">
        <f>IF(Table1[[#This Row],[Seconds of Use]]=0,0,Table1[[#This Row],[Customer Value]]/Table1[[#This Row],[Seconds of Use]]*100)</f>
        <v>5.3199889563776921</v>
      </c>
    </row>
    <row r="1277" spans="1:18" x14ac:dyDescent="0.35">
      <c r="A1277" s="3" t="s">
        <v>1298</v>
      </c>
      <c r="B1277">
        <v>0</v>
      </c>
      <c r="C1277">
        <v>0</v>
      </c>
      <c r="D1277">
        <v>28</v>
      </c>
      <c r="E1277">
        <v>0</v>
      </c>
      <c r="F1277">
        <v>2455</v>
      </c>
      <c r="G1277">
        <v>14</v>
      </c>
      <c r="H1277">
        <v>0</v>
      </c>
      <c r="I1277">
        <v>8</v>
      </c>
      <c r="J1277">
        <v>3</v>
      </c>
      <c r="K1277">
        <v>1</v>
      </c>
      <c r="L1277">
        <v>1</v>
      </c>
      <c r="M1277">
        <v>30</v>
      </c>
      <c r="N1277">
        <v>98.76</v>
      </c>
      <c r="O1277">
        <v>0</v>
      </c>
      <c r="P12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77" t="str">
        <f>IF(Table1[[#This Row],[Fraud_Score]]&gt;=6, "High Risk",IF(Table1[[#This Row],[Fraud_Score]]&gt;=3, "Medium Risk", "Low Risk"))</f>
        <v>Low Risk</v>
      </c>
      <c r="R1277">
        <f>IF(Table1[[#This Row],[Seconds of Use]]=0,0,Table1[[#This Row],[Customer Value]]/Table1[[#This Row],[Seconds of Use]]*100)</f>
        <v>4.0228105906313649</v>
      </c>
    </row>
    <row r="1278" spans="1:18" x14ac:dyDescent="0.35">
      <c r="A1278" s="3" t="s">
        <v>1299</v>
      </c>
      <c r="B1278">
        <v>3</v>
      </c>
      <c r="C1278">
        <v>1</v>
      </c>
      <c r="D1278">
        <v>29</v>
      </c>
      <c r="E1278">
        <v>0</v>
      </c>
      <c r="F1278">
        <v>2605</v>
      </c>
      <c r="G1278">
        <v>33</v>
      </c>
      <c r="H1278">
        <v>0</v>
      </c>
      <c r="I1278">
        <v>10</v>
      </c>
      <c r="J1278">
        <v>2</v>
      </c>
      <c r="K1278">
        <v>1</v>
      </c>
      <c r="L1278">
        <v>2</v>
      </c>
      <c r="M1278">
        <v>25</v>
      </c>
      <c r="N1278">
        <v>118.71</v>
      </c>
      <c r="O1278">
        <v>1</v>
      </c>
      <c r="P12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78" t="str">
        <f>IF(Table1[[#This Row],[Fraud_Score]]&gt;=6, "High Risk",IF(Table1[[#This Row],[Fraud_Score]]&gt;=3, "Medium Risk", "Low Risk"))</f>
        <v>Medium Risk</v>
      </c>
      <c r="R1278">
        <f>IF(Table1[[#This Row],[Seconds of Use]]=0,0,Table1[[#This Row],[Customer Value]]/Table1[[#This Row],[Seconds of Use]]*100)</f>
        <v>4.5570057581573895</v>
      </c>
    </row>
    <row r="1279" spans="1:18" x14ac:dyDescent="0.35">
      <c r="A1279" s="3" t="s">
        <v>1300</v>
      </c>
      <c r="B1279">
        <v>3</v>
      </c>
      <c r="C1279">
        <v>0</v>
      </c>
      <c r="D1279">
        <v>30</v>
      </c>
      <c r="E1279">
        <v>0</v>
      </c>
      <c r="F1279">
        <v>1883</v>
      </c>
      <c r="G1279">
        <v>36</v>
      </c>
      <c r="H1279">
        <v>17</v>
      </c>
      <c r="I1279">
        <v>25</v>
      </c>
      <c r="J1279">
        <v>3</v>
      </c>
      <c r="K1279">
        <v>1</v>
      </c>
      <c r="L1279">
        <v>2</v>
      </c>
      <c r="M1279">
        <v>30</v>
      </c>
      <c r="N1279">
        <v>144.76</v>
      </c>
      <c r="O1279">
        <v>1</v>
      </c>
      <c r="P12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79" t="str">
        <f>IF(Table1[[#This Row],[Fraud_Score]]&gt;=6, "High Risk",IF(Table1[[#This Row],[Fraud_Score]]&gt;=3, "Medium Risk", "Low Risk"))</f>
        <v>Low Risk</v>
      </c>
      <c r="R1279">
        <f>IF(Table1[[#This Row],[Seconds of Use]]=0,0,Table1[[#This Row],[Customer Value]]/Table1[[#This Row],[Seconds of Use]]*100)</f>
        <v>7.6877323420074344</v>
      </c>
    </row>
    <row r="1280" spans="1:18" x14ac:dyDescent="0.35">
      <c r="A1280" s="3" t="s">
        <v>1301</v>
      </c>
      <c r="B1280">
        <v>0</v>
      </c>
      <c r="C1280">
        <v>0</v>
      </c>
      <c r="D1280">
        <v>30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1</v>
      </c>
      <c r="L1280">
        <v>2</v>
      </c>
      <c r="M1280">
        <v>25</v>
      </c>
      <c r="N1280">
        <v>0</v>
      </c>
      <c r="O1280">
        <v>1</v>
      </c>
      <c r="P12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0" t="str">
        <f>IF(Table1[[#This Row],[Fraud_Score]]&gt;=6, "High Risk",IF(Table1[[#This Row],[Fraud_Score]]&gt;=3, "Medium Risk", "Low Risk"))</f>
        <v>Low Risk</v>
      </c>
      <c r="R1280">
        <f>IF(Table1[[#This Row],[Seconds of Use]]=0,0,Table1[[#This Row],[Customer Value]]/Table1[[#This Row],[Seconds of Use]]*100)</f>
        <v>0</v>
      </c>
    </row>
    <row r="1281" spans="1:18" x14ac:dyDescent="0.35">
      <c r="A1281" s="3" t="s">
        <v>1302</v>
      </c>
      <c r="B1281">
        <v>0</v>
      </c>
      <c r="C1281">
        <v>0</v>
      </c>
      <c r="D1281">
        <v>30</v>
      </c>
      <c r="E1281">
        <v>0</v>
      </c>
      <c r="F1281">
        <v>1283</v>
      </c>
      <c r="G1281">
        <v>17</v>
      </c>
      <c r="H1281">
        <v>0</v>
      </c>
      <c r="I1281">
        <v>5</v>
      </c>
      <c r="J1281">
        <v>3</v>
      </c>
      <c r="K1281">
        <v>1</v>
      </c>
      <c r="L1281">
        <v>1</v>
      </c>
      <c r="M1281">
        <v>30</v>
      </c>
      <c r="N1281">
        <v>52</v>
      </c>
      <c r="O1281">
        <v>0</v>
      </c>
      <c r="P12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1" t="str">
        <f>IF(Table1[[#This Row],[Fraud_Score]]&gt;=6, "High Risk",IF(Table1[[#This Row],[Fraud_Score]]&gt;=3, "Medium Risk", "Low Risk"))</f>
        <v>Low Risk</v>
      </c>
      <c r="R1281">
        <f>IF(Table1[[#This Row],[Seconds of Use]]=0,0,Table1[[#This Row],[Customer Value]]/Table1[[#This Row],[Seconds of Use]]*100)</f>
        <v>4.0530007794232272</v>
      </c>
    </row>
    <row r="1282" spans="1:18" x14ac:dyDescent="0.35">
      <c r="A1282" s="3" t="s">
        <v>1303</v>
      </c>
      <c r="B1282">
        <v>0</v>
      </c>
      <c r="C1282">
        <v>0</v>
      </c>
      <c r="D1282">
        <v>27</v>
      </c>
      <c r="E1282">
        <v>0</v>
      </c>
      <c r="F1282">
        <v>6400</v>
      </c>
      <c r="G1282">
        <v>89</v>
      </c>
      <c r="H1282">
        <v>0</v>
      </c>
      <c r="I1282">
        <v>16</v>
      </c>
      <c r="J1282">
        <v>4</v>
      </c>
      <c r="K1282">
        <v>1</v>
      </c>
      <c r="L1282">
        <v>1</v>
      </c>
      <c r="M1282">
        <v>45</v>
      </c>
      <c r="N1282">
        <v>162.22499999999999</v>
      </c>
      <c r="O1282">
        <v>0</v>
      </c>
      <c r="P12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2" t="str">
        <f>IF(Table1[[#This Row],[Fraud_Score]]&gt;=6, "High Risk",IF(Table1[[#This Row],[Fraud_Score]]&gt;=3, "Medium Risk", "Low Risk"))</f>
        <v>Low Risk</v>
      </c>
      <c r="R1282">
        <f>IF(Table1[[#This Row],[Seconds of Use]]=0,0,Table1[[#This Row],[Customer Value]]/Table1[[#This Row],[Seconds of Use]]*100)</f>
        <v>2.5347656249999999</v>
      </c>
    </row>
    <row r="1283" spans="1:18" x14ac:dyDescent="0.35">
      <c r="A1283" s="3" t="s">
        <v>1304</v>
      </c>
      <c r="B1283">
        <v>0</v>
      </c>
      <c r="C1283">
        <v>1</v>
      </c>
      <c r="D1283">
        <v>30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4</v>
      </c>
      <c r="K1283">
        <v>1</v>
      </c>
      <c r="L1283">
        <v>2</v>
      </c>
      <c r="M1283">
        <v>45</v>
      </c>
      <c r="N1283">
        <v>0</v>
      </c>
      <c r="O1283">
        <v>1</v>
      </c>
      <c r="P12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83" t="str">
        <f>IF(Table1[[#This Row],[Fraud_Score]]&gt;=6, "High Risk",IF(Table1[[#This Row],[Fraud_Score]]&gt;=3, "Medium Risk", "Low Risk"))</f>
        <v>Medium Risk</v>
      </c>
      <c r="R1283">
        <f>IF(Table1[[#This Row],[Seconds of Use]]=0,0,Table1[[#This Row],[Customer Value]]/Table1[[#This Row],[Seconds of Use]]*100)</f>
        <v>0</v>
      </c>
    </row>
    <row r="1284" spans="1:18" x14ac:dyDescent="0.35">
      <c r="A1284" s="3" t="s">
        <v>1305</v>
      </c>
      <c r="B1284">
        <v>0</v>
      </c>
      <c r="C1284">
        <v>0</v>
      </c>
      <c r="D1284">
        <v>30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4</v>
      </c>
      <c r="K1284">
        <v>1</v>
      </c>
      <c r="L1284">
        <v>1</v>
      </c>
      <c r="M1284">
        <v>45</v>
      </c>
      <c r="N1284">
        <v>0</v>
      </c>
      <c r="O1284">
        <v>0</v>
      </c>
      <c r="P12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4" t="str">
        <f>IF(Table1[[#This Row],[Fraud_Score]]&gt;=6, "High Risk",IF(Table1[[#This Row],[Fraud_Score]]&gt;=3, "Medium Risk", "Low Risk"))</f>
        <v>Low Risk</v>
      </c>
      <c r="R1284">
        <f>IF(Table1[[#This Row],[Seconds of Use]]=0,0,Table1[[#This Row],[Customer Value]]/Table1[[#This Row],[Seconds of Use]]*100)</f>
        <v>0</v>
      </c>
    </row>
    <row r="1285" spans="1:18" x14ac:dyDescent="0.35">
      <c r="A1285" s="3" t="s">
        <v>1306</v>
      </c>
      <c r="B1285">
        <v>19</v>
      </c>
      <c r="C1285">
        <v>0</v>
      </c>
      <c r="D1285">
        <v>25</v>
      </c>
      <c r="E1285">
        <v>1</v>
      </c>
      <c r="F1285">
        <v>15690</v>
      </c>
      <c r="G1285">
        <v>230</v>
      </c>
      <c r="H1285">
        <v>0</v>
      </c>
      <c r="I1285">
        <v>74</v>
      </c>
      <c r="J1285">
        <v>2</v>
      </c>
      <c r="K1285">
        <v>1</v>
      </c>
      <c r="L1285">
        <v>1</v>
      </c>
      <c r="M1285">
        <v>25</v>
      </c>
      <c r="N1285">
        <v>716.4</v>
      </c>
      <c r="O1285">
        <v>0</v>
      </c>
      <c r="P12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285" t="str">
        <f>IF(Table1[[#This Row],[Fraud_Score]]&gt;=6, "High Risk",IF(Table1[[#This Row],[Fraud_Score]]&gt;=3, "Medium Risk", "Low Risk"))</f>
        <v>Medium Risk</v>
      </c>
      <c r="R1285">
        <f>IF(Table1[[#This Row],[Seconds of Use]]=0,0,Table1[[#This Row],[Customer Value]]/Table1[[#This Row],[Seconds of Use]]*100)</f>
        <v>4.5659655831739965</v>
      </c>
    </row>
    <row r="1286" spans="1:18" x14ac:dyDescent="0.35">
      <c r="A1286" s="3" t="s">
        <v>1307</v>
      </c>
      <c r="B1286">
        <v>0</v>
      </c>
      <c r="C1286">
        <v>0</v>
      </c>
      <c r="D1286">
        <v>28</v>
      </c>
      <c r="E1286">
        <v>1</v>
      </c>
      <c r="F1286">
        <v>6580</v>
      </c>
      <c r="G1286">
        <v>108</v>
      </c>
      <c r="H1286">
        <v>254</v>
      </c>
      <c r="I1286">
        <v>27</v>
      </c>
      <c r="J1286">
        <v>2</v>
      </c>
      <c r="K1286">
        <v>2</v>
      </c>
      <c r="L1286">
        <v>1</v>
      </c>
      <c r="M1286">
        <v>25</v>
      </c>
      <c r="N1286">
        <v>1443.96</v>
      </c>
      <c r="O1286">
        <v>0</v>
      </c>
      <c r="P12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86" t="str">
        <f>IF(Table1[[#This Row],[Fraud_Score]]&gt;=6, "High Risk",IF(Table1[[#This Row],[Fraud_Score]]&gt;=3, "Medium Risk", "Low Risk"))</f>
        <v>Low Risk</v>
      </c>
      <c r="R1286">
        <f>IF(Table1[[#This Row],[Seconds of Use]]=0,0,Table1[[#This Row],[Customer Value]]/Table1[[#This Row],[Seconds of Use]]*100)</f>
        <v>21.944680851063829</v>
      </c>
    </row>
    <row r="1287" spans="1:18" x14ac:dyDescent="0.35">
      <c r="A1287" s="3" t="s">
        <v>1308</v>
      </c>
      <c r="B1287">
        <v>0</v>
      </c>
      <c r="C1287">
        <v>0</v>
      </c>
      <c r="D1287">
        <v>30</v>
      </c>
      <c r="E1287">
        <v>0</v>
      </c>
      <c r="F1287">
        <v>3333</v>
      </c>
      <c r="G1287">
        <v>74</v>
      </c>
      <c r="H1287">
        <v>0</v>
      </c>
      <c r="I1287">
        <v>22</v>
      </c>
      <c r="J1287">
        <v>2</v>
      </c>
      <c r="K1287">
        <v>1</v>
      </c>
      <c r="L1287">
        <v>1</v>
      </c>
      <c r="M1287">
        <v>25</v>
      </c>
      <c r="N1287">
        <v>153.315</v>
      </c>
      <c r="O1287">
        <v>0</v>
      </c>
      <c r="P12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7" t="str">
        <f>IF(Table1[[#This Row],[Fraud_Score]]&gt;=6, "High Risk",IF(Table1[[#This Row],[Fraud_Score]]&gt;=3, "Medium Risk", "Low Risk"))</f>
        <v>Low Risk</v>
      </c>
      <c r="R1287">
        <f>IF(Table1[[#This Row],[Seconds of Use]]=0,0,Table1[[#This Row],[Customer Value]]/Table1[[#This Row],[Seconds of Use]]*100)</f>
        <v>4.5999099909990999</v>
      </c>
    </row>
    <row r="1288" spans="1:18" x14ac:dyDescent="0.35">
      <c r="A1288" s="3" t="s">
        <v>1309</v>
      </c>
      <c r="B1288">
        <v>0</v>
      </c>
      <c r="C1288">
        <v>0</v>
      </c>
      <c r="D1288">
        <v>29</v>
      </c>
      <c r="E1288">
        <v>0</v>
      </c>
      <c r="F1288">
        <v>1280</v>
      </c>
      <c r="G1288">
        <v>36</v>
      </c>
      <c r="H1288">
        <v>21</v>
      </c>
      <c r="I1288">
        <v>14</v>
      </c>
      <c r="J1288">
        <v>3</v>
      </c>
      <c r="K1288">
        <v>1</v>
      </c>
      <c r="L1288">
        <v>2</v>
      </c>
      <c r="M1288">
        <v>30</v>
      </c>
      <c r="N1288">
        <v>136.63999999999999</v>
      </c>
      <c r="O1288">
        <v>0</v>
      </c>
      <c r="P12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8" t="str">
        <f>IF(Table1[[#This Row],[Fraud_Score]]&gt;=6, "High Risk",IF(Table1[[#This Row],[Fraud_Score]]&gt;=3, "Medium Risk", "Low Risk"))</f>
        <v>Low Risk</v>
      </c>
      <c r="R1288">
        <f>IF(Table1[[#This Row],[Seconds of Use]]=0,0,Table1[[#This Row],[Customer Value]]/Table1[[#This Row],[Seconds of Use]]*100)</f>
        <v>10.674999999999999</v>
      </c>
    </row>
    <row r="1289" spans="1:18" x14ac:dyDescent="0.35">
      <c r="A1289" s="3" t="s">
        <v>1310</v>
      </c>
      <c r="B1289">
        <v>0</v>
      </c>
      <c r="C1289">
        <v>0</v>
      </c>
      <c r="D1289">
        <v>30</v>
      </c>
      <c r="E1289">
        <v>0</v>
      </c>
      <c r="F1289">
        <v>2395</v>
      </c>
      <c r="G1289">
        <v>45</v>
      </c>
      <c r="H1289">
        <v>158</v>
      </c>
      <c r="I1289">
        <v>17</v>
      </c>
      <c r="J1289">
        <v>2</v>
      </c>
      <c r="K1289">
        <v>1</v>
      </c>
      <c r="L1289">
        <v>1</v>
      </c>
      <c r="M1289">
        <v>25</v>
      </c>
      <c r="N1289">
        <v>820.8</v>
      </c>
      <c r="O1289">
        <v>0</v>
      </c>
      <c r="P12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89" t="str">
        <f>IF(Table1[[#This Row],[Fraud_Score]]&gt;=6, "High Risk",IF(Table1[[#This Row],[Fraud_Score]]&gt;=3, "Medium Risk", "Low Risk"))</f>
        <v>Low Risk</v>
      </c>
      <c r="R1289">
        <f>IF(Table1[[#This Row],[Seconds of Use]]=0,0,Table1[[#This Row],[Customer Value]]/Table1[[#This Row],[Seconds of Use]]*100)</f>
        <v>34.2713987473904</v>
      </c>
    </row>
    <row r="1290" spans="1:18" x14ac:dyDescent="0.35">
      <c r="A1290" s="3" t="s">
        <v>1311</v>
      </c>
      <c r="B1290">
        <v>0</v>
      </c>
      <c r="C1290">
        <v>0</v>
      </c>
      <c r="D1290">
        <v>21</v>
      </c>
      <c r="E1290">
        <v>0</v>
      </c>
      <c r="F1290">
        <v>930</v>
      </c>
      <c r="G1290">
        <v>28</v>
      </c>
      <c r="H1290">
        <v>176</v>
      </c>
      <c r="I1290">
        <v>5</v>
      </c>
      <c r="J1290">
        <v>2</v>
      </c>
      <c r="K1290">
        <v>2</v>
      </c>
      <c r="L1290">
        <v>1</v>
      </c>
      <c r="M1290">
        <v>25</v>
      </c>
      <c r="N1290">
        <v>835.11</v>
      </c>
      <c r="O1290">
        <v>0</v>
      </c>
      <c r="P12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90" t="str">
        <f>IF(Table1[[#This Row],[Fraud_Score]]&gt;=6, "High Risk",IF(Table1[[#This Row],[Fraud_Score]]&gt;=3, "Medium Risk", "Low Risk"))</f>
        <v>Low Risk</v>
      </c>
      <c r="R1290">
        <f>IF(Table1[[#This Row],[Seconds of Use]]=0,0,Table1[[#This Row],[Customer Value]]/Table1[[#This Row],[Seconds of Use]]*100)</f>
        <v>89.796774193548387</v>
      </c>
    </row>
    <row r="1291" spans="1:18" x14ac:dyDescent="0.35">
      <c r="A1291" s="3" t="s">
        <v>1312</v>
      </c>
      <c r="B1291">
        <v>0</v>
      </c>
      <c r="C1291">
        <v>0</v>
      </c>
      <c r="D1291">
        <v>20</v>
      </c>
      <c r="E1291">
        <v>0</v>
      </c>
      <c r="F1291">
        <v>1183</v>
      </c>
      <c r="G1291">
        <v>31</v>
      </c>
      <c r="H1291">
        <v>13</v>
      </c>
      <c r="I1291">
        <v>62</v>
      </c>
      <c r="J1291">
        <v>4</v>
      </c>
      <c r="K1291">
        <v>1</v>
      </c>
      <c r="L1291">
        <v>1</v>
      </c>
      <c r="M1291">
        <v>45</v>
      </c>
      <c r="N1291">
        <v>62.85</v>
      </c>
      <c r="O1291">
        <v>0</v>
      </c>
      <c r="P12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291" t="str">
        <f>IF(Table1[[#This Row],[Fraud_Score]]&gt;=6, "High Risk",IF(Table1[[#This Row],[Fraud_Score]]&gt;=3, "Medium Risk", "Low Risk"))</f>
        <v>Low Risk</v>
      </c>
      <c r="R1291">
        <f>IF(Table1[[#This Row],[Seconds of Use]]=0,0,Table1[[#This Row],[Customer Value]]/Table1[[#This Row],[Seconds of Use]]*100)</f>
        <v>5.3127641589180055</v>
      </c>
    </row>
    <row r="1292" spans="1:18" x14ac:dyDescent="0.35">
      <c r="A1292" s="3" t="s">
        <v>1313</v>
      </c>
      <c r="B1292">
        <v>5</v>
      </c>
      <c r="C1292">
        <v>0</v>
      </c>
      <c r="D1292">
        <v>21</v>
      </c>
      <c r="E1292">
        <v>0</v>
      </c>
      <c r="F1292">
        <v>315</v>
      </c>
      <c r="G1292">
        <v>17</v>
      </c>
      <c r="H1292">
        <v>0</v>
      </c>
      <c r="I1292">
        <v>1</v>
      </c>
      <c r="J1292">
        <v>2</v>
      </c>
      <c r="K1292">
        <v>1</v>
      </c>
      <c r="L1292">
        <v>2</v>
      </c>
      <c r="M1292">
        <v>25</v>
      </c>
      <c r="N1292">
        <v>14.94</v>
      </c>
      <c r="O1292">
        <v>0</v>
      </c>
      <c r="P12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92" t="str">
        <f>IF(Table1[[#This Row],[Fraud_Score]]&gt;=6, "High Risk",IF(Table1[[#This Row],[Fraud_Score]]&gt;=3, "Medium Risk", "Low Risk"))</f>
        <v>Low Risk</v>
      </c>
      <c r="R1292">
        <f>IF(Table1[[#This Row],[Seconds of Use]]=0,0,Table1[[#This Row],[Customer Value]]/Table1[[#This Row],[Seconds of Use]]*100)</f>
        <v>4.742857142857142</v>
      </c>
    </row>
    <row r="1293" spans="1:18" x14ac:dyDescent="0.35">
      <c r="A1293" s="3" t="s">
        <v>1314</v>
      </c>
      <c r="B1293">
        <v>0</v>
      </c>
      <c r="C1293">
        <v>0</v>
      </c>
      <c r="D1293">
        <v>20</v>
      </c>
      <c r="E1293">
        <v>0</v>
      </c>
      <c r="F1293">
        <v>0</v>
      </c>
      <c r="G1293">
        <v>0</v>
      </c>
      <c r="H1293">
        <v>4</v>
      </c>
      <c r="I1293">
        <v>0</v>
      </c>
      <c r="J1293">
        <v>4</v>
      </c>
      <c r="K1293">
        <v>1</v>
      </c>
      <c r="L1293">
        <v>2</v>
      </c>
      <c r="M1293">
        <v>45</v>
      </c>
      <c r="N1293">
        <v>10</v>
      </c>
      <c r="O1293">
        <v>0</v>
      </c>
      <c r="P12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93" t="str">
        <f>IF(Table1[[#This Row],[Fraud_Score]]&gt;=6, "High Risk",IF(Table1[[#This Row],[Fraud_Score]]&gt;=3, "Medium Risk", "Low Risk"))</f>
        <v>Low Risk</v>
      </c>
      <c r="R1293">
        <f>IF(Table1[[#This Row],[Seconds of Use]]=0,0,Table1[[#This Row],[Customer Value]]/Table1[[#This Row],[Seconds of Use]]*100)</f>
        <v>0</v>
      </c>
    </row>
    <row r="1294" spans="1:18" x14ac:dyDescent="0.35">
      <c r="A1294" s="3" t="s">
        <v>1315</v>
      </c>
      <c r="B1294">
        <v>4</v>
      </c>
      <c r="C1294">
        <v>0</v>
      </c>
      <c r="D1294">
        <v>19</v>
      </c>
      <c r="E1294">
        <v>0</v>
      </c>
      <c r="F1294">
        <v>840</v>
      </c>
      <c r="G1294">
        <v>24</v>
      </c>
      <c r="H1294">
        <v>2</v>
      </c>
      <c r="I1294">
        <v>7</v>
      </c>
      <c r="J1294">
        <v>2</v>
      </c>
      <c r="K1294">
        <v>1</v>
      </c>
      <c r="L1294">
        <v>1</v>
      </c>
      <c r="M1294">
        <v>25</v>
      </c>
      <c r="N1294">
        <v>47.88</v>
      </c>
      <c r="O1294">
        <v>0</v>
      </c>
      <c r="P12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94" t="str">
        <f>IF(Table1[[#This Row],[Fraud_Score]]&gt;=6, "High Risk",IF(Table1[[#This Row],[Fraud_Score]]&gt;=3, "Medium Risk", "Low Risk"))</f>
        <v>Low Risk</v>
      </c>
      <c r="R1294">
        <f>IF(Table1[[#This Row],[Seconds of Use]]=0,0,Table1[[#This Row],[Customer Value]]/Table1[[#This Row],[Seconds of Use]]*100)</f>
        <v>5.7</v>
      </c>
    </row>
    <row r="1295" spans="1:18" x14ac:dyDescent="0.35">
      <c r="A1295" s="3" t="s">
        <v>1316</v>
      </c>
      <c r="B1295">
        <v>0</v>
      </c>
      <c r="C1295">
        <v>0</v>
      </c>
      <c r="D1295">
        <v>19</v>
      </c>
      <c r="E1295">
        <v>0</v>
      </c>
      <c r="F1295">
        <v>2840</v>
      </c>
      <c r="G1295">
        <v>53</v>
      </c>
      <c r="H1295">
        <v>0</v>
      </c>
      <c r="I1295">
        <v>17</v>
      </c>
      <c r="J1295">
        <v>3</v>
      </c>
      <c r="K1295">
        <v>1</v>
      </c>
      <c r="L1295">
        <v>1</v>
      </c>
      <c r="M1295">
        <v>30</v>
      </c>
      <c r="N1295">
        <v>115.72</v>
      </c>
      <c r="O1295">
        <v>0</v>
      </c>
      <c r="P12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95" t="str">
        <f>IF(Table1[[#This Row],[Fraud_Score]]&gt;=6, "High Risk",IF(Table1[[#This Row],[Fraud_Score]]&gt;=3, "Medium Risk", "Low Risk"))</f>
        <v>Low Risk</v>
      </c>
      <c r="R1295">
        <f>IF(Table1[[#This Row],[Seconds of Use]]=0,0,Table1[[#This Row],[Customer Value]]/Table1[[#This Row],[Seconds of Use]]*100)</f>
        <v>4.0746478873239438</v>
      </c>
    </row>
    <row r="1296" spans="1:18" x14ac:dyDescent="0.35">
      <c r="A1296" s="3" t="s">
        <v>1317</v>
      </c>
      <c r="B1296">
        <v>0</v>
      </c>
      <c r="C1296">
        <v>0</v>
      </c>
      <c r="D1296">
        <v>12</v>
      </c>
      <c r="E1296">
        <v>0</v>
      </c>
      <c r="F1296">
        <v>1310</v>
      </c>
      <c r="G1296">
        <v>18</v>
      </c>
      <c r="H1296">
        <v>11</v>
      </c>
      <c r="I1296">
        <v>8</v>
      </c>
      <c r="J1296">
        <v>2</v>
      </c>
      <c r="K1296">
        <v>1</v>
      </c>
      <c r="L1296">
        <v>1</v>
      </c>
      <c r="M1296">
        <v>25</v>
      </c>
      <c r="N1296">
        <v>109.26</v>
      </c>
      <c r="O1296">
        <v>0</v>
      </c>
      <c r="P12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96" t="str">
        <f>IF(Table1[[#This Row],[Fraud_Score]]&gt;=6, "High Risk",IF(Table1[[#This Row],[Fraud_Score]]&gt;=3, "Medium Risk", "Low Risk"))</f>
        <v>Low Risk</v>
      </c>
      <c r="R1296">
        <f>IF(Table1[[#This Row],[Seconds of Use]]=0,0,Table1[[#This Row],[Customer Value]]/Table1[[#This Row],[Seconds of Use]]*100)</f>
        <v>8.3404580152671759</v>
      </c>
    </row>
    <row r="1297" spans="1:18" x14ac:dyDescent="0.35">
      <c r="A1297" s="3" t="s">
        <v>1318</v>
      </c>
      <c r="B1297">
        <v>10</v>
      </c>
      <c r="C1297">
        <v>0</v>
      </c>
      <c r="D1297">
        <v>11</v>
      </c>
      <c r="E1297">
        <v>0</v>
      </c>
      <c r="F1297">
        <v>6008</v>
      </c>
      <c r="G1297">
        <v>133</v>
      </c>
      <c r="H1297">
        <v>68</v>
      </c>
      <c r="I1297">
        <v>36</v>
      </c>
      <c r="J1297">
        <v>1</v>
      </c>
      <c r="K1297">
        <v>2</v>
      </c>
      <c r="L1297">
        <v>1</v>
      </c>
      <c r="M1297">
        <v>15</v>
      </c>
      <c r="N1297">
        <v>711.755</v>
      </c>
      <c r="O1297">
        <v>0</v>
      </c>
      <c r="P12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297" t="str">
        <f>IF(Table1[[#This Row],[Fraud_Score]]&gt;=6, "High Risk",IF(Table1[[#This Row],[Fraud_Score]]&gt;=3, "Medium Risk", "Low Risk"))</f>
        <v>Low Risk</v>
      </c>
      <c r="R1297">
        <f>IF(Table1[[#This Row],[Seconds of Use]]=0,0,Table1[[#This Row],[Customer Value]]/Table1[[#This Row],[Seconds of Use]]*100)</f>
        <v>11.846787616511319</v>
      </c>
    </row>
    <row r="1298" spans="1:18" x14ac:dyDescent="0.35">
      <c r="A1298" s="3" t="s">
        <v>1319</v>
      </c>
      <c r="B1298">
        <v>6</v>
      </c>
      <c r="C1298">
        <v>0</v>
      </c>
      <c r="D1298">
        <v>9</v>
      </c>
      <c r="E1298">
        <v>0</v>
      </c>
      <c r="F1298">
        <v>8548</v>
      </c>
      <c r="G1298">
        <v>163</v>
      </c>
      <c r="H1298">
        <v>56</v>
      </c>
      <c r="I1298">
        <v>34</v>
      </c>
      <c r="J1298">
        <v>4</v>
      </c>
      <c r="K1298">
        <v>1</v>
      </c>
      <c r="L1298">
        <v>1</v>
      </c>
      <c r="M1298">
        <v>45</v>
      </c>
      <c r="N1298">
        <v>357.77499999999998</v>
      </c>
      <c r="O1298">
        <v>0</v>
      </c>
      <c r="P12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298" t="str">
        <f>IF(Table1[[#This Row],[Fraud_Score]]&gt;=6, "High Risk",IF(Table1[[#This Row],[Fraud_Score]]&gt;=3, "Medium Risk", "Low Risk"))</f>
        <v>Medium Risk</v>
      </c>
      <c r="R1298">
        <f>IF(Table1[[#This Row],[Seconds of Use]]=0,0,Table1[[#This Row],[Customer Value]]/Table1[[#This Row],[Seconds of Use]]*100)</f>
        <v>4.1854819840898454</v>
      </c>
    </row>
    <row r="1299" spans="1:18" x14ac:dyDescent="0.35">
      <c r="A1299" s="3" t="s">
        <v>1320</v>
      </c>
      <c r="B1299">
        <v>2</v>
      </c>
      <c r="C1299">
        <v>0</v>
      </c>
      <c r="D1299">
        <v>10</v>
      </c>
      <c r="E1299">
        <v>1</v>
      </c>
      <c r="F1299">
        <v>2468</v>
      </c>
      <c r="G1299">
        <v>37</v>
      </c>
      <c r="H1299">
        <v>14</v>
      </c>
      <c r="I1299">
        <v>13</v>
      </c>
      <c r="J1299">
        <v>3</v>
      </c>
      <c r="K1299">
        <v>1</v>
      </c>
      <c r="L1299">
        <v>1</v>
      </c>
      <c r="M1299">
        <v>30</v>
      </c>
      <c r="N1299">
        <v>156.19999999999999</v>
      </c>
      <c r="O1299">
        <v>0</v>
      </c>
      <c r="P12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299" t="str">
        <f>IF(Table1[[#This Row],[Fraud_Score]]&gt;=6, "High Risk",IF(Table1[[#This Row],[Fraud_Score]]&gt;=3, "Medium Risk", "Low Risk"))</f>
        <v>Low Risk</v>
      </c>
      <c r="R1299">
        <f>IF(Table1[[#This Row],[Seconds of Use]]=0,0,Table1[[#This Row],[Customer Value]]/Table1[[#This Row],[Seconds of Use]]*100)</f>
        <v>6.3290113452188006</v>
      </c>
    </row>
    <row r="1300" spans="1:18" x14ac:dyDescent="0.35">
      <c r="A1300" s="3" t="s">
        <v>1321</v>
      </c>
      <c r="B1300">
        <v>0</v>
      </c>
      <c r="C1300">
        <v>0</v>
      </c>
      <c r="D1300">
        <v>3</v>
      </c>
      <c r="E1300">
        <v>0</v>
      </c>
      <c r="F1300">
        <v>4005</v>
      </c>
      <c r="G1300">
        <v>32</v>
      </c>
      <c r="H1300">
        <v>198</v>
      </c>
      <c r="I1300">
        <v>4</v>
      </c>
      <c r="J1300">
        <v>3</v>
      </c>
      <c r="K1300">
        <v>1</v>
      </c>
      <c r="L1300">
        <v>1</v>
      </c>
      <c r="M1300">
        <v>30</v>
      </c>
      <c r="N1300">
        <v>953.48</v>
      </c>
      <c r="O1300">
        <v>0</v>
      </c>
      <c r="P13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0" t="str">
        <f>IF(Table1[[#This Row],[Fraud_Score]]&gt;=6, "High Risk",IF(Table1[[#This Row],[Fraud_Score]]&gt;=3, "Medium Risk", "Low Risk"))</f>
        <v>Low Risk</v>
      </c>
      <c r="R1300">
        <f>IF(Table1[[#This Row],[Seconds of Use]]=0,0,Table1[[#This Row],[Customer Value]]/Table1[[#This Row],[Seconds of Use]]*100)</f>
        <v>23.80724094881398</v>
      </c>
    </row>
    <row r="1301" spans="1:18" x14ac:dyDescent="0.35">
      <c r="A1301" s="3" t="s">
        <v>1322</v>
      </c>
      <c r="B1301">
        <v>0</v>
      </c>
      <c r="C1301">
        <v>0</v>
      </c>
      <c r="D1301">
        <v>3</v>
      </c>
      <c r="E1301">
        <v>0</v>
      </c>
      <c r="F1301">
        <v>1103</v>
      </c>
      <c r="G1301">
        <v>11</v>
      </c>
      <c r="H1301">
        <v>0</v>
      </c>
      <c r="I1301">
        <v>1</v>
      </c>
      <c r="J1301">
        <v>2</v>
      </c>
      <c r="K1301">
        <v>1</v>
      </c>
      <c r="L1301">
        <v>1</v>
      </c>
      <c r="M1301">
        <v>25</v>
      </c>
      <c r="N1301">
        <v>50.13</v>
      </c>
      <c r="O1301">
        <v>1</v>
      </c>
      <c r="P13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1" t="str">
        <f>IF(Table1[[#This Row],[Fraud_Score]]&gt;=6, "High Risk",IF(Table1[[#This Row],[Fraud_Score]]&gt;=3, "Medium Risk", "Low Risk"))</f>
        <v>Low Risk</v>
      </c>
      <c r="R1301">
        <f>IF(Table1[[#This Row],[Seconds of Use]]=0,0,Table1[[#This Row],[Customer Value]]/Table1[[#This Row],[Seconds of Use]]*100)</f>
        <v>4.5448776065276526</v>
      </c>
    </row>
    <row r="1302" spans="1:18" x14ac:dyDescent="0.35">
      <c r="A1302" s="3" t="s">
        <v>1323</v>
      </c>
      <c r="B1302">
        <v>8</v>
      </c>
      <c r="C1302">
        <v>0</v>
      </c>
      <c r="D1302">
        <v>42</v>
      </c>
      <c r="E1302">
        <v>0</v>
      </c>
      <c r="F1302">
        <v>4325</v>
      </c>
      <c r="G1302">
        <v>75</v>
      </c>
      <c r="H1302">
        <v>13</v>
      </c>
      <c r="I1302">
        <v>21</v>
      </c>
      <c r="J1302">
        <v>3</v>
      </c>
      <c r="K1302">
        <v>1</v>
      </c>
      <c r="L1302">
        <v>1</v>
      </c>
      <c r="M1302">
        <v>30</v>
      </c>
      <c r="N1302">
        <v>228</v>
      </c>
      <c r="O1302">
        <v>0</v>
      </c>
      <c r="P13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2" t="str">
        <f>IF(Table1[[#This Row],[Fraud_Score]]&gt;=6, "High Risk",IF(Table1[[#This Row],[Fraud_Score]]&gt;=3, "Medium Risk", "Low Risk"))</f>
        <v>Low Risk</v>
      </c>
      <c r="R1302">
        <f>IF(Table1[[#This Row],[Seconds of Use]]=0,0,Table1[[#This Row],[Customer Value]]/Table1[[#This Row],[Seconds of Use]]*100)</f>
        <v>5.2716763005780347</v>
      </c>
    </row>
    <row r="1303" spans="1:18" x14ac:dyDescent="0.35">
      <c r="A1303" s="3" t="s">
        <v>1324</v>
      </c>
      <c r="B1303">
        <v>0</v>
      </c>
      <c r="C1303">
        <v>0</v>
      </c>
      <c r="D1303">
        <v>43</v>
      </c>
      <c r="E1303">
        <v>0</v>
      </c>
      <c r="F1303">
        <v>273</v>
      </c>
      <c r="G1303">
        <v>9</v>
      </c>
      <c r="H1303">
        <v>15</v>
      </c>
      <c r="I1303">
        <v>8</v>
      </c>
      <c r="J1303">
        <v>2</v>
      </c>
      <c r="K1303">
        <v>1</v>
      </c>
      <c r="L1303">
        <v>2</v>
      </c>
      <c r="M1303">
        <v>25</v>
      </c>
      <c r="N1303">
        <v>80.19</v>
      </c>
      <c r="O1303">
        <v>0</v>
      </c>
      <c r="P13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3" t="str">
        <f>IF(Table1[[#This Row],[Fraud_Score]]&gt;=6, "High Risk",IF(Table1[[#This Row],[Fraud_Score]]&gt;=3, "Medium Risk", "Low Risk"))</f>
        <v>Low Risk</v>
      </c>
      <c r="R1303">
        <f>IF(Table1[[#This Row],[Seconds of Use]]=0,0,Table1[[#This Row],[Customer Value]]/Table1[[#This Row],[Seconds of Use]]*100)</f>
        <v>29.373626373626372</v>
      </c>
    </row>
    <row r="1304" spans="1:18" x14ac:dyDescent="0.35">
      <c r="A1304" s="3" t="s">
        <v>1325</v>
      </c>
      <c r="B1304">
        <v>10</v>
      </c>
      <c r="C1304">
        <v>0</v>
      </c>
      <c r="D1304">
        <v>41</v>
      </c>
      <c r="E1304">
        <v>0</v>
      </c>
      <c r="F1304">
        <v>2408</v>
      </c>
      <c r="G1304">
        <v>64</v>
      </c>
      <c r="H1304">
        <v>367</v>
      </c>
      <c r="I1304">
        <v>28</v>
      </c>
      <c r="J1304">
        <v>3</v>
      </c>
      <c r="K1304">
        <v>1</v>
      </c>
      <c r="L1304">
        <v>1</v>
      </c>
      <c r="M1304">
        <v>30</v>
      </c>
      <c r="N1304">
        <v>1566.88</v>
      </c>
      <c r="O1304">
        <v>0</v>
      </c>
      <c r="P13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4" t="str">
        <f>IF(Table1[[#This Row],[Fraud_Score]]&gt;=6, "High Risk",IF(Table1[[#This Row],[Fraud_Score]]&gt;=3, "Medium Risk", "Low Risk"))</f>
        <v>Low Risk</v>
      </c>
      <c r="R1304">
        <f>IF(Table1[[#This Row],[Seconds of Use]]=0,0,Table1[[#This Row],[Customer Value]]/Table1[[#This Row],[Seconds of Use]]*100)</f>
        <v>65.069767441860478</v>
      </c>
    </row>
    <row r="1305" spans="1:18" x14ac:dyDescent="0.35">
      <c r="A1305" s="3" t="s">
        <v>1326</v>
      </c>
      <c r="B1305">
        <v>10</v>
      </c>
      <c r="C1305">
        <v>0</v>
      </c>
      <c r="D1305">
        <v>42</v>
      </c>
      <c r="E1305">
        <v>0</v>
      </c>
      <c r="F1305">
        <v>4153</v>
      </c>
      <c r="G1305">
        <v>70</v>
      </c>
      <c r="H1305">
        <v>9</v>
      </c>
      <c r="I1305">
        <v>39</v>
      </c>
      <c r="J1305">
        <v>1</v>
      </c>
      <c r="K1305">
        <v>1</v>
      </c>
      <c r="L1305">
        <v>1</v>
      </c>
      <c r="M1305">
        <v>15</v>
      </c>
      <c r="N1305">
        <v>281.76499999999999</v>
      </c>
      <c r="O1305">
        <v>0</v>
      </c>
      <c r="P13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5" t="str">
        <f>IF(Table1[[#This Row],[Fraud_Score]]&gt;=6, "High Risk",IF(Table1[[#This Row],[Fraud_Score]]&gt;=3, "Medium Risk", "Low Risk"))</f>
        <v>Low Risk</v>
      </c>
      <c r="R1305">
        <f>IF(Table1[[#This Row],[Seconds of Use]]=0,0,Table1[[#This Row],[Customer Value]]/Table1[[#This Row],[Seconds of Use]]*100)</f>
        <v>6.784613532386226</v>
      </c>
    </row>
    <row r="1306" spans="1:18" x14ac:dyDescent="0.35">
      <c r="A1306" s="3" t="s">
        <v>1327</v>
      </c>
      <c r="B1306">
        <v>3</v>
      </c>
      <c r="C1306">
        <v>0</v>
      </c>
      <c r="D1306">
        <v>42</v>
      </c>
      <c r="E1306">
        <v>0</v>
      </c>
      <c r="F1306">
        <v>2348</v>
      </c>
      <c r="G1306">
        <v>62</v>
      </c>
      <c r="H1306">
        <v>10</v>
      </c>
      <c r="I1306">
        <v>37</v>
      </c>
      <c r="J1306">
        <v>1</v>
      </c>
      <c r="K1306">
        <v>1</v>
      </c>
      <c r="L1306">
        <v>1</v>
      </c>
      <c r="M1306">
        <v>15</v>
      </c>
      <c r="N1306">
        <v>187.55</v>
      </c>
      <c r="O1306">
        <v>0</v>
      </c>
      <c r="P13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6" t="str">
        <f>IF(Table1[[#This Row],[Fraud_Score]]&gt;=6, "High Risk",IF(Table1[[#This Row],[Fraud_Score]]&gt;=3, "Medium Risk", "Low Risk"))</f>
        <v>Low Risk</v>
      </c>
      <c r="R1306">
        <f>IF(Table1[[#This Row],[Seconds of Use]]=0,0,Table1[[#This Row],[Customer Value]]/Table1[[#This Row],[Seconds of Use]]*100)</f>
        <v>7.9876490630323689</v>
      </c>
    </row>
    <row r="1307" spans="1:18" x14ac:dyDescent="0.35">
      <c r="A1307" s="3" t="s">
        <v>1328</v>
      </c>
      <c r="B1307">
        <v>11</v>
      </c>
      <c r="C1307">
        <v>0</v>
      </c>
      <c r="D1307">
        <v>42</v>
      </c>
      <c r="E1307">
        <v>1</v>
      </c>
      <c r="F1307">
        <v>3730</v>
      </c>
      <c r="G1307">
        <v>86</v>
      </c>
      <c r="H1307">
        <v>40</v>
      </c>
      <c r="I1307">
        <v>32</v>
      </c>
      <c r="J1307">
        <v>3</v>
      </c>
      <c r="K1307">
        <v>1</v>
      </c>
      <c r="L1307">
        <v>1</v>
      </c>
      <c r="M1307">
        <v>30</v>
      </c>
      <c r="N1307">
        <v>312.64</v>
      </c>
      <c r="O1307">
        <v>0</v>
      </c>
      <c r="P13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307" t="str">
        <f>IF(Table1[[#This Row],[Fraud_Score]]&gt;=6, "High Risk",IF(Table1[[#This Row],[Fraud_Score]]&gt;=3, "Medium Risk", "Low Risk"))</f>
        <v>Low Risk</v>
      </c>
      <c r="R1307">
        <f>IF(Table1[[#This Row],[Seconds of Use]]=0,0,Table1[[#This Row],[Customer Value]]/Table1[[#This Row],[Seconds of Use]]*100)</f>
        <v>8.3817694369973186</v>
      </c>
    </row>
    <row r="1308" spans="1:18" x14ac:dyDescent="0.35">
      <c r="A1308" s="3" t="s">
        <v>1329</v>
      </c>
      <c r="B1308">
        <v>4</v>
      </c>
      <c r="C1308">
        <v>0</v>
      </c>
      <c r="D1308">
        <v>42</v>
      </c>
      <c r="E1308">
        <v>0</v>
      </c>
      <c r="F1308">
        <v>2315</v>
      </c>
      <c r="G1308">
        <v>43</v>
      </c>
      <c r="H1308">
        <v>293</v>
      </c>
      <c r="I1308">
        <v>22</v>
      </c>
      <c r="J1308">
        <v>3</v>
      </c>
      <c r="K1308">
        <v>1</v>
      </c>
      <c r="L1308">
        <v>1</v>
      </c>
      <c r="M1308">
        <v>30</v>
      </c>
      <c r="N1308">
        <v>1266.32</v>
      </c>
      <c r="O1308">
        <v>0</v>
      </c>
      <c r="P13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08" t="str">
        <f>IF(Table1[[#This Row],[Fraud_Score]]&gt;=6, "High Risk",IF(Table1[[#This Row],[Fraud_Score]]&gt;=3, "Medium Risk", "Low Risk"))</f>
        <v>Low Risk</v>
      </c>
      <c r="R1308">
        <f>IF(Table1[[#This Row],[Seconds of Use]]=0,0,Table1[[#This Row],[Customer Value]]/Table1[[#This Row],[Seconds of Use]]*100)</f>
        <v>54.700647948164146</v>
      </c>
    </row>
    <row r="1309" spans="1:18" x14ac:dyDescent="0.35">
      <c r="A1309" s="3" t="s">
        <v>1330</v>
      </c>
      <c r="B1309">
        <v>13</v>
      </c>
      <c r="C1309">
        <v>0</v>
      </c>
      <c r="D1309">
        <v>41</v>
      </c>
      <c r="E1309">
        <v>2</v>
      </c>
      <c r="F1309">
        <v>9070</v>
      </c>
      <c r="G1309">
        <v>125</v>
      </c>
      <c r="H1309">
        <v>152</v>
      </c>
      <c r="I1309">
        <v>47</v>
      </c>
      <c r="J1309">
        <v>3</v>
      </c>
      <c r="K1309">
        <v>1</v>
      </c>
      <c r="L1309">
        <v>1</v>
      </c>
      <c r="M1309">
        <v>30</v>
      </c>
      <c r="N1309">
        <v>975.8</v>
      </c>
      <c r="O1309">
        <v>0</v>
      </c>
      <c r="P13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309" t="str">
        <f>IF(Table1[[#This Row],[Fraud_Score]]&gt;=6, "High Risk",IF(Table1[[#This Row],[Fraud_Score]]&gt;=3, "Medium Risk", "Low Risk"))</f>
        <v>Low Risk</v>
      </c>
      <c r="R1309">
        <f>IF(Table1[[#This Row],[Seconds of Use]]=0,0,Table1[[#This Row],[Customer Value]]/Table1[[#This Row],[Seconds of Use]]*100)</f>
        <v>10.758544652701213</v>
      </c>
    </row>
    <row r="1310" spans="1:18" x14ac:dyDescent="0.35">
      <c r="A1310" s="3" t="s">
        <v>1331</v>
      </c>
      <c r="B1310">
        <v>7</v>
      </c>
      <c r="C1310">
        <v>0</v>
      </c>
      <c r="D1310">
        <v>42</v>
      </c>
      <c r="E1310">
        <v>0</v>
      </c>
      <c r="F1310">
        <v>13728</v>
      </c>
      <c r="G1310">
        <v>173</v>
      </c>
      <c r="H1310">
        <v>8</v>
      </c>
      <c r="I1310">
        <v>48</v>
      </c>
      <c r="J1310">
        <v>3</v>
      </c>
      <c r="K1310">
        <v>1</v>
      </c>
      <c r="L1310">
        <v>1</v>
      </c>
      <c r="M1310">
        <v>30</v>
      </c>
      <c r="N1310">
        <v>588.04</v>
      </c>
      <c r="O1310">
        <v>0</v>
      </c>
      <c r="P13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310" t="str">
        <f>IF(Table1[[#This Row],[Fraud_Score]]&gt;=6, "High Risk",IF(Table1[[#This Row],[Fraud_Score]]&gt;=3, "Medium Risk", "Low Risk"))</f>
        <v>Medium Risk</v>
      </c>
      <c r="R1310">
        <f>IF(Table1[[#This Row],[Seconds of Use]]=0,0,Table1[[#This Row],[Customer Value]]/Table1[[#This Row],[Seconds of Use]]*100)</f>
        <v>4.283508158508158</v>
      </c>
    </row>
    <row r="1311" spans="1:18" x14ac:dyDescent="0.35">
      <c r="A1311" s="3" t="s">
        <v>1332</v>
      </c>
      <c r="B1311">
        <v>7</v>
      </c>
      <c r="C1311">
        <v>0</v>
      </c>
      <c r="D1311">
        <v>42</v>
      </c>
      <c r="E1311">
        <v>1</v>
      </c>
      <c r="F1311">
        <v>4470</v>
      </c>
      <c r="G1311">
        <v>87</v>
      </c>
      <c r="H1311">
        <v>10</v>
      </c>
      <c r="I1311">
        <v>29</v>
      </c>
      <c r="J1311">
        <v>3</v>
      </c>
      <c r="K1311">
        <v>1</v>
      </c>
      <c r="L1311">
        <v>1</v>
      </c>
      <c r="M1311">
        <v>30</v>
      </c>
      <c r="N1311">
        <v>222.28</v>
      </c>
      <c r="O1311">
        <v>0</v>
      </c>
      <c r="P13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11" t="str">
        <f>IF(Table1[[#This Row],[Fraud_Score]]&gt;=6, "High Risk",IF(Table1[[#This Row],[Fraud_Score]]&gt;=3, "Medium Risk", "Low Risk"))</f>
        <v>Low Risk</v>
      </c>
      <c r="R1311">
        <f>IF(Table1[[#This Row],[Seconds of Use]]=0,0,Table1[[#This Row],[Customer Value]]/Table1[[#This Row],[Seconds of Use]]*100)</f>
        <v>4.9727069351230426</v>
      </c>
    </row>
    <row r="1312" spans="1:18" x14ac:dyDescent="0.35">
      <c r="A1312" s="3" t="s">
        <v>1333</v>
      </c>
      <c r="B1312">
        <v>6</v>
      </c>
      <c r="C1312">
        <v>0</v>
      </c>
      <c r="D1312">
        <v>42</v>
      </c>
      <c r="E1312">
        <v>0</v>
      </c>
      <c r="F1312">
        <v>5873</v>
      </c>
      <c r="G1312">
        <v>99</v>
      </c>
      <c r="H1312">
        <v>15</v>
      </c>
      <c r="I1312">
        <v>16</v>
      </c>
      <c r="J1312">
        <v>3</v>
      </c>
      <c r="K1312">
        <v>1</v>
      </c>
      <c r="L1312">
        <v>1</v>
      </c>
      <c r="M1312">
        <v>30</v>
      </c>
      <c r="N1312">
        <v>298.88</v>
      </c>
      <c r="O1312">
        <v>0</v>
      </c>
      <c r="P13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12" t="str">
        <f>IF(Table1[[#This Row],[Fraud_Score]]&gt;=6, "High Risk",IF(Table1[[#This Row],[Fraud_Score]]&gt;=3, "Medium Risk", "Low Risk"))</f>
        <v>Low Risk</v>
      </c>
      <c r="R1312">
        <f>IF(Table1[[#This Row],[Seconds of Use]]=0,0,Table1[[#This Row],[Customer Value]]/Table1[[#This Row],[Seconds of Use]]*100)</f>
        <v>5.0890515920313293</v>
      </c>
    </row>
    <row r="1313" spans="1:18" x14ac:dyDescent="0.35">
      <c r="A1313" s="3" t="s">
        <v>1334</v>
      </c>
      <c r="B1313">
        <v>9</v>
      </c>
      <c r="C1313">
        <v>1</v>
      </c>
      <c r="D1313">
        <v>42</v>
      </c>
      <c r="E1313">
        <v>0</v>
      </c>
      <c r="F1313">
        <v>2193</v>
      </c>
      <c r="G1313">
        <v>58</v>
      </c>
      <c r="H1313">
        <v>16</v>
      </c>
      <c r="I1313">
        <v>21</v>
      </c>
      <c r="J1313">
        <v>3</v>
      </c>
      <c r="K1313">
        <v>1</v>
      </c>
      <c r="L1313">
        <v>2</v>
      </c>
      <c r="M1313">
        <v>30</v>
      </c>
      <c r="N1313">
        <v>154.04</v>
      </c>
      <c r="O1313">
        <v>0</v>
      </c>
      <c r="P13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13" t="str">
        <f>IF(Table1[[#This Row],[Fraud_Score]]&gt;=6, "High Risk",IF(Table1[[#This Row],[Fraud_Score]]&gt;=3, "Medium Risk", "Low Risk"))</f>
        <v>Medium Risk</v>
      </c>
      <c r="R1313">
        <f>IF(Table1[[#This Row],[Seconds of Use]]=0,0,Table1[[#This Row],[Customer Value]]/Table1[[#This Row],[Seconds of Use]]*100)</f>
        <v>7.0241678066575473</v>
      </c>
    </row>
    <row r="1314" spans="1:18" x14ac:dyDescent="0.35">
      <c r="A1314" s="3" t="s">
        <v>1335</v>
      </c>
      <c r="B1314">
        <v>25</v>
      </c>
      <c r="C1314">
        <v>0</v>
      </c>
      <c r="D1314">
        <v>42</v>
      </c>
      <c r="E1314">
        <v>3</v>
      </c>
      <c r="F1314">
        <v>15095</v>
      </c>
      <c r="G1314">
        <v>229</v>
      </c>
      <c r="H1314">
        <v>62</v>
      </c>
      <c r="I1314">
        <v>36</v>
      </c>
      <c r="J1314">
        <v>3</v>
      </c>
      <c r="K1314">
        <v>1</v>
      </c>
      <c r="L1314">
        <v>1</v>
      </c>
      <c r="M1314">
        <v>30</v>
      </c>
      <c r="N1314">
        <v>860.96</v>
      </c>
      <c r="O1314">
        <v>0</v>
      </c>
      <c r="P13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314" t="str">
        <f>IF(Table1[[#This Row],[Fraud_Score]]&gt;=6, "High Risk",IF(Table1[[#This Row],[Fraud_Score]]&gt;=3, "Medium Risk", "Low Risk"))</f>
        <v>Medium Risk</v>
      </c>
      <c r="R1314">
        <f>IF(Table1[[#This Row],[Seconds of Use]]=0,0,Table1[[#This Row],[Customer Value]]/Table1[[#This Row],[Seconds of Use]]*100)</f>
        <v>5.7036104670420675</v>
      </c>
    </row>
    <row r="1315" spans="1:18" x14ac:dyDescent="0.35">
      <c r="A1315" s="3" t="s">
        <v>1336</v>
      </c>
      <c r="B1315">
        <v>4</v>
      </c>
      <c r="C1315">
        <v>0</v>
      </c>
      <c r="D1315">
        <v>42</v>
      </c>
      <c r="E1315">
        <v>1</v>
      </c>
      <c r="F1315">
        <v>3050</v>
      </c>
      <c r="G1315">
        <v>31</v>
      </c>
      <c r="H1315">
        <v>491</v>
      </c>
      <c r="I1315">
        <v>12</v>
      </c>
      <c r="J1315">
        <v>3</v>
      </c>
      <c r="K1315">
        <v>1</v>
      </c>
      <c r="L1315">
        <v>1</v>
      </c>
      <c r="M1315">
        <v>30</v>
      </c>
      <c r="N1315">
        <v>2087.2399999999998</v>
      </c>
      <c r="O1315">
        <v>0</v>
      </c>
      <c r="P13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15" t="str">
        <f>IF(Table1[[#This Row],[Fraud_Score]]&gt;=6, "High Risk",IF(Table1[[#This Row],[Fraud_Score]]&gt;=3, "Medium Risk", "Low Risk"))</f>
        <v>Low Risk</v>
      </c>
      <c r="R1315">
        <f>IF(Table1[[#This Row],[Seconds of Use]]=0,0,Table1[[#This Row],[Customer Value]]/Table1[[#This Row],[Seconds of Use]]*100)</f>
        <v>68.434098360655724</v>
      </c>
    </row>
    <row r="1316" spans="1:18" x14ac:dyDescent="0.35">
      <c r="A1316" s="3" t="s">
        <v>1337</v>
      </c>
      <c r="B1316">
        <v>9</v>
      </c>
      <c r="C1316">
        <v>0</v>
      </c>
      <c r="D1316">
        <v>41</v>
      </c>
      <c r="E1316">
        <v>0</v>
      </c>
      <c r="F1316">
        <v>15440</v>
      </c>
      <c r="G1316">
        <v>186</v>
      </c>
      <c r="H1316">
        <v>158</v>
      </c>
      <c r="I1316">
        <v>34</v>
      </c>
      <c r="J1316">
        <v>2</v>
      </c>
      <c r="K1316">
        <v>1</v>
      </c>
      <c r="L1316">
        <v>1</v>
      </c>
      <c r="M1316">
        <v>25</v>
      </c>
      <c r="N1316">
        <v>1414.17</v>
      </c>
      <c r="O1316">
        <v>0</v>
      </c>
      <c r="P13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16" t="str">
        <f>IF(Table1[[#This Row],[Fraud_Score]]&gt;=6, "High Risk",IF(Table1[[#This Row],[Fraud_Score]]&gt;=3, "Medium Risk", "Low Risk"))</f>
        <v>Medium Risk</v>
      </c>
      <c r="R1316">
        <f>IF(Table1[[#This Row],[Seconds of Use]]=0,0,Table1[[#This Row],[Customer Value]]/Table1[[#This Row],[Seconds of Use]]*100)</f>
        <v>9.1591321243523325</v>
      </c>
    </row>
    <row r="1317" spans="1:18" x14ac:dyDescent="0.35">
      <c r="A1317" s="3" t="s">
        <v>1338</v>
      </c>
      <c r="B1317">
        <v>3</v>
      </c>
      <c r="C1317">
        <v>0</v>
      </c>
      <c r="D1317">
        <v>41</v>
      </c>
      <c r="E1317">
        <v>1</v>
      </c>
      <c r="F1317">
        <v>6455</v>
      </c>
      <c r="G1317">
        <v>90</v>
      </c>
      <c r="H1317">
        <v>194</v>
      </c>
      <c r="I1317">
        <v>30</v>
      </c>
      <c r="J1317">
        <v>3</v>
      </c>
      <c r="K1317">
        <v>1</v>
      </c>
      <c r="L1317">
        <v>1</v>
      </c>
      <c r="M1317">
        <v>30</v>
      </c>
      <c r="N1317">
        <v>1037.8</v>
      </c>
      <c r="O1317">
        <v>0</v>
      </c>
      <c r="P13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17" t="str">
        <f>IF(Table1[[#This Row],[Fraud_Score]]&gt;=6, "High Risk",IF(Table1[[#This Row],[Fraud_Score]]&gt;=3, "Medium Risk", "Low Risk"))</f>
        <v>Low Risk</v>
      </c>
      <c r="R1317">
        <f>IF(Table1[[#This Row],[Seconds of Use]]=0,0,Table1[[#This Row],[Customer Value]]/Table1[[#This Row],[Seconds of Use]]*100)</f>
        <v>16.077459333849728</v>
      </c>
    </row>
    <row r="1318" spans="1:18" x14ac:dyDescent="0.35">
      <c r="A1318" s="3" t="s">
        <v>1339</v>
      </c>
      <c r="B1318">
        <v>0</v>
      </c>
      <c r="C1318">
        <v>0</v>
      </c>
      <c r="D1318">
        <v>41</v>
      </c>
      <c r="E1318">
        <v>0</v>
      </c>
      <c r="F1318">
        <v>830</v>
      </c>
      <c r="G1318">
        <v>18</v>
      </c>
      <c r="H1318">
        <v>8</v>
      </c>
      <c r="I1318">
        <v>15</v>
      </c>
      <c r="J1318">
        <v>2</v>
      </c>
      <c r="K1318">
        <v>1</v>
      </c>
      <c r="L1318">
        <v>2</v>
      </c>
      <c r="M1318">
        <v>25</v>
      </c>
      <c r="N1318">
        <v>74.16</v>
      </c>
      <c r="O1318">
        <v>0</v>
      </c>
      <c r="P13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18" t="str">
        <f>IF(Table1[[#This Row],[Fraud_Score]]&gt;=6, "High Risk",IF(Table1[[#This Row],[Fraud_Score]]&gt;=3, "Medium Risk", "Low Risk"))</f>
        <v>Low Risk</v>
      </c>
      <c r="R1318">
        <f>IF(Table1[[#This Row],[Seconds of Use]]=0,0,Table1[[#This Row],[Customer Value]]/Table1[[#This Row],[Seconds of Use]]*100)</f>
        <v>8.9349397590361441</v>
      </c>
    </row>
    <row r="1319" spans="1:18" x14ac:dyDescent="0.35">
      <c r="A1319" s="3" t="s">
        <v>1340</v>
      </c>
      <c r="B1319">
        <v>2</v>
      </c>
      <c r="C1319">
        <v>0</v>
      </c>
      <c r="D1319">
        <v>42</v>
      </c>
      <c r="E1319">
        <v>0</v>
      </c>
      <c r="F1319">
        <v>665</v>
      </c>
      <c r="G1319">
        <v>18</v>
      </c>
      <c r="H1319">
        <v>21</v>
      </c>
      <c r="I1319">
        <v>12</v>
      </c>
      <c r="J1319">
        <v>3</v>
      </c>
      <c r="K1319">
        <v>1</v>
      </c>
      <c r="L1319">
        <v>2</v>
      </c>
      <c r="M1319">
        <v>30</v>
      </c>
      <c r="N1319">
        <v>111.32</v>
      </c>
      <c r="O1319">
        <v>0</v>
      </c>
      <c r="P13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19" t="str">
        <f>IF(Table1[[#This Row],[Fraud_Score]]&gt;=6, "High Risk",IF(Table1[[#This Row],[Fraud_Score]]&gt;=3, "Medium Risk", "Low Risk"))</f>
        <v>Low Risk</v>
      </c>
      <c r="R1319">
        <f>IF(Table1[[#This Row],[Seconds of Use]]=0,0,Table1[[#This Row],[Customer Value]]/Table1[[#This Row],[Seconds of Use]]*100)</f>
        <v>16.739849624060149</v>
      </c>
    </row>
    <row r="1320" spans="1:18" x14ac:dyDescent="0.35">
      <c r="A1320" s="3" t="s">
        <v>1341</v>
      </c>
      <c r="B1320">
        <v>0</v>
      </c>
      <c r="C1320">
        <v>0</v>
      </c>
      <c r="D1320">
        <v>41</v>
      </c>
      <c r="E1320">
        <v>0</v>
      </c>
      <c r="F1320">
        <v>0</v>
      </c>
      <c r="G1320">
        <v>0</v>
      </c>
      <c r="H1320">
        <v>8</v>
      </c>
      <c r="I1320">
        <v>0</v>
      </c>
      <c r="J1320">
        <v>2</v>
      </c>
      <c r="K1320">
        <v>1</v>
      </c>
      <c r="L1320">
        <v>2</v>
      </c>
      <c r="M1320">
        <v>25</v>
      </c>
      <c r="N1320">
        <v>36</v>
      </c>
      <c r="O1320">
        <v>1</v>
      </c>
      <c r="P13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20" t="str">
        <f>IF(Table1[[#This Row],[Fraud_Score]]&gt;=6, "High Risk",IF(Table1[[#This Row],[Fraud_Score]]&gt;=3, "Medium Risk", "Low Risk"))</f>
        <v>Low Risk</v>
      </c>
      <c r="R1320">
        <f>IF(Table1[[#This Row],[Seconds of Use]]=0,0,Table1[[#This Row],[Customer Value]]/Table1[[#This Row],[Seconds of Use]]*100)</f>
        <v>0</v>
      </c>
    </row>
    <row r="1321" spans="1:18" x14ac:dyDescent="0.35">
      <c r="A1321" s="3" t="s">
        <v>1342</v>
      </c>
      <c r="B1321">
        <v>3</v>
      </c>
      <c r="C1321">
        <v>0</v>
      </c>
      <c r="D1321">
        <v>41</v>
      </c>
      <c r="E1321">
        <v>0</v>
      </c>
      <c r="F1321">
        <v>7463</v>
      </c>
      <c r="G1321">
        <v>131</v>
      </c>
      <c r="H1321">
        <v>392</v>
      </c>
      <c r="I1321">
        <v>47</v>
      </c>
      <c r="J1321">
        <v>2</v>
      </c>
      <c r="K1321">
        <v>1</v>
      </c>
      <c r="L1321">
        <v>1</v>
      </c>
      <c r="M1321">
        <v>25</v>
      </c>
      <c r="N1321">
        <v>2105.73</v>
      </c>
      <c r="O1321">
        <v>0</v>
      </c>
      <c r="P13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21" t="str">
        <f>IF(Table1[[#This Row],[Fraud_Score]]&gt;=6, "High Risk",IF(Table1[[#This Row],[Fraud_Score]]&gt;=3, "Medium Risk", "Low Risk"))</f>
        <v>Low Risk</v>
      </c>
      <c r="R1321">
        <f>IF(Table1[[#This Row],[Seconds of Use]]=0,0,Table1[[#This Row],[Customer Value]]/Table1[[#This Row],[Seconds of Use]]*100)</f>
        <v>28.215596944928311</v>
      </c>
    </row>
    <row r="1322" spans="1:18" x14ac:dyDescent="0.35">
      <c r="A1322" s="3" t="s">
        <v>1343</v>
      </c>
      <c r="B1322">
        <v>7</v>
      </c>
      <c r="C1322">
        <v>0</v>
      </c>
      <c r="D1322">
        <v>41</v>
      </c>
      <c r="E1322">
        <v>1</v>
      </c>
      <c r="F1322">
        <v>11420</v>
      </c>
      <c r="G1322">
        <v>158</v>
      </c>
      <c r="H1322">
        <v>19</v>
      </c>
      <c r="I1322">
        <v>51</v>
      </c>
      <c r="J1322">
        <v>4</v>
      </c>
      <c r="K1322">
        <v>1</v>
      </c>
      <c r="L1322">
        <v>1</v>
      </c>
      <c r="M1322">
        <v>45</v>
      </c>
      <c r="N1322">
        <v>336.95</v>
      </c>
      <c r="O1322">
        <v>0</v>
      </c>
      <c r="P13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22" t="str">
        <f>IF(Table1[[#This Row],[Fraud_Score]]&gt;=6, "High Risk",IF(Table1[[#This Row],[Fraud_Score]]&gt;=3, "Medium Risk", "Low Risk"))</f>
        <v>Medium Risk</v>
      </c>
      <c r="R1322">
        <f>IF(Table1[[#This Row],[Seconds of Use]]=0,0,Table1[[#This Row],[Customer Value]]/Table1[[#This Row],[Seconds of Use]]*100)</f>
        <v>2.9505253940455343</v>
      </c>
    </row>
    <row r="1323" spans="1:18" x14ac:dyDescent="0.35">
      <c r="A1323" s="3" t="s">
        <v>1344</v>
      </c>
      <c r="B1323">
        <v>8</v>
      </c>
      <c r="C1323">
        <v>0</v>
      </c>
      <c r="D1323">
        <v>41</v>
      </c>
      <c r="E1323">
        <v>1</v>
      </c>
      <c r="F1323">
        <v>6673</v>
      </c>
      <c r="G1323">
        <v>79</v>
      </c>
      <c r="H1323">
        <v>116</v>
      </c>
      <c r="I1323">
        <v>41</v>
      </c>
      <c r="J1323">
        <v>2</v>
      </c>
      <c r="K1323">
        <v>1</v>
      </c>
      <c r="L1323">
        <v>1</v>
      </c>
      <c r="M1323">
        <v>25</v>
      </c>
      <c r="N1323">
        <v>825.84</v>
      </c>
      <c r="O1323">
        <v>0</v>
      </c>
      <c r="P13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23" t="str">
        <f>IF(Table1[[#This Row],[Fraud_Score]]&gt;=6, "High Risk",IF(Table1[[#This Row],[Fraud_Score]]&gt;=3, "Medium Risk", "Low Risk"))</f>
        <v>Low Risk</v>
      </c>
      <c r="R1323">
        <f>IF(Table1[[#This Row],[Seconds of Use]]=0,0,Table1[[#This Row],[Customer Value]]/Table1[[#This Row],[Seconds of Use]]*100)</f>
        <v>12.375842949198262</v>
      </c>
    </row>
    <row r="1324" spans="1:18" x14ac:dyDescent="0.35">
      <c r="A1324" s="3" t="s">
        <v>1345</v>
      </c>
      <c r="B1324">
        <v>23</v>
      </c>
      <c r="C1324">
        <v>1</v>
      </c>
      <c r="D1324">
        <v>37</v>
      </c>
      <c r="E1324">
        <v>0</v>
      </c>
      <c r="F1324">
        <v>910</v>
      </c>
      <c r="G1324">
        <v>51</v>
      </c>
      <c r="H1324">
        <v>24</v>
      </c>
      <c r="I1324">
        <v>21</v>
      </c>
      <c r="J1324">
        <v>2</v>
      </c>
      <c r="K1324">
        <v>1</v>
      </c>
      <c r="L1324">
        <v>2</v>
      </c>
      <c r="M1324">
        <v>25</v>
      </c>
      <c r="N1324">
        <v>151.245</v>
      </c>
      <c r="O1324">
        <v>1</v>
      </c>
      <c r="P13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324" t="str">
        <f>IF(Table1[[#This Row],[Fraud_Score]]&gt;=6, "High Risk",IF(Table1[[#This Row],[Fraud_Score]]&gt;=3, "Medium Risk", "Low Risk"))</f>
        <v>Medium Risk</v>
      </c>
      <c r="R1324">
        <f>IF(Table1[[#This Row],[Seconds of Use]]=0,0,Table1[[#This Row],[Customer Value]]/Table1[[#This Row],[Seconds of Use]]*100)</f>
        <v>16.620329670329671</v>
      </c>
    </row>
    <row r="1325" spans="1:18" x14ac:dyDescent="0.35">
      <c r="A1325" s="3" t="s">
        <v>1346</v>
      </c>
      <c r="B1325">
        <v>21</v>
      </c>
      <c r="C1325">
        <v>1</v>
      </c>
      <c r="D1325">
        <v>40</v>
      </c>
      <c r="E1325">
        <v>8</v>
      </c>
      <c r="F1325">
        <v>10390</v>
      </c>
      <c r="G1325">
        <v>97</v>
      </c>
      <c r="H1325">
        <v>9</v>
      </c>
      <c r="I1325">
        <v>46</v>
      </c>
      <c r="J1325">
        <v>5</v>
      </c>
      <c r="K1325">
        <v>2</v>
      </c>
      <c r="L1325">
        <v>1</v>
      </c>
      <c r="M1325">
        <v>55</v>
      </c>
      <c r="N1325">
        <v>170.80500000000001</v>
      </c>
      <c r="O1325">
        <v>0</v>
      </c>
      <c r="P13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325" t="str">
        <f>IF(Table1[[#This Row],[Fraud_Score]]&gt;=6, "High Risk",IF(Table1[[#This Row],[Fraud_Score]]&gt;=3, "Medium Risk", "Low Risk"))</f>
        <v>Medium Risk</v>
      </c>
      <c r="R1325">
        <f>IF(Table1[[#This Row],[Seconds of Use]]=0,0,Table1[[#This Row],[Customer Value]]/Table1[[#This Row],[Seconds of Use]]*100)</f>
        <v>1.6439364773820981</v>
      </c>
    </row>
    <row r="1326" spans="1:18" x14ac:dyDescent="0.35">
      <c r="A1326" s="3" t="s">
        <v>1347</v>
      </c>
      <c r="B1326">
        <v>13</v>
      </c>
      <c r="C1326">
        <v>0</v>
      </c>
      <c r="D1326">
        <v>40</v>
      </c>
      <c r="E1326">
        <v>1</v>
      </c>
      <c r="F1326">
        <v>5773</v>
      </c>
      <c r="G1326">
        <v>102</v>
      </c>
      <c r="H1326">
        <v>34</v>
      </c>
      <c r="I1326">
        <v>28</v>
      </c>
      <c r="J1326">
        <v>2</v>
      </c>
      <c r="K1326">
        <v>1</v>
      </c>
      <c r="L1326">
        <v>1</v>
      </c>
      <c r="M1326">
        <v>25</v>
      </c>
      <c r="N1326">
        <v>417.375</v>
      </c>
      <c r="O1326">
        <v>0</v>
      </c>
      <c r="P13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326" t="str">
        <f>IF(Table1[[#This Row],[Fraud_Score]]&gt;=6, "High Risk",IF(Table1[[#This Row],[Fraud_Score]]&gt;=3, "Medium Risk", "Low Risk"))</f>
        <v>Low Risk</v>
      </c>
      <c r="R1326">
        <f>IF(Table1[[#This Row],[Seconds of Use]]=0,0,Table1[[#This Row],[Customer Value]]/Table1[[#This Row],[Seconds of Use]]*100)</f>
        <v>7.2297765459899539</v>
      </c>
    </row>
    <row r="1327" spans="1:18" x14ac:dyDescent="0.35">
      <c r="A1327" s="3" t="s">
        <v>1348</v>
      </c>
      <c r="B1327">
        <v>1</v>
      </c>
      <c r="C1327">
        <v>0</v>
      </c>
      <c r="D1327">
        <v>38</v>
      </c>
      <c r="E1327">
        <v>0</v>
      </c>
      <c r="F1327">
        <v>2795</v>
      </c>
      <c r="G1327">
        <v>26</v>
      </c>
      <c r="H1327">
        <v>8</v>
      </c>
      <c r="I1327">
        <v>18</v>
      </c>
      <c r="J1327">
        <v>3</v>
      </c>
      <c r="K1327">
        <v>1</v>
      </c>
      <c r="L1327">
        <v>1</v>
      </c>
      <c r="M1327">
        <v>30</v>
      </c>
      <c r="N1327">
        <v>144.84</v>
      </c>
      <c r="O1327">
        <v>0</v>
      </c>
      <c r="P13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27" t="str">
        <f>IF(Table1[[#This Row],[Fraud_Score]]&gt;=6, "High Risk",IF(Table1[[#This Row],[Fraud_Score]]&gt;=3, "Medium Risk", "Low Risk"))</f>
        <v>Low Risk</v>
      </c>
      <c r="R1327">
        <f>IF(Table1[[#This Row],[Seconds of Use]]=0,0,Table1[[#This Row],[Customer Value]]/Table1[[#This Row],[Seconds of Use]]*100)</f>
        <v>5.1821109123434708</v>
      </c>
    </row>
    <row r="1328" spans="1:18" x14ac:dyDescent="0.35">
      <c r="A1328" s="3" t="s">
        <v>1349</v>
      </c>
      <c r="B1328">
        <v>9</v>
      </c>
      <c r="C1328">
        <v>1</v>
      </c>
      <c r="D1328">
        <v>39</v>
      </c>
      <c r="E1328">
        <v>0</v>
      </c>
      <c r="F1328">
        <v>2945</v>
      </c>
      <c r="G1328">
        <v>45</v>
      </c>
      <c r="H1328">
        <v>17</v>
      </c>
      <c r="I1328">
        <v>20</v>
      </c>
      <c r="J1328">
        <v>3</v>
      </c>
      <c r="K1328">
        <v>1</v>
      </c>
      <c r="L1328">
        <v>2</v>
      </c>
      <c r="M1328">
        <v>30</v>
      </c>
      <c r="N1328">
        <v>187.6</v>
      </c>
      <c r="O1328">
        <v>1</v>
      </c>
      <c r="P13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28" t="str">
        <f>IF(Table1[[#This Row],[Fraud_Score]]&gt;=6, "High Risk",IF(Table1[[#This Row],[Fraud_Score]]&gt;=3, "Medium Risk", "Low Risk"))</f>
        <v>Medium Risk</v>
      </c>
      <c r="R1328">
        <f>IF(Table1[[#This Row],[Seconds of Use]]=0,0,Table1[[#This Row],[Customer Value]]/Table1[[#This Row],[Seconds of Use]]*100)</f>
        <v>6.3701188455008477</v>
      </c>
    </row>
    <row r="1329" spans="1:18" x14ac:dyDescent="0.35">
      <c r="A1329" s="3" t="s">
        <v>1350</v>
      </c>
      <c r="B1329">
        <v>9</v>
      </c>
      <c r="C1329">
        <v>0</v>
      </c>
      <c r="D1329">
        <v>40</v>
      </c>
      <c r="E1329">
        <v>0</v>
      </c>
      <c r="F1329">
        <v>2223</v>
      </c>
      <c r="G1329">
        <v>48</v>
      </c>
      <c r="H1329">
        <v>42</v>
      </c>
      <c r="I1329">
        <v>35</v>
      </c>
      <c r="J1329">
        <v>3</v>
      </c>
      <c r="K1329">
        <v>1</v>
      </c>
      <c r="L1329">
        <v>2</v>
      </c>
      <c r="M1329">
        <v>30</v>
      </c>
      <c r="N1329">
        <v>258.83999999999997</v>
      </c>
      <c r="O1329">
        <v>1</v>
      </c>
      <c r="P13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29" t="str">
        <f>IF(Table1[[#This Row],[Fraud_Score]]&gt;=6, "High Risk",IF(Table1[[#This Row],[Fraud_Score]]&gt;=3, "Medium Risk", "Low Risk"))</f>
        <v>Low Risk</v>
      </c>
      <c r="R1329">
        <f>IF(Table1[[#This Row],[Seconds of Use]]=0,0,Table1[[#This Row],[Customer Value]]/Table1[[#This Row],[Seconds of Use]]*100)</f>
        <v>11.643724696356275</v>
      </c>
    </row>
    <row r="1330" spans="1:18" x14ac:dyDescent="0.35">
      <c r="A1330" s="3" t="s">
        <v>1351</v>
      </c>
      <c r="B1330">
        <v>0</v>
      </c>
      <c r="C1330">
        <v>0</v>
      </c>
      <c r="D1330">
        <v>40</v>
      </c>
      <c r="E1330">
        <v>0</v>
      </c>
      <c r="F1330">
        <v>88</v>
      </c>
      <c r="G1330">
        <v>6</v>
      </c>
      <c r="H1330">
        <v>8</v>
      </c>
      <c r="I1330">
        <v>6</v>
      </c>
      <c r="J1330">
        <v>3</v>
      </c>
      <c r="K1330">
        <v>1</v>
      </c>
      <c r="L1330">
        <v>2</v>
      </c>
      <c r="M1330">
        <v>30</v>
      </c>
      <c r="N1330">
        <v>35.76</v>
      </c>
      <c r="O1330">
        <v>1</v>
      </c>
      <c r="P13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30" t="str">
        <f>IF(Table1[[#This Row],[Fraud_Score]]&gt;=6, "High Risk",IF(Table1[[#This Row],[Fraud_Score]]&gt;=3, "Medium Risk", "Low Risk"))</f>
        <v>Low Risk</v>
      </c>
      <c r="R1330">
        <f>IF(Table1[[#This Row],[Seconds of Use]]=0,0,Table1[[#This Row],[Customer Value]]/Table1[[#This Row],[Seconds of Use]]*100)</f>
        <v>40.636363636363633</v>
      </c>
    </row>
    <row r="1331" spans="1:18" x14ac:dyDescent="0.35">
      <c r="A1331" s="3" t="s">
        <v>1352</v>
      </c>
      <c r="B1331">
        <v>1</v>
      </c>
      <c r="C1331">
        <v>0</v>
      </c>
      <c r="D1331">
        <v>40</v>
      </c>
      <c r="E1331">
        <v>0</v>
      </c>
      <c r="F1331">
        <v>1623</v>
      </c>
      <c r="G1331">
        <v>29</v>
      </c>
      <c r="H1331">
        <v>8</v>
      </c>
      <c r="I1331">
        <v>10</v>
      </c>
      <c r="J1331">
        <v>3</v>
      </c>
      <c r="K1331">
        <v>1</v>
      </c>
      <c r="L1331">
        <v>1</v>
      </c>
      <c r="M1331">
        <v>30</v>
      </c>
      <c r="N1331">
        <v>98.08</v>
      </c>
      <c r="O1331">
        <v>0</v>
      </c>
      <c r="P13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31" t="str">
        <f>IF(Table1[[#This Row],[Fraud_Score]]&gt;=6, "High Risk",IF(Table1[[#This Row],[Fraud_Score]]&gt;=3, "Medium Risk", "Low Risk"))</f>
        <v>Low Risk</v>
      </c>
      <c r="R1331">
        <f>IF(Table1[[#This Row],[Seconds of Use]]=0,0,Table1[[#This Row],[Customer Value]]/Table1[[#This Row],[Seconds of Use]]*100)</f>
        <v>6.0431300061614293</v>
      </c>
    </row>
    <row r="1332" spans="1:18" x14ac:dyDescent="0.35">
      <c r="A1332" s="3" t="s">
        <v>1353</v>
      </c>
      <c r="B1332">
        <v>3</v>
      </c>
      <c r="C1332">
        <v>0</v>
      </c>
      <c r="D1332">
        <v>37</v>
      </c>
      <c r="E1332">
        <v>1</v>
      </c>
      <c r="F1332">
        <v>6740</v>
      </c>
      <c r="G1332">
        <v>101</v>
      </c>
      <c r="H1332">
        <v>22</v>
      </c>
      <c r="I1332">
        <v>26</v>
      </c>
      <c r="J1332">
        <v>5</v>
      </c>
      <c r="K1332">
        <v>1</v>
      </c>
      <c r="L1332">
        <v>1</v>
      </c>
      <c r="M1332">
        <v>55</v>
      </c>
      <c r="N1332">
        <v>135.61500000000001</v>
      </c>
      <c r="O1332">
        <v>0</v>
      </c>
      <c r="P13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32" t="str">
        <f>IF(Table1[[#This Row],[Fraud_Score]]&gt;=6, "High Risk",IF(Table1[[#This Row],[Fraud_Score]]&gt;=3, "Medium Risk", "Low Risk"))</f>
        <v>Low Risk</v>
      </c>
      <c r="R1332">
        <f>IF(Table1[[#This Row],[Seconds of Use]]=0,0,Table1[[#This Row],[Customer Value]]/Table1[[#This Row],[Seconds of Use]]*100)</f>
        <v>2.0120919881305639</v>
      </c>
    </row>
    <row r="1333" spans="1:18" x14ac:dyDescent="0.35">
      <c r="A1333" s="3" t="s">
        <v>1354</v>
      </c>
      <c r="B1333">
        <v>0</v>
      </c>
      <c r="C1333">
        <v>1</v>
      </c>
      <c r="D1333">
        <v>40</v>
      </c>
      <c r="E1333">
        <v>0</v>
      </c>
      <c r="F1333">
        <v>583</v>
      </c>
      <c r="G1333">
        <v>11</v>
      </c>
      <c r="H1333">
        <v>17</v>
      </c>
      <c r="I1333">
        <v>8</v>
      </c>
      <c r="J1333">
        <v>4</v>
      </c>
      <c r="K1333">
        <v>1</v>
      </c>
      <c r="L1333">
        <v>2</v>
      </c>
      <c r="M1333">
        <v>45</v>
      </c>
      <c r="N1333">
        <v>57.35</v>
      </c>
      <c r="O1333">
        <v>1</v>
      </c>
      <c r="P13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33" t="str">
        <f>IF(Table1[[#This Row],[Fraud_Score]]&gt;=6, "High Risk",IF(Table1[[#This Row],[Fraud_Score]]&gt;=3, "Medium Risk", "Low Risk"))</f>
        <v>Medium Risk</v>
      </c>
      <c r="R1333">
        <f>IF(Table1[[#This Row],[Seconds of Use]]=0,0,Table1[[#This Row],[Customer Value]]/Table1[[#This Row],[Seconds of Use]]*100)</f>
        <v>9.8370497427101196</v>
      </c>
    </row>
    <row r="1334" spans="1:18" x14ac:dyDescent="0.35">
      <c r="A1334" s="3" t="s">
        <v>1355</v>
      </c>
      <c r="B1334">
        <v>0</v>
      </c>
      <c r="C1334">
        <v>0</v>
      </c>
      <c r="D1334">
        <v>40</v>
      </c>
      <c r="E1334">
        <v>1</v>
      </c>
      <c r="F1334">
        <v>293</v>
      </c>
      <c r="G1334">
        <v>8</v>
      </c>
      <c r="H1334">
        <v>12</v>
      </c>
      <c r="I1334">
        <v>6</v>
      </c>
      <c r="J1334">
        <v>5</v>
      </c>
      <c r="K1334">
        <v>1</v>
      </c>
      <c r="L1334">
        <v>1</v>
      </c>
      <c r="M1334">
        <v>55</v>
      </c>
      <c r="N1334">
        <v>22.515000000000001</v>
      </c>
      <c r="O1334">
        <v>0</v>
      </c>
      <c r="P13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34" t="str">
        <f>IF(Table1[[#This Row],[Fraud_Score]]&gt;=6, "High Risk",IF(Table1[[#This Row],[Fraud_Score]]&gt;=3, "Medium Risk", "Low Risk"))</f>
        <v>Low Risk</v>
      </c>
      <c r="R1334">
        <f>IF(Table1[[#This Row],[Seconds of Use]]=0,0,Table1[[#This Row],[Customer Value]]/Table1[[#This Row],[Seconds of Use]]*100)</f>
        <v>7.6843003412969288</v>
      </c>
    </row>
    <row r="1335" spans="1:18" x14ac:dyDescent="0.35">
      <c r="A1335" s="3" t="s">
        <v>1356</v>
      </c>
      <c r="B1335">
        <v>25</v>
      </c>
      <c r="C1335">
        <v>0</v>
      </c>
      <c r="D1335">
        <v>35</v>
      </c>
      <c r="E1335">
        <v>3</v>
      </c>
      <c r="F1335">
        <v>16030</v>
      </c>
      <c r="G1335">
        <v>242</v>
      </c>
      <c r="H1335">
        <v>8</v>
      </c>
      <c r="I1335">
        <v>84</v>
      </c>
      <c r="J1335">
        <v>2</v>
      </c>
      <c r="K1335">
        <v>1</v>
      </c>
      <c r="L1335">
        <v>1</v>
      </c>
      <c r="M1335">
        <v>25</v>
      </c>
      <c r="N1335">
        <v>768.24</v>
      </c>
      <c r="O1335">
        <v>0</v>
      </c>
      <c r="P13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335" t="str">
        <f>IF(Table1[[#This Row],[Fraud_Score]]&gt;=6, "High Risk",IF(Table1[[#This Row],[Fraud_Score]]&gt;=3, "Medium Risk", "Low Risk"))</f>
        <v>Medium Risk</v>
      </c>
      <c r="R1335">
        <f>IF(Table1[[#This Row],[Seconds of Use]]=0,0,Table1[[#This Row],[Customer Value]]/Table1[[#This Row],[Seconds of Use]]*100)</f>
        <v>4.7925140361821583</v>
      </c>
    </row>
    <row r="1336" spans="1:18" x14ac:dyDescent="0.35">
      <c r="A1336" s="3" t="s">
        <v>1357</v>
      </c>
      <c r="B1336">
        <v>6</v>
      </c>
      <c r="C1336">
        <v>0</v>
      </c>
      <c r="D1336">
        <v>38</v>
      </c>
      <c r="E1336">
        <v>3</v>
      </c>
      <c r="F1336">
        <v>6920</v>
      </c>
      <c r="G1336">
        <v>120</v>
      </c>
      <c r="H1336">
        <v>279</v>
      </c>
      <c r="I1336">
        <v>37</v>
      </c>
      <c r="J1336">
        <v>2</v>
      </c>
      <c r="K1336">
        <v>2</v>
      </c>
      <c r="L1336">
        <v>1</v>
      </c>
      <c r="M1336">
        <v>25</v>
      </c>
      <c r="N1336">
        <v>1572.3</v>
      </c>
      <c r="O1336">
        <v>0</v>
      </c>
      <c r="P13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36" t="str">
        <f>IF(Table1[[#This Row],[Fraud_Score]]&gt;=6, "High Risk",IF(Table1[[#This Row],[Fraud_Score]]&gt;=3, "Medium Risk", "Low Risk"))</f>
        <v>Low Risk</v>
      </c>
      <c r="R1336">
        <f>IF(Table1[[#This Row],[Seconds of Use]]=0,0,Table1[[#This Row],[Customer Value]]/Table1[[#This Row],[Seconds of Use]]*100)</f>
        <v>22.721098265895954</v>
      </c>
    </row>
    <row r="1337" spans="1:18" x14ac:dyDescent="0.35">
      <c r="A1337" s="3" t="s">
        <v>1358</v>
      </c>
      <c r="B1337">
        <v>2</v>
      </c>
      <c r="C1337">
        <v>0</v>
      </c>
      <c r="D1337">
        <v>40</v>
      </c>
      <c r="E1337">
        <v>0</v>
      </c>
      <c r="F1337">
        <v>3673</v>
      </c>
      <c r="G1337">
        <v>86</v>
      </c>
      <c r="H1337">
        <v>10</v>
      </c>
      <c r="I1337">
        <v>32</v>
      </c>
      <c r="J1337">
        <v>2</v>
      </c>
      <c r="K1337">
        <v>1</v>
      </c>
      <c r="L1337">
        <v>1</v>
      </c>
      <c r="M1337">
        <v>25</v>
      </c>
      <c r="N1337">
        <v>214.155</v>
      </c>
      <c r="O1337">
        <v>0</v>
      </c>
      <c r="P13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37" t="str">
        <f>IF(Table1[[#This Row],[Fraud_Score]]&gt;=6, "High Risk",IF(Table1[[#This Row],[Fraud_Score]]&gt;=3, "Medium Risk", "Low Risk"))</f>
        <v>Low Risk</v>
      </c>
      <c r="R1337">
        <f>IF(Table1[[#This Row],[Seconds of Use]]=0,0,Table1[[#This Row],[Customer Value]]/Table1[[#This Row],[Seconds of Use]]*100)</f>
        <v>5.8305200108902806</v>
      </c>
    </row>
    <row r="1338" spans="1:18" x14ac:dyDescent="0.35">
      <c r="A1338" s="3" t="s">
        <v>1359</v>
      </c>
      <c r="B1338">
        <v>3</v>
      </c>
      <c r="C1338">
        <v>0</v>
      </c>
      <c r="D1338">
        <v>39</v>
      </c>
      <c r="E1338">
        <v>0</v>
      </c>
      <c r="F1338">
        <v>1620</v>
      </c>
      <c r="G1338">
        <v>48</v>
      </c>
      <c r="H1338">
        <v>46</v>
      </c>
      <c r="I1338">
        <v>24</v>
      </c>
      <c r="J1338">
        <v>3</v>
      </c>
      <c r="K1338">
        <v>1</v>
      </c>
      <c r="L1338">
        <v>2</v>
      </c>
      <c r="M1338">
        <v>30</v>
      </c>
      <c r="N1338">
        <v>250.72</v>
      </c>
      <c r="O1338">
        <v>0</v>
      </c>
      <c r="P13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38" t="str">
        <f>IF(Table1[[#This Row],[Fraud_Score]]&gt;=6, "High Risk",IF(Table1[[#This Row],[Fraud_Score]]&gt;=3, "Medium Risk", "Low Risk"))</f>
        <v>Low Risk</v>
      </c>
      <c r="R1338">
        <f>IF(Table1[[#This Row],[Seconds of Use]]=0,0,Table1[[#This Row],[Customer Value]]/Table1[[#This Row],[Seconds of Use]]*100)</f>
        <v>15.476543209876542</v>
      </c>
    </row>
    <row r="1339" spans="1:18" x14ac:dyDescent="0.35">
      <c r="A1339" s="3" t="s">
        <v>1360</v>
      </c>
      <c r="B1339">
        <v>6</v>
      </c>
      <c r="C1339">
        <v>0</v>
      </c>
      <c r="D1339">
        <v>40</v>
      </c>
      <c r="E1339">
        <v>0</v>
      </c>
      <c r="F1339">
        <v>2735</v>
      </c>
      <c r="G1339">
        <v>57</v>
      </c>
      <c r="H1339">
        <v>183</v>
      </c>
      <c r="I1339">
        <v>27</v>
      </c>
      <c r="J1339">
        <v>2</v>
      </c>
      <c r="K1339">
        <v>1</v>
      </c>
      <c r="L1339">
        <v>1</v>
      </c>
      <c r="M1339">
        <v>25</v>
      </c>
      <c r="N1339">
        <v>949.14</v>
      </c>
      <c r="O1339">
        <v>0</v>
      </c>
      <c r="P13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39" t="str">
        <f>IF(Table1[[#This Row],[Fraud_Score]]&gt;=6, "High Risk",IF(Table1[[#This Row],[Fraud_Score]]&gt;=3, "Medium Risk", "Low Risk"))</f>
        <v>Low Risk</v>
      </c>
      <c r="R1339">
        <f>IF(Table1[[#This Row],[Seconds of Use]]=0,0,Table1[[#This Row],[Customer Value]]/Table1[[#This Row],[Seconds of Use]]*100)</f>
        <v>34.703473491773309</v>
      </c>
    </row>
    <row r="1340" spans="1:18" x14ac:dyDescent="0.35">
      <c r="A1340" s="3" t="s">
        <v>1361</v>
      </c>
      <c r="B1340">
        <v>4</v>
      </c>
      <c r="C1340">
        <v>0</v>
      </c>
      <c r="D1340">
        <v>31</v>
      </c>
      <c r="E1340">
        <v>1</v>
      </c>
      <c r="F1340">
        <v>1270</v>
      </c>
      <c r="G1340">
        <v>40</v>
      </c>
      <c r="H1340">
        <v>201</v>
      </c>
      <c r="I1340">
        <v>15</v>
      </c>
      <c r="J1340">
        <v>2</v>
      </c>
      <c r="K1340">
        <v>2</v>
      </c>
      <c r="L1340">
        <v>1</v>
      </c>
      <c r="M1340">
        <v>25</v>
      </c>
      <c r="N1340">
        <v>963.45</v>
      </c>
      <c r="O1340">
        <v>0</v>
      </c>
      <c r="P13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40" t="str">
        <f>IF(Table1[[#This Row],[Fraud_Score]]&gt;=6, "High Risk",IF(Table1[[#This Row],[Fraud_Score]]&gt;=3, "Medium Risk", "Low Risk"))</f>
        <v>Low Risk</v>
      </c>
      <c r="R1340">
        <f>IF(Table1[[#This Row],[Seconds of Use]]=0,0,Table1[[#This Row],[Customer Value]]/Table1[[#This Row],[Seconds of Use]]*100)</f>
        <v>75.862204724409452</v>
      </c>
    </row>
    <row r="1341" spans="1:18" x14ac:dyDescent="0.35">
      <c r="A1341" s="3" t="s">
        <v>1362</v>
      </c>
      <c r="B1341">
        <v>4</v>
      </c>
      <c r="C1341">
        <v>0</v>
      </c>
      <c r="D1341">
        <v>30</v>
      </c>
      <c r="E1341">
        <v>0</v>
      </c>
      <c r="F1341">
        <v>1523</v>
      </c>
      <c r="G1341">
        <v>43</v>
      </c>
      <c r="H1341">
        <v>38</v>
      </c>
      <c r="I1341">
        <v>72</v>
      </c>
      <c r="J1341">
        <v>4</v>
      </c>
      <c r="K1341">
        <v>1</v>
      </c>
      <c r="L1341">
        <v>1</v>
      </c>
      <c r="M1341">
        <v>45</v>
      </c>
      <c r="N1341">
        <v>134.15</v>
      </c>
      <c r="O1341">
        <v>0</v>
      </c>
      <c r="P13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341" t="str">
        <f>IF(Table1[[#This Row],[Fraud_Score]]&gt;=6, "High Risk",IF(Table1[[#This Row],[Fraud_Score]]&gt;=3, "Medium Risk", "Low Risk"))</f>
        <v>Low Risk</v>
      </c>
      <c r="R1341">
        <f>IF(Table1[[#This Row],[Seconds of Use]]=0,0,Table1[[#This Row],[Customer Value]]/Table1[[#This Row],[Seconds of Use]]*100)</f>
        <v>8.8082731451083394</v>
      </c>
    </row>
    <row r="1342" spans="1:18" x14ac:dyDescent="0.35">
      <c r="A1342" s="3" t="s">
        <v>1363</v>
      </c>
      <c r="B1342">
        <v>11</v>
      </c>
      <c r="C1342">
        <v>0</v>
      </c>
      <c r="D1342">
        <v>31</v>
      </c>
      <c r="E1342">
        <v>0</v>
      </c>
      <c r="F1342">
        <v>655</v>
      </c>
      <c r="G1342">
        <v>29</v>
      </c>
      <c r="H1342">
        <v>18</v>
      </c>
      <c r="I1342">
        <v>11</v>
      </c>
      <c r="J1342">
        <v>2</v>
      </c>
      <c r="K1342">
        <v>1</v>
      </c>
      <c r="L1342">
        <v>2</v>
      </c>
      <c r="M1342">
        <v>25</v>
      </c>
      <c r="N1342">
        <v>111.78</v>
      </c>
      <c r="O1342">
        <v>0</v>
      </c>
      <c r="P13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42" t="str">
        <f>IF(Table1[[#This Row],[Fraud_Score]]&gt;=6, "High Risk",IF(Table1[[#This Row],[Fraud_Score]]&gt;=3, "Medium Risk", "Low Risk"))</f>
        <v>Medium Risk</v>
      </c>
      <c r="R1342">
        <f>IF(Table1[[#This Row],[Seconds of Use]]=0,0,Table1[[#This Row],[Customer Value]]/Table1[[#This Row],[Seconds of Use]]*100)</f>
        <v>17.065648854961832</v>
      </c>
    </row>
    <row r="1343" spans="1:18" x14ac:dyDescent="0.35">
      <c r="A1343" s="3" t="s">
        <v>1364</v>
      </c>
      <c r="B1343">
        <v>0</v>
      </c>
      <c r="C1343">
        <v>0</v>
      </c>
      <c r="D1343">
        <v>30</v>
      </c>
      <c r="E1343">
        <v>0</v>
      </c>
      <c r="F1343">
        <v>780</v>
      </c>
      <c r="G1343">
        <v>14</v>
      </c>
      <c r="H1343">
        <v>29</v>
      </c>
      <c r="I1343">
        <v>7</v>
      </c>
      <c r="J1343">
        <v>4</v>
      </c>
      <c r="K1343">
        <v>1</v>
      </c>
      <c r="L1343">
        <v>2</v>
      </c>
      <c r="M1343">
        <v>45</v>
      </c>
      <c r="N1343">
        <v>92.35</v>
      </c>
      <c r="O1343">
        <v>0</v>
      </c>
      <c r="P13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43" t="str">
        <f>IF(Table1[[#This Row],[Fraud_Score]]&gt;=6, "High Risk",IF(Table1[[#This Row],[Fraud_Score]]&gt;=3, "Medium Risk", "Low Risk"))</f>
        <v>Low Risk</v>
      </c>
      <c r="R1343">
        <f>IF(Table1[[#This Row],[Seconds of Use]]=0,0,Table1[[#This Row],[Customer Value]]/Table1[[#This Row],[Seconds of Use]]*100)</f>
        <v>11.839743589743588</v>
      </c>
    </row>
    <row r="1344" spans="1:18" x14ac:dyDescent="0.35">
      <c r="A1344" s="3" t="s">
        <v>1365</v>
      </c>
      <c r="B1344">
        <v>10</v>
      </c>
      <c r="C1344">
        <v>0</v>
      </c>
      <c r="D1344">
        <v>29</v>
      </c>
      <c r="E1344">
        <v>0</v>
      </c>
      <c r="F1344">
        <v>1180</v>
      </c>
      <c r="G1344">
        <v>36</v>
      </c>
      <c r="H1344">
        <v>27</v>
      </c>
      <c r="I1344">
        <v>17</v>
      </c>
      <c r="J1344">
        <v>2</v>
      </c>
      <c r="K1344">
        <v>1</v>
      </c>
      <c r="L1344">
        <v>1</v>
      </c>
      <c r="M1344">
        <v>25</v>
      </c>
      <c r="N1344">
        <v>176.22</v>
      </c>
      <c r="O1344">
        <v>0</v>
      </c>
      <c r="P13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44" t="str">
        <f>IF(Table1[[#This Row],[Fraud_Score]]&gt;=6, "High Risk",IF(Table1[[#This Row],[Fraud_Score]]&gt;=3, "Medium Risk", "Low Risk"))</f>
        <v>Low Risk</v>
      </c>
      <c r="R1344">
        <f>IF(Table1[[#This Row],[Seconds of Use]]=0,0,Table1[[#This Row],[Customer Value]]/Table1[[#This Row],[Seconds of Use]]*100)</f>
        <v>14.933898305084744</v>
      </c>
    </row>
    <row r="1345" spans="1:18" x14ac:dyDescent="0.35">
      <c r="A1345" s="3" t="s">
        <v>1366</v>
      </c>
      <c r="B1345">
        <v>2</v>
      </c>
      <c r="C1345">
        <v>0</v>
      </c>
      <c r="D1345">
        <v>29</v>
      </c>
      <c r="E1345">
        <v>0</v>
      </c>
      <c r="F1345">
        <v>3180</v>
      </c>
      <c r="G1345">
        <v>65</v>
      </c>
      <c r="H1345">
        <v>16</v>
      </c>
      <c r="I1345">
        <v>27</v>
      </c>
      <c r="J1345">
        <v>3</v>
      </c>
      <c r="K1345">
        <v>1</v>
      </c>
      <c r="L1345">
        <v>1</v>
      </c>
      <c r="M1345">
        <v>30</v>
      </c>
      <c r="N1345">
        <v>193.8</v>
      </c>
      <c r="O1345">
        <v>0</v>
      </c>
      <c r="P13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45" t="str">
        <f>IF(Table1[[#This Row],[Fraud_Score]]&gt;=6, "High Risk",IF(Table1[[#This Row],[Fraud_Score]]&gt;=3, "Medium Risk", "Low Risk"))</f>
        <v>Low Risk</v>
      </c>
      <c r="R1345">
        <f>IF(Table1[[#This Row],[Seconds of Use]]=0,0,Table1[[#This Row],[Customer Value]]/Table1[[#This Row],[Seconds of Use]]*100)</f>
        <v>6.0943396226415096</v>
      </c>
    </row>
    <row r="1346" spans="1:18" x14ac:dyDescent="0.35">
      <c r="A1346" s="3" t="s">
        <v>1367</v>
      </c>
      <c r="B1346">
        <v>2</v>
      </c>
      <c r="C1346">
        <v>0</v>
      </c>
      <c r="D1346">
        <v>22</v>
      </c>
      <c r="E1346">
        <v>0</v>
      </c>
      <c r="F1346">
        <v>1650</v>
      </c>
      <c r="G1346">
        <v>30</v>
      </c>
      <c r="H1346">
        <v>36</v>
      </c>
      <c r="I1346">
        <v>18</v>
      </c>
      <c r="J1346">
        <v>2</v>
      </c>
      <c r="K1346">
        <v>1</v>
      </c>
      <c r="L1346">
        <v>1</v>
      </c>
      <c r="M1346">
        <v>25</v>
      </c>
      <c r="N1346">
        <v>237.6</v>
      </c>
      <c r="O1346">
        <v>0</v>
      </c>
      <c r="P13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46" t="str">
        <f>IF(Table1[[#This Row],[Fraud_Score]]&gt;=6, "High Risk",IF(Table1[[#This Row],[Fraud_Score]]&gt;=3, "Medium Risk", "Low Risk"))</f>
        <v>Low Risk</v>
      </c>
      <c r="R1346">
        <f>IF(Table1[[#This Row],[Seconds of Use]]=0,0,Table1[[#This Row],[Customer Value]]/Table1[[#This Row],[Seconds of Use]]*100)</f>
        <v>14.399999999999999</v>
      </c>
    </row>
    <row r="1347" spans="1:18" x14ac:dyDescent="0.35">
      <c r="A1347" s="3" t="s">
        <v>1368</v>
      </c>
      <c r="B1347">
        <v>16</v>
      </c>
      <c r="C1347">
        <v>0</v>
      </c>
      <c r="D1347">
        <v>21</v>
      </c>
      <c r="E1347">
        <v>1</v>
      </c>
      <c r="F1347">
        <v>6348</v>
      </c>
      <c r="G1347">
        <v>145</v>
      </c>
      <c r="H1347">
        <v>93</v>
      </c>
      <c r="I1347">
        <v>46</v>
      </c>
      <c r="J1347">
        <v>2</v>
      </c>
      <c r="K1347">
        <v>2</v>
      </c>
      <c r="L1347">
        <v>1</v>
      </c>
      <c r="M1347">
        <v>25</v>
      </c>
      <c r="N1347">
        <v>710.68499999999995</v>
      </c>
      <c r="O1347">
        <v>0</v>
      </c>
      <c r="P13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347" t="str">
        <f>IF(Table1[[#This Row],[Fraud_Score]]&gt;=6, "High Risk",IF(Table1[[#This Row],[Fraud_Score]]&gt;=3, "Medium Risk", "Low Risk"))</f>
        <v>Medium Risk</v>
      </c>
      <c r="R1347">
        <f>IF(Table1[[#This Row],[Seconds of Use]]=0,0,Table1[[#This Row],[Customer Value]]/Table1[[#This Row],[Seconds of Use]]*100)</f>
        <v>11.195415879017013</v>
      </c>
    </row>
    <row r="1348" spans="1:18" x14ac:dyDescent="0.35">
      <c r="A1348" s="3" t="s">
        <v>1369</v>
      </c>
      <c r="B1348">
        <v>12</v>
      </c>
      <c r="C1348">
        <v>0</v>
      </c>
      <c r="D1348">
        <v>19</v>
      </c>
      <c r="E1348">
        <v>0</v>
      </c>
      <c r="F1348">
        <v>8888</v>
      </c>
      <c r="G1348">
        <v>175</v>
      </c>
      <c r="H1348">
        <v>81</v>
      </c>
      <c r="I1348">
        <v>44</v>
      </c>
      <c r="J1348">
        <v>4</v>
      </c>
      <c r="K1348">
        <v>1</v>
      </c>
      <c r="L1348">
        <v>1</v>
      </c>
      <c r="M1348">
        <v>45</v>
      </c>
      <c r="N1348">
        <v>429.07499999999999</v>
      </c>
      <c r="O1348">
        <v>0</v>
      </c>
      <c r="P13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348" t="str">
        <f>IF(Table1[[#This Row],[Fraud_Score]]&gt;=6, "High Risk",IF(Table1[[#This Row],[Fraud_Score]]&gt;=3, "Medium Risk", "Low Risk"))</f>
        <v>Medium Risk</v>
      </c>
      <c r="R1348">
        <f>IF(Table1[[#This Row],[Seconds of Use]]=0,0,Table1[[#This Row],[Customer Value]]/Table1[[#This Row],[Seconds of Use]]*100)</f>
        <v>4.8275765076507655</v>
      </c>
    </row>
    <row r="1349" spans="1:18" x14ac:dyDescent="0.35">
      <c r="A1349" s="3" t="s">
        <v>1370</v>
      </c>
      <c r="B1349">
        <v>8</v>
      </c>
      <c r="C1349">
        <v>0</v>
      </c>
      <c r="D1349">
        <v>20</v>
      </c>
      <c r="E1349">
        <v>3</v>
      </c>
      <c r="F1349">
        <v>2808</v>
      </c>
      <c r="G1349">
        <v>49</v>
      </c>
      <c r="H1349">
        <v>39</v>
      </c>
      <c r="I1349">
        <v>23</v>
      </c>
      <c r="J1349">
        <v>3</v>
      </c>
      <c r="K1349">
        <v>1</v>
      </c>
      <c r="L1349">
        <v>1</v>
      </c>
      <c r="M1349">
        <v>30</v>
      </c>
      <c r="N1349">
        <v>270.27999999999997</v>
      </c>
      <c r="O1349">
        <v>0</v>
      </c>
      <c r="P13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49" t="str">
        <f>IF(Table1[[#This Row],[Fraud_Score]]&gt;=6, "High Risk",IF(Table1[[#This Row],[Fraud_Score]]&gt;=3, "Medium Risk", "Low Risk"))</f>
        <v>Low Risk</v>
      </c>
      <c r="R1349">
        <f>IF(Table1[[#This Row],[Seconds of Use]]=0,0,Table1[[#This Row],[Customer Value]]/Table1[[#This Row],[Seconds of Use]]*100)</f>
        <v>9.6253561253561237</v>
      </c>
    </row>
    <row r="1350" spans="1:18" x14ac:dyDescent="0.35">
      <c r="A1350" s="3" t="s">
        <v>1371</v>
      </c>
      <c r="B1350">
        <v>2</v>
      </c>
      <c r="C1350">
        <v>0</v>
      </c>
      <c r="D1350">
        <v>13</v>
      </c>
      <c r="E1350">
        <v>1</v>
      </c>
      <c r="F1350">
        <v>4345</v>
      </c>
      <c r="G1350">
        <v>44</v>
      </c>
      <c r="H1350">
        <v>223</v>
      </c>
      <c r="I1350">
        <v>14</v>
      </c>
      <c r="J1350">
        <v>3</v>
      </c>
      <c r="K1350">
        <v>1</v>
      </c>
      <c r="L1350">
        <v>1</v>
      </c>
      <c r="M1350">
        <v>30</v>
      </c>
      <c r="N1350">
        <v>1067.56</v>
      </c>
      <c r="O1350">
        <v>0</v>
      </c>
      <c r="P13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50" t="str">
        <f>IF(Table1[[#This Row],[Fraud_Score]]&gt;=6, "High Risk",IF(Table1[[#This Row],[Fraud_Score]]&gt;=3, "Medium Risk", "Low Risk"))</f>
        <v>Low Risk</v>
      </c>
      <c r="R1350">
        <f>IF(Table1[[#This Row],[Seconds of Use]]=0,0,Table1[[#This Row],[Customer Value]]/Table1[[#This Row],[Seconds of Use]]*100)</f>
        <v>24.569850402761794</v>
      </c>
    </row>
    <row r="1351" spans="1:18" x14ac:dyDescent="0.35">
      <c r="A1351" s="3" t="s">
        <v>1372</v>
      </c>
      <c r="B1351">
        <v>3</v>
      </c>
      <c r="C1351">
        <v>0</v>
      </c>
      <c r="D1351">
        <v>13</v>
      </c>
      <c r="E1351">
        <v>1</v>
      </c>
      <c r="F1351">
        <v>1443</v>
      </c>
      <c r="G1351">
        <v>23</v>
      </c>
      <c r="H1351">
        <v>8</v>
      </c>
      <c r="I1351">
        <v>11</v>
      </c>
      <c r="J1351">
        <v>3</v>
      </c>
      <c r="K1351">
        <v>1</v>
      </c>
      <c r="L1351">
        <v>1</v>
      </c>
      <c r="M1351">
        <v>30</v>
      </c>
      <c r="N1351">
        <v>90.64</v>
      </c>
      <c r="O1351">
        <v>1</v>
      </c>
      <c r="P13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51" t="str">
        <f>IF(Table1[[#This Row],[Fraud_Score]]&gt;=6, "High Risk",IF(Table1[[#This Row],[Fraud_Score]]&gt;=3, "Medium Risk", "Low Risk"))</f>
        <v>Low Risk</v>
      </c>
      <c r="R1351">
        <f>IF(Table1[[#This Row],[Seconds of Use]]=0,0,Table1[[#This Row],[Customer Value]]/Table1[[#This Row],[Seconds of Use]]*100)</f>
        <v>6.2813582813582816</v>
      </c>
    </row>
    <row r="1352" spans="1:18" x14ac:dyDescent="0.35">
      <c r="A1352" s="3" t="s">
        <v>1373</v>
      </c>
      <c r="B1352">
        <v>0</v>
      </c>
      <c r="C1352">
        <v>0</v>
      </c>
      <c r="D1352">
        <v>30</v>
      </c>
      <c r="E1352">
        <v>0</v>
      </c>
      <c r="F1352">
        <v>3805</v>
      </c>
      <c r="G1352">
        <v>55</v>
      </c>
      <c r="H1352">
        <v>0</v>
      </c>
      <c r="I1352">
        <v>9</v>
      </c>
      <c r="J1352">
        <v>2</v>
      </c>
      <c r="K1352">
        <v>1</v>
      </c>
      <c r="L1352">
        <v>1</v>
      </c>
      <c r="M1352">
        <v>25</v>
      </c>
      <c r="N1352">
        <v>173.7</v>
      </c>
      <c r="O1352">
        <v>0</v>
      </c>
      <c r="P13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2" t="str">
        <f>IF(Table1[[#This Row],[Fraud_Score]]&gt;=6, "High Risk",IF(Table1[[#This Row],[Fraud_Score]]&gt;=3, "Medium Risk", "Low Risk"))</f>
        <v>Low Risk</v>
      </c>
      <c r="R1352">
        <f>IF(Table1[[#This Row],[Seconds of Use]]=0,0,Table1[[#This Row],[Customer Value]]/Table1[[#This Row],[Seconds of Use]]*100)</f>
        <v>4.5650459921156372</v>
      </c>
    </row>
    <row r="1353" spans="1:18" x14ac:dyDescent="0.35">
      <c r="A1353" s="3" t="s">
        <v>1374</v>
      </c>
      <c r="B1353">
        <v>0</v>
      </c>
      <c r="C1353">
        <v>0</v>
      </c>
      <c r="D1353">
        <v>31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</v>
      </c>
      <c r="K1353">
        <v>1</v>
      </c>
      <c r="L1353">
        <v>2</v>
      </c>
      <c r="M1353">
        <v>25</v>
      </c>
      <c r="N1353">
        <v>0</v>
      </c>
      <c r="O1353">
        <v>0</v>
      </c>
      <c r="P13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3" t="str">
        <f>IF(Table1[[#This Row],[Fraud_Score]]&gt;=6, "High Risk",IF(Table1[[#This Row],[Fraud_Score]]&gt;=3, "Medium Risk", "Low Risk"))</f>
        <v>Low Risk</v>
      </c>
      <c r="R1353">
        <f>IF(Table1[[#This Row],[Seconds of Use]]=0,0,Table1[[#This Row],[Customer Value]]/Table1[[#This Row],[Seconds of Use]]*100)</f>
        <v>0</v>
      </c>
    </row>
    <row r="1354" spans="1:18" x14ac:dyDescent="0.35">
      <c r="A1354" s="3" t="s">
        <v>1375</v>
      </c>
      <c r="B1354">
        <v>0</v>
      </c>
      <c r="C1354">
        <v>0</v>
      </c>
      <c r="D1354">
        <v>29</v>
      </c>
      <c r="E1354">
        <v>0</v>
      </c>
      <c r="F1354">
        <v>1888</v>
      </c>
      <c r="G1354">
        <v>44</v>
      </c>
      <c r="H1354">
        <v>337</v>
      </c>
      <c r="I1354">
        <v>16</v>
      </c>
      <c r="J1354">
        <v>2</v>
      </c>
      <c r="K1354">
        <v>1</v>
      </c>
      <c r="L1354">
        <v>1</v>
      </c>
      <c r="M1354">
        <v>25</v>
      </c>
      <c r="N1354">
        <v>1603.44</v>
      </c>
      <c r="O1354">
        <v>0</v>
      </c>
      <c r="P13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4" t="str">
        <f>IF(Table1[[#This Row],[Fraud_Score]]&gt;=6, "High Risk",IF(Table1[[#This Row],[Fraud_Score]]&gt;=3, "Medium Risk", "Low Risk"))</f>
        <v>Low Risk</v>
      </c>
      <c r="R1354">
        <f>IF(Table1[[#This Row],[Seconds of Use]]=0,0,Table1[[#This Row],[Customer Value]]/Table1[[#This Row],[Seconds of Use]]*100)</f>
        <v>84.927966101694921</v>
      </c>
    </row>
    <row r="1355" spans="1:18" x14ac:dyDescent="0.35">
      <c r="A1355" s="3" t="s">
        <v>1376</v>
      </c>
      <c r="B1355">
        <v>0</v>
      </c>
      <c r="C1355">
        <v>0</v>
      </c>
      <c r="D1355">
        <v>30</v>
      </c>
      <c r="E1355">
        <v>0</v>
      </c>
      <c r="F1355">
        <v>3633</v>
      </c>
      <c r="G1355">
        <v>50</v>
      </c>
      <c r="H1355">
        <v>0</v>
      </c>
      <c r="I1355">
        <v>27</v>
      </c>
      <c r="J1355">
        <v>1</v>
      </c>
      <c r="K1355">
        <v>1</v>
      </c>
      <c r="L1355">
        <v>1</v>
      </c>
      <c r="M1355">
        <v>15</v>
      </c>
      <c r="N1355">
        <v>202.565</v>
      </c>
      <c r="O1355">
        <v>0</v>
      </c>
      <c r="P13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5" t="str">
        <f>IF(Table1[[#This Row],[Fraud_Score]]&gt;=6, "High Risk",IF(Table1[[#This Row],[Fraud_Score]]&gt;=3, "Medium Risk", "Low Risk"))</f>
        <v>Low Risk</v>
      </c>
      <c r="R1355">
        <f>IF(Table1[[#This Row],[Seconds of Use]]=0,0,Table1[[#This Row],[Customer Value]]/Table1[[#This Row],[Seconds of Use]]*100)</f>
        <v>5.5756950178915492</v>
      </c>
    </row>
    <row r="1356" spans="1:18" x14ac:dyDescent="0.35">
      <c r="A1356" s="3" t="s">
        <v>1377</v>
      </c>
      <c r="B1356">
        <v>0</v>
      </c>
      <c r="C1356">
        <v>0</v>
      </c>
      <c r="D1356">
        <v>30</v>
      </c>
      <c r="E1356">
        <v>0</v>
      </c>
      <c r="F1356">
        <v>1828</v>
      </c>
      <c r="G1356">
        <v>42</v>
      </c>
      <c r="H1356">
        <v>0</v>
      </c>
      <c r="I1356">
        <v>25</v>
      </c>
      <c r="J1356">
        <v>1</v>
      </c>
      <c r="K1356">
        <v>1</v>
      </c>
      <c r="L1356">
        <v>1</v>
      </c>
      <c r="M1356">
        <v>15</v>
      </c>
      <c r="N1356">
        <v>102.85</v>
      </c>
      <c r="O1356">
        <v>0</v>
      </c>
      <c r="P13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6" t="str">
        <f>IF(Table1[[#This Row],[Fraud_Score]]&gt;=6, "High Risk",IF(Table1[[#This Row],[Fraud_Score]]&gt;=3, "Medium Risk", "Low Risk"))</f>
        <v>Low Risk</v>
      </c>
      <c r="R1356">
        <f>IF(Table1[[#This Row],[Seconds of Use]]=0,0,Table1[[#This Row],[Customer Value]]/Table1[[#This Row],[Seconds of Use]]*100)</f>
        <v>5.6263676148796495</v>
      </c>
    </row>
    <row r="1357" spans="1:18" x14ac:dyDescent="0.35">
      <c r="A1357" s="3" t="s">
        <v>1378</v>
      </c>
      <c r="B1357">
        <v>1</v>
      </c>
      <c r="C1357">
        <v>0</v>
      </c>
      <c r="D1357">
        <v>30</v>
      </c>
      <c r="E1357">
        <v>0</v>
      </c>
      <c r="F1357">
        <v>3210</v>
      </c>
      <c r="G1357">
        <v>66</v>
      </c>
      <c r="H1357">
        <v>10</v>
      </c>
      <c r="I1357">
        <v>20</v>
      </c>
      <c r="J1357">
        <v>2</v>
      </c>
      <c r="K1357">
        <v>1</v>
      </c>
      <c r="L1357">
        <v>1</v>
      </c>
      <c r="M1357">
        <v>25</v>
      </c>
      <c r="N1357">
        <v>192.42</v>
      </c>
      <c r="O1357">
        <v>0</v>
      </c>
      <c r="P13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7" t="str">
        <f>IF(Table1[[#This Row],[Fraud_Score]]&gt;=6, "High Risk",IF(Table1[[#This Row],[Fraud_Score]]&gt;=3, "Medium Risk", "Low Risk"))</f>
        <v>Low Risk</v>
      </c>
      <c r="R1357">
        <f>IF(Table1[[#This Row],[Seconds of Use]]=0,0,Table1[[#This Row],[Customer Value]]/Table1[[#This Row],[Seconds of Use]]*100)</f>
        <v>5.9943925233644855</v>
      </c>
    </row>
    <row r="1358" spans="1:18" x14ac:dyDescent="0.35">
      <c r="A1358" s="3" t="s">
        <v>1379</v>
      </c>
      <c r="B1358">
        <v>0</v>
      </c>
      <c r="C1358">
        <v>0</v>
      </c>
      <c r="D1358">
        <v>30</v>
      </c>
      <c r="E1358">
        <v>0</v>
      </c>
      <c r="F1358">
        <v>1795</v>
      </c>
      <c r="G1358">
        <v>23</v>
      </c>
      <c r="H1358">
        <v>263</v>
      </c>
      <c r="I1358">
        <v>10</v>
      </c>
      <c r="J1358">
        <v>3</v>
      </c>
      <c r="K1358">
        <v>1</v>
      </c>
      <c r="L1358">
        <v>1</v>
      </c>
      <c r="M1358">
        <v>30</v>
      </c>
      <c r="N1358">
        <v>1124.72</v>
      </c>
      <c r="O1358">
        <v>0</v>
      </c>
      <c r="P13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8" t="str">
        <f>IF(Table1[[#This Row],[Fraud_Score]]&gt;=6, "High Risk",IF(Table1[[#This Row],[Fraud_Score]]&gt;=3, "Medium Risk", "Low Risk"))</f>
        <v>Low Risk</v>
      </c>
      <c r="R1358">
        <f>IF(Table1[[#This Row],[Seconds of Use]]=0,0,Table1[[#This Row],[Customer Value]]/Table1[[#This Row],[Seconds of Use]]*100)</f>
        <v>62.658495821727023</v>
      </c>
    </row>
    <row r="1359" spans="1:18" x14ac:dyDescent="0.35">
      <c r="A1359" s="3" t="s">
        <v>1380</v>
      </c>
      <c r="B1359">
        <v>3</v>
      </c>
      <c r="C1359">
        <v>0</v>
      </c>
      <c r="D1359">
        <v>29</v>
      </c>
      <c r="E1359">
        <v>0</v>
      </c>
      <c r="F1359">
        <v>8550</v>
      </c>
      <c r="G1359">
        <v>105</v>
      </c>
      <c r="H1359">
        <v>122</v>
      </c>
      <c r="I1359">
        <v>35</v>
      </c>
      <c r="J1359">
        <v>3</v>
      </c>
      <c r="K1359">
        <v>1</v>
      </c>
      <c r="L1359">
        <v>1</v>
      </c>
      <c r="M1359">
        <v>30</v>
      </c>
      <c r="N1359">
        <v>834.2</v>
      </c>
      <c r="O1359">
        <v>0</v>
      </c>
      <c r="P13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59" t="str">
        <f>IF(Table1[[#This Row],[Fraud_Score]]&gt;=6, "High Risk",IF(Table1[[#This Row],[Fraud_Score]]&gt;=3, "Medium Risk", "Low Risk"))</f>
        <v>Low Risk</v>
      </c>
      <c r="R1359">
        <f>IF(Table1[[#This Row],[Seconds of Use]]=0,0,Table1[[#This Row],[Customer Value]]/Table1[[#This Row],[Seconds of Use]]*100)</f>
        <v>9.756725146198832</v>
      </c>
    </row>
    <row r="1360" spans="1:18" x14ac:dyDescent="0.35">
      <c r="A1360" s="3" t="s">
        <v>1381</v>
      </c>
      <c r="B1360">
        <v>0</v>
      </c>
      <c r="C1360">
        <v>0</v>
      </c>
      <c r="D1360">
        <v>30</v>
      </c>
      <c r="E1360">
        <v>0</v>
      </c>
      <c r="F1360">
        <v>13208</v>
      </c>
      <c r="G1360">
        <v>153</v>
      </c>
      <c r="H1360">
        <v>0</v>
      </c>
      <c r="I1360">
        <v>36</v>
      </c>
      <c r="J1360">
        <v>3</v>
      </c>
      <c r="K1360">
        <v>1</v>
      </c>
      <c r="L1360">
        <v>1</v>
      </c>
      <c r="M1360">
        <v>30</v>
      </c>
      <c r="N1360">
        <v>534.44000000000005</v>
      </c>
      <c r="O1360">
        <v>0</v>
      </c>
      <c r="P13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60" t="str">
        <f>IF(Table1[[#This Row],[Fraud_Score]]&gt;=6, "High Risk",IF(Table1[[#This Row],[Fraud_Score]]&gt;=3, "Medium Risk", "Low Risk"))</f>
        <v>Medium Risk</v>
      </c>
      <c r="R1360">
        <f>IF(Table1[[#This Row],[Seconds of Use]]=0,0,Table1[[#This Row],[Customer Value]]/Table1[[#This Row],[Seconds of Use]]*100)</f>
        <v>4.0463355542095698</v>
      </c>
    </row>
    <row r="1361" spans="1:18" x14ac:dyDescent="0.35">
      <c r="A1361" s="3" t="s">
        <v>1382</v>
      </c>
      <c r="B1361">
        <v>0</v>
      </c>
      <c r="C1361">
        <v>0</v>
      </c>
      <c r="D1361">
        <v>30</v>
      </c>
      <c r="E1361">
        <v>0</v>
      </c>
      <c r="F1361">
        <v>3950</v>
      </c>
      <c r="G1361">
        <v>67</v>
      </c>
      <c r="H1361">
        <v>0</v>
      </c>
      <c r="I1361">
        <v>17</v>
      </c>
      <c r="J1361">
        <v>3</v>
      </c>
      <c r="K1361">
        <v>1</v>
      </c>
      <c r="L1361">
        <v>1</v>
      </c>
      <c r="M1361">
        <v>30</v>
      </c>
      <c r="N1361">
        <v>160.68</v>
      </c>
      <c r="O1361">
        <v>0</v>
      </c>
      <c r="P13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61" t="str">
        <f>IF(Table1[[#This Row],[Fraud_Score]]&gt;=6, "High Risk",IF(Table1[[#This Row],[Fraud_Score]]&gt;=3, "Medium Risk", "Low Risk"))</f>
        <v>Low Risk</v>
      </c>
      <c r="R1361">
        <f>IF(Table1[[#This Row],[Seconds of Use]]=0,0,Table1[[#This Row],[Customer Value]]/Table1[[#This Row],[Seconds of Use]]*100)</f>
        <v>4.067848101265823</v>
      </c>
    </row>
    <row r="1362" spans="1:18" x14ac:dyDescent="0.35">
      <c r="A1362" s="3" t="s">
        <v>1383</v>
      </c>
      <c r="B1362">
        <v>0</v>
      </c>
      <c r="C1362">
        <v>0</v>
      </c>
      <c r="D1362">
        <v>30</v>
      </c>
      <c r="E1362">
        <v>0</v>
      </c>
      <c r="F1362">
        <v>5353</v>
      </c>
      <c r="G1362">
        <v>79</v>
      </c>
      <c r="H1362">
        <v>0</v>
      </c>
      <c r="I1362">
        <v>4</v>
      </c>
      <c r="J1362">
        <v>2</v>
      </c>
      <c r="K1362">
        <v>1</v>
      </c>
      <c r="L1362">
        <v>1</v>
      </c>
      <c r="M1362">
        <v>25</v>
      </c>
      <c r="N1362">
        <v>244.44</v>
      </c>
      <c r="O1362">
        <v>0</v>
      </c>
      <c r="P13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62" t="str">
        <f>IF(Table1[[#This Row],[Fraud_Score]]&gt;=6, "High Risk",IF(Table1[[#This Row],[Fraud_Score]]&gt;=3, "Medium Risk", "Low Risk"))</f>
        <v>Low Risk</v>
      </c>
      <c r="R1362">
        <f>IF(Table1[[#This Row],[Seconds of Use]]=0,0,Table1[[#This Row],[Customer Value]]/Table1[[#This Row],[Seconds of Use]]*100)</f>
        <v>4.5664113581169437</v>
      </c>
    </row>
    <row r="1363" spans="1:18" x14ac:dyDescent="0.35">
      <c r="A1363" s="3" t="s">
        <v>1384</v>
      </c>
      <c r="B1363">
        <v>0</v>
      </c>
      <c r="C1363">
        <v>0</v>
      </c>
      <c r="D1363">
        <v>30</v>
      </c>
      <c r="E1363">
        <v>0</v>
      </c>
      <c r="F1363">
        <v>1673</v>
      </c>
      <c r="G1363">
        <v>38</v>
      </c>
      <c r="H1363">
        <v>0</v>
      </c>
      <c r="I1363">
        <v>9</v>
      </c>
      <c r="J1363">
        <v>3</v>
      </c>
      <c r="K1363">
        <v>1</v>
      </c>
      <c r="L1363">
        <v>2</v>
      </c>
      <c r="M1363">
        <v>30</v>
      </c>
      <c r="N1363">
        <v>68.44</v>
      </c>
      <c r="O1363">
        <v>0</v>
      </c>
      <c r="P13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63" t="str">
        <f>IF(Table1[[#This Row],[Fraud_Score]]&gt;=6, "High Risk",IF(Table1[[#This Row],[Fraud_Score]]&gt;=3, "Medium Risk", "Low Risk"))</f>
        <v>Low Risk</v>
      </c>
      <c r="R1363">
        <f>IF(Table1[[#This Row],[Seconds of Use]]=0,0,Table1[[#This Row],[Customer Value]]/Table1[[#This Row],[Seconds of Use]]*100)</f>
        <v>4.0908547519426177</v>
      </c>
    </row>
    <row r="1364" spans="1:18" x14ac:dyDescent="0.35">
      <c r="A1364" s="3" t="s">
        <v>1385</v>
      </c>
      <c r="B1364">
        <v>15</v>
      </c>
      <c r="C1364">
        <v>0</v>
      </c>
      <c r="D1364">
        <v>30</v>
      </c>
      <c r="E1364">
        <v>1</v>
      </c>
      <c r="F1364">
        <v>14575</v>
      </c>
      <c r="G1364">
        <v>209</v>
      </c>
      <c r="H1364">
        <v>32</v>
      </c>
      <c r="I1364">
        <v>24</v>
      </c>
      <c r="J1364">
        <v>2</v>
      </c>
      <c r="K1364">
        <v>1</v>
      </c>
      <c r="L1364">
        <v>1</v>
      </c>
      <c r="M1364">
        <v>25</v>
      </c>
      <c r="N1364">
        <v>809.28</v>
      </c>
      <c r="O1364">
        <v>0</v>
      </c>
      <c r="P13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364" t="str">
        <f>IF(Table1[[#This Row],[Fraud_Score]]&gt;=6, "High Risk",IF(Table1[[#This Row],[Fraud_Score]]&gt;=3, "Medium Risk", "Low Risk"))</f>
        <v>Medium Risk</v>
      </c>
      <c r="R1364">
        <f>IF(Table1[[#This Row],[Seconds of Use]]=0,0,Table1[[#This Row],[Customer Value]]/Table1[[#This Row],[Seconds of Use]]*100)</f>
        <v>5.5525214408233277</v>
      </c>
    </row>
    <row r="1365" spans="1:18" x14ac:dyDescent="0.35">
      <c r="A1365" s="3" t="s">
        <v>1386</v>
      </c>
      <c r="B1365">
        <v>0</v>
      </c>
      <c r="C1365">
        <v>0</v>
      </c>
      <c r="D1365">
        <v>30</v>
      </c>
      <c r="E1365">
        <v>0</v>
      </c>
      <c r="F1365">
        <v>2530</v>
      </c>
      <c r="G1365">
        <v>11</v>
      </c>
      <c r="H1365">
        <v>461</v>
      </c>
      <c r="I1365">
        <v>7</v>
      </c>
      <c r="J1365">
        <v>3</v>
      </c>
      <c r="K1365">
        <v>1</v>
      </c>
      <c r="L1365">
        <v>1</v>
      </c>
      <c r="M1365">
        <v>30</v>
      </c>
      <c r="N1365">
        <v>1945.64</v>
      </c>
      <c r="O1365">
        <v>0</v>
      </c>
      <c r="P13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65" t="str">
        <f>IF(Table1[[#This Row],[Fraud_Score]]&gt;=6, "High Risk",IF(Table1[[#This Row],[Fraud_Score]]&gt;=3, "Medium Risk", "Low Risk"))</f>
        <v>Low Risk</v>
      </c>
      <c r="R1365">
        <f>IF(Table1[[#This Row],[Seconds of Use]]=0,0,Table1[[#This Row],[Customer Value]]/Table1[[#This Row],[Seconds of Use]]*100)</f>
        <v>76.90276679841898</v>
      </c>
    </row>
    <row r="1366" spans="1:18" x14ac:dyDescent="0.35">
      <c r="A1366" s="3" t="s">
        <v>1387</v>
      </c>
      <c r="B1366">
        <v>0</v>
      </c>
      <c r="C1366">
        <v>0</v>
      </c>
      <c r="D1366">
        <v>29</v>
      </c>
      <c r="E1366">
        <v>0</v>
      </c>
      <c r="F1366">
        <v>14920</v>
      </c>
      <c r="G1366">
        <v>166</v>
      </c>
      <c r="H1366">
        <v>128</v>
      </c>
      <c r="I1366">
        <v>22</v>
      </c>
      <c r="J1366">
        <v>2</v>
      </c>
      <c r="K1366">
        <v>1</v>
      </c>
      <c r="L1366">
        <v>1</v>
      </c>
      <c r="M1366">
        <v>25</v>
      </c>
      <c r="N1366">
        <v>1254.8699999999999</v>
      </c>
      <c r="O1366">
        <v>0</v>
      </c>
      <c r="P13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66" t="str">
        <f>IF(Table1[[#This Row],[Fraud_Score]]&gt;=6, "High Risk",IF(Table1[[#This Row],[Fraud_Score]]&gt;=3, "Medium Risk", "Low Risk"))</f>
        <v>Medium Risk</v>
      </c>
      <c r="R1366">
        <f>IF(Table1[[#This Row],[Seconds of Use]]=0,0,Table1[[#This Row],[Customer Value]]/Table1[[#This Row],[Seconds of Use]]*100)</f>
        <v>8.4106568364611256</v>
      </c>
    </row>
    <row r="1367" spans="1:18" x14ac:dyDescent="0.35">
      <c r="A1367" s="3" t="s">
        <v>1388</v>
      </c>
      <c r="B1367">
        <v>0</v>
      </c>
      <c r="C1367">
        <v>0</v>
      </c>
      <c r="D1367">
        <v>29</v>
      </c>
      <c r="E1367">
        <v>0</v>
      </c>
      <c r="F1367">
        <v>5935</v>
      </c>
      <c r="G1367">
        <v>70</v>
      </c>
      <c r="H1367">
        <v>164</v>
      </c>
      <c r="I1367">
        <v>18</v>
      </c>
      <c r="J1367">
        <v>3</v>
      </c>
      <c r="K1367">
        <v>1</v>
      </c>
      <c r="L1367">
        <v>1</v>
      </c>
      <c r="M1367">
        <v>30</v>
      </c>
      <c r="N1367">
        <v>896.2</v>
      </c>
      <c r="O1367">
        <v>0</v>
      </c>
      <c r="P13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67" t="str">
        <f>IF(Table1[[#This Row],[Fraud_Score]]&gt;=6, "High Risk",IF(Table1[[#This Row],[Fraud_Score]]&gt;=3, "Medium Risk", "Low Risk"))</f>
        <v>Low Risk</v>
      </c>
      <c r="R1367">
        <f>IF(Table1[[#This Row],[Seconds of Use]]=0,0,Table1[[#This Row],[Customer Value]]/Table1[[#This Row],[Seconds of Use]]*100)</f>
        <v>15.100252737994946</v>
      </c>
    </row>
    <row r="1368" spans="1:18" x14ac:dyDescent="0.35">
      <c r="A1368" s="3" t="s">
        <v>1389</v>
      </c>
      <c r="B1368">
        <v>0</v>
      </c>
      <c r="C1368">
        <v>0</v>
      </c>
      <c r="D1368">
        <v>29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</v>
      </c>
      <c r="K1368">
        <v>1</v>
      </c>
      <c r="L1368">
        <v>2</v>
      </c>
      <c r="M1368">
        <v>25</v>
      </c>
      <c r="N1368">
        <v>0</v>
      </c>
      <c r="O1368">
        <v>0</v>
      </c>
      <c r="P13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68" t="str">
        <f>IF(Table1[[#This Row],[Fraud_Score]]&gt;=6, "High Risk",IF(Table1[[#This Row],[Fraud_Score]]&gt;=3, "Medium Risk", "Low Risk"))</f>
        <v>Low Risk</v>
      </c>
      <c r="R1368">
        <f>IF(Table1[[#This Row],[Seconds of Use]]=0,0,Table1[[#This Row],[Customer Value]]/Table1[[#This Row],[Seconds of Use]]*100)</f>
        <v>0</v>
      </c>
    </row>
    <row r="1369" spans="1:18" x14ac:dyDescent="0.35">
      <c r="A1369" s="3" t="s">
        <v>1390</v>
      </c>
      <c r="B1369">
        <v>0</v>
      </c>
      <c r="C1369">
        <v>0</v>
      </c>
      <c r="D1369">
        <v>30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</v>
      </c>
      <c r="K1369">
        <v>1</v>
      </c>
      <c r="L1369">
        <v>2</v>
      </c>
      <c r="M1369">
        <v>25</v>
      </c>
      <c r="N1369">
        <v>0</v>
      </c>
      <c r="O1369">
        <v>0</v>
      </c>
      <c r="P13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69" t="str">
        <f>IF(Table1[[#This Row],[Fraud_Score]]&gt;=6, "High Risk",IF(Table1[[#This Row],[Fraud_Score]]&gt;=3, "Medium Risk", "Low Risk"))</f>
        <v>Low Risk</v>
      </c>
      <c r="R1369">
        <f>IF(Table1[[#This Row],[Seconds of Use]]=0,0,Table1[[#This Row],[Customer Value]]/Table1[[#This Row],[Seconds of Use]]*100)</f>
        <v>0</v>
      </c>
    </row>
    <row r="1370" spans="1:18" x14ac:dyDescent="0.35">
      <c r="A1370" s="3" t="s">
        <v>1391</v>
      </c>
      <c r="B1370">
        <v>0</v>
      </c>
      <c r="C1370">
        <v>0</v>
      </c>
      <c r="D1370">
        <v>29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2</v>
      </c>
      <c r="K1370">
        <v>1</v>
      </c>
      <c r="L1370">
        <v>2</v>
      </c>
      <c r="M1370">
        <v>25</v>
      </c>
      <c r="N1370">
        <v>0</v>
      </c>
      <c r="O1370">
        <v>1</v>
      </c>
      <c r="P13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70" t="str">
        <f>IF(Table1[[#This Row],[Fraud_Score]]&gt;=6, "High Risk",IF(Table1[[#This Row],[Fraud_Score]]&gt;=3, "Medium Risk", "Low Risk"))</f>
        <v>Low Risk</v>
      </c>
      <c r="R1370">
        <f>IF(Table1[[#This Row],[Seconds of Use]]=0,0,Table1[[#This Row],[Customer Value]]/Table1[[#This Row],[Seconds of Use]]*100)</f>
        <v>0</v>
      </c>
    </row>
    <row r="1371" spans="1:18" x14ac:dyDescent="0.35">
      <c r="A1371" s="3" t="s">
        <v>1392</v>
      </c>
      <c r="B1371">
        <v>0</v>
      </c>
      <c r="C1371">
        <v>0</v>
      </c>
      <c r="D1371">
        <v>29</v>
      </c>
      <c r="E1371">
        <v>0</v>
      </c>
      <c r="F1371">
        <v>6943</v>
      </c>
      <c r="G1371">
        <v>111</v>
      </c>
      <c r="H1371">
        <v>362</v>
      </c>
      <c r="I1371">
        <v>35</v>
      </c>
      <c r="J1371">
        <v>2</v>
      </c>
      <c r="K1371">
        <v>1</v>
      </c>
      <c r="L1371">
        <v>1</v>
      </c>
      <c r="M1371">
        <v>25</v>
      </c>
      <c r="N1371">
        <v>1946.43</v>
      </c>
      <c r="O1371">
        <v>0</v>
      </c>
      <c r="P13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71" t="str">
        <f>IF(Table1[[#This Row],[Fraud_Score]]&gt;=6, "High Risk",IF(Table1[[#This Row],[Fraud_Score]]&gt;=3, "Medium Risk", "Low Risk"))</f>
        <v>Low Risk</v>
      </c>
      <c r="R1371">
        <f>IF(Table1[[#This Row],[Seconds of Use]]=0,0,Table1[[#This Row],[Customer Value]]/Table1[[#This Row],[Seconds of Use]]*100)</f>
        <v>28.034423160017287</v>
      </c>
    </row>
    <row r="1372" spans="1:18" x14ac:dyDescent="0.35">
      <c r="A1372" s="3" t="s">
        <v>1393</v>
      </c>
      <c r="B1372">
        <v>0</v>
      </c>
      <c r="C1372">
        <v>0</v>
      </c>
      <c r="D1372">
        <v>29</v>
      </c>
      <c r="E1372">
        <v>0</v>
      </c>
      <c r="F1372">
        <v>10900</v>
      </c>
      <c r="G1372">
        <v>138</v>
      </c>
      <c r="H1372">
        <v>0</v>
      </c>
      <c r="I1372">
        <v>39</v>
      </c>
      <c r="J1372">
        <v>3</v>
      </c>
      <c r="K1372">
        <v>1</v>
      </c>
      <c r="L1372">
        <v>1</v>
      </c>
      <c r="M1372">
        <v>30</v>
      </c>
      <c r="N1372">
        <v>441.52</v>
      </c>
      <c r="O1372">
        <v>0</v>
      </c>
      <c r="P13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72" t="str">
        <f>IF(Table1[[#This Row],[Fraud_Score]]&gt;=6, "High Risk",IF(Table1[[#This Row],[Fraud_Score]]&gt;=3, "Medium Risk", "Low Risk"))</f>
        <v>Low Risk</v>
      </c>
      <c r="R1372">
        <f>IF(Table1[[#This Row],[Seconds of Use]]=0,0,Table1[[#This Row],[Customer Value]]/Table1[[#This Row],[Seconds of Use]]*100)</f>
        <v>4.0506422018348625</v>
      </c>
    </row>
    <row r="1373" spans="1:18" x14ac:dyDescent="0.35">
      <c r="A1373" s="3" t="s">
        <v>1394</v>
      </c>
      <c r="B1373">
        <v>0</v>
      </c>
      <c r="C1373">
        <v>0</v>
      </c>
      <c r="D1373">
        <v>29</v>
      </c>
      <c r="E1373">
        <v>0</v>
      </c>
      <c r="F1373">
        <v>6153</v>
      </c>
      <c r="G1373">
        <v>59</v>
      </c>
      <c r="H1373">
        <v>86</v>
      </c>
      <c r="I1373">
        <v>29</v>
      </c>
      <c r="J1373">
        <v>2</v>
      </c>
      <c r="K1373">
        <v>1</v>
      </c>
      <c r="L1373">
        <v>1</v>
      </c>
      <c r="M1373">
        <v>25</v>
      </c>
      <c r="N1373">
        <v>666.54</v>
      </c>
      <c r="O1373">
        <v>0</v>
      </c>
      <c r="P13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73" t="str">
        <f>IF(Table1[[#This Row],[Fraud_Score]]&gt;=6, "High Risk",IF(Table1[[#This Row],[Fraud_Score]]&gt;=3, "Medium Risk", "Low Risk"))</f>
        <v>Low Risk</v>
      </c>
      <c r="R1373">
        <f>IF(Table1[[#This Row],[Seconds of Use]]=0,0,Table1[[#This Row],[Customer Value]]/Table1[[#This Row],[Seconds of Use]]*100)</f>
        <v>10.832764505119453</v>
      </c>
    </row>
    <row r="1374" spans="1:18" x14ac:dyDescent="0.35">
      <c r="A1374" s="3" t="s">
        <v>1395</v>
      </c>
      <c r="B1374">
        <v>13</v>
      </c>
      <c r="C1374">
        <v>1</v>
      </c>
      <c r="D1374">
        <v>25</v>
      </c>
      <c r="E1374">
        <v>0</v>
      </c>
      <c r="F1374">
        <v>390</v>
      </c>
      <c r="G1374">
        <v>31</v>
      </c>
      <c r="H1374">
        <v>0</v>
      </c>
      <c r="I1374">
        <v>9</v>
      </c>
      <c r="J1374">
        <v>2</v>
      </c>
      <c r="K1374">
        <v>1</v>
      </c>
      <c r="L1374">
        <v>2</v>
      </c>
      <c r="M1374">
        <v>25</v>
      </c>
      <c r="N1374">
        <v>18.945</v>
      </c>
      <c r="O1374">
        <v>1</v>
      </c>
      <c r="P13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374" t="str">
        <f>IF(Table1[[#This Row],[Fraud_Score]]&gt;=6, "High Risk",IF(Table1[[#This Row],[Fraud_Score]]&gt;=3, "Medium Risk", "Low Risk"))</f>
        <v>Medium Risk</v>
      </c>
      <c r="R1374">
        <f>IF(Table1[[#This Row],[Seconds of Use]]=0,0,Table1[[#This Row],[Customer Value]]/Table1[[#This Row],[Seconds of Use]]*100)</f>
        <v>4.8576923076923082</v>
      </c>
    </row>
    <row r="1375" spans="1:18" x14ac:dyDescent="0.35">
      <c r="A1375" s="3" t="s">
        <v>1396</v>
      </c>
      <c r="B1375">
        <v>11</v>
      </c>
      <c r="C1375">
        <v>0</v>
      </c>
      <c r="D1375">
        <v>28</v>
      </c>
      <c r="E1375">
        <v>6</v>
      </c>
      <c r="F1375">
        <v>9870</v>
      </c>
      <c r="G1375">
        <v>77</v>
      </c>
      <c r="H1375">
        <v>0</v>
      </c>
      <c r="I1375">
        <v>34</v>
      </c>
      <c r="J1375">
        <v>4</v>
      </c>
      <c r="K1375">
        <v>2</v>
      </c>
      <c r="L1375">
        <v>1</v>
      </c>
      <c r="M1375">
        <v>45</v>
      </c>
      <c r="N1375">
        <v>248.67500000000001</v>
      </c>
      <c r="O1375">
        <v>0</v>
      </c>
      <c r="P13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375" t="str">
        <f>IF(Table1[[#This Row],[Fraud_Score]]&gt;=6, "High Risk",IF(Table1[[#This Row],[Fraud_Score]]&gt;=3, "Medium Risk", "Low Risk"))</f>
        <v>Low Risk</v>
      </c>
      <c r="R1375">
        <f>IF(Table1[[#This Row],[Seconds of Use]]=0,0,Table1[[#This Row],[Customer Value]]/Table1[[#This Row],[Seconds of Use]]*100)</f>
        <v>2.5195035460992909</v>
      </c>
    </row>
    <row r="1376" spans="1:18" x14ac:dyDescent="0.35">
      <c r="A1376" s="3" t="s">
        <v>1397</v>
      </c>
      <c r="B1376">
        <v>3</v>
      </c>
      <c r="C1376">
        <v>0</v>
      </c>
      <c r="D1376">
        <v>28</v>
      </c>
      <c r="E1376">
        <v>0</v>
      </c>
      <c r="F1376">
        <v>5253</v>
      </c>
      <c r="G1376">
        <v>82</v>
      </c>
      <c r="H1376">
        <v>4</v>
      </c>
      <c r="I1376">
        <v>16</v>
      </c>
      <c r="J1376">
        <v>2</v>
      </c>
      <c r="K1376">
        <v>1</v>
      </c>
      <c r="L1376">
        <v>1</v>
      </c>
      <c r="M1376">
        <v>25</v>
      </c>
      <c r="N1376">
        <v>258.07499999999999</v>
      </c>
      <c r="O1376">
        <v>1</v>
      </c>
      <c r="P13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76" t="str">
        <f>IF(Table1[[#This Row],[Fraud_Score]]&gt;=6, "High Risk",IF(Table1[[#This Row],[Fraud_Score]]&gt;=3, "Medium Risk", "Low Risk"))</f>
        <v>Low Risk</v>
      </c>
      <c r="R1376">
        <f>IF(Table1[[#This Row],[Seconds of Use]]=0,0,Table1[[#This Row],[Customer Value]]/Table1[[#This Row],[Seconds of Use]]*100)</f>
        <v>4.9129069103369494</v>
      </c>
    </row>
    <row r="1377" spans="1:18" x14ac:dyDescent="0.35">
      <c r="A1377" s="3" t="s">
        <v>1398</v>
      </c>
      <c r="B1377">
        <v>0</v>
      </c>
      <c r="C1377">
        <v>0</v>
      </c>
      <c r="D1377">
        <v>26</v>
      </c>
      <c r="E1377">
        <v>0</v>
      </c>
      <c r="F1377">
        <v>2275</v>
      </c>
      <c r="G1377">
        <v>6</v>
      </c>
      <c r="H1377">
        <v>0</v>
      </c>
      <c r="I1377">
        <v>6</v>
      </c>
      <c r="J1377">
        <v>3</v>
      </c>
      <c r="K1377">
        <v>1</v>
      </c>
      <c r="L1377">
        <v>1</v>
      </c>
      <c r="M1377">
        <v>30</v>
      </c>
      <c r="N1377">
        <v>91.24</v>
      </c>
      <c r="O1377">
        <v>0</v>
      </c>
      <c r="P13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77" t="str">
        <f>IF(Table1[[#This Row],[Fraud_Score]]&gt;=6, "High Risk",IF(Table1[[#This Row],[Fraud_Score]]&gt;=3, "Medium Risk", "Low Risk"))</f>
        <v>Low Risk</v>
      </c>
      <c r="R1377">
        <f>IF(Table1[[#This Row],[Seconds of Use]]=0,0,Table1[[#This Row],[Customer Value]]/Table1[[#This Row],[Seconds of Use]]*100)</f>
        <v>4.0105494505494503</v>
      </c>
    </row>
    <row r="1378" spans="1:18" x14ac:dyDescent="0.35">
      <c r="A1378" s="3" t="s">
        <v>1399</v>
      </c>
      <c r="B1378">
        <v>0</v>
      </c>
      <c r="C1378">
        <v>1</v>
      </c>
      <c r="D1378">
        <v>27</v>
      </c>
      <c r="E1378">
        <v>0</v>
      </c>
      <c r="F1378">
        <v>2425</v>
      </c>
      <c r="G1378">
        <v>25</v>
      </c>
      <c r="H1378">
        <v>0</v>
      </c>
      <c r="I1378">
        <v>8</v>
      </c>
      <c r="J1378">
        <v>2</v>
      </c>
      <c r="K1378">
        <v>1</v>
      </c>
      <c r="L1378">
        <v>2</v>
      </c>
      <c r="M1378">
        <v>25</v>
      </c>
      <c r="N1378">
        <v>110.25</v>
      </c>
      <c r="O1378">
        <v>1</v>
      </c>
      <c r="P13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78" t="str">
        <f>IF(Table1[[#This Row],[Fraud_Score]]&gt;=6, "High Risk",IF(Table1[[#This Row],[Fraud_Score]]&gt;=3, "Medium Risk", "Low Risk"))</f>
        <v>Medium Risk</v>
      </c>
      <c r="R1378">
        <f>IF(Table1[[#This Row],[Seconds of Use]]=0,0,Table1[[#This Row],[Customer Value]]/Table1[[#This Row],[Seconds of Use]]*100)</f>
        <v>4.5463917525773194</v>
      </c>
    </row>
    <row r="1379" spans="1:18" x14ac:dyDescent="0.35">
      <c r="A1379" s="3" t="s">
        <v>1400</v>
      </c>
      <c r="B1379">
        <v>0</v>
      </c>
      <c r="C1379">
        <v>1</v>
      </c>
      <c r="D1379">
        <v>28</v>
      </c>
      <c r="E1379">
        <v>0</v>
      </c>
      <c r="F1379">
        <v>1703</v>
      </c>
      <c r="G1379">
        <v>28</v>
      </c>
      <c r="H1379">
        <v>12</v>
      </c>
      <c r="I1379">
        <v>23</v>
      </c>
      <c r="J1379">
        <v>3</v>
      </c>
      <c r="K1379">
        <v>1</v>
      </c>
      <c r="L1379">
        <v>2</v>
      </c>
      <c r="M1379">
        <v>30</v>
      </c>
      <c r="N1379">
        <v>117.24</v>
      </c>
      <c r="O1379">
        <v>1</v>
      </c>
      <c r="P13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79" t="str">
        <f>IF(Table1[[#This Row],[Fraud_Score]]&gt;=6, "High Risk",IF(Table1[[#This Row],[Fraud_Score]]&gt;=3, "Medium Risk", "Low Risk"))</f>
        <v>Medium Risk</v>
      </c>
      <c r="R1379">
        <f>IF(Table1[[#This Row],[Seconds of Use]]=0,0,Table1[[#This Row],[Customer Value]]/Table1[[#This Row],[Seconds of Use]]*100)</f>
        <v>6.8843217850851426</v>
      </c>
    </row>
    <row r="1380" spans="1:18" x14ac:dyDescent="0.35">
      <c r="A1380" s="3" t="s">
        <v>1401</v>
      </c>
      <c r="B1380">
        <v>0</v>
      </c>
      <c r="C1380">
        <v>0</v>
      </c>
      <c r="D1380">
        <v>28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2</v>
      </c>
      <c r="K1380">
        <v>1</v>
      </c>
      <c r="L1380">
        <v>2</v>
      </c>
      <c r="M1380">
        <v>25</v>
      </c>
      <c r="N1380">
        <v>0</v>
      </c>
      <c r="O1380">
        <v>1</v>
      </c>
      <c r="P13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0" t="str">
        <f>IF(Table1[[#This Row],[Fraud_Score]]&gt;=6, "High Risk",IF(Table1[[#This Row],[Fraud_Score]]&gt;=3, "Medium Risk", "Low Risk"))</f>
        <v>Low Risk</v>
      </c>
      <c r="R1380">
        <f>IF(Table1[[#This Row],[Seconds of Use]]=0,0,Table1[[#This Row],[Customer Value]]/Table1[[#This Row],[Seconds of Use]]*100)</f>
        <v>0</v>
      </c>
    </row>
    <row r="1381" spans="1:18" x14ac:dyDescent="0.35">
      <c r="A1381" s="3" t="s">
        <v>1402</v>
      </c>
      <c r="B1381">
        <v>0</v>
      </c>
      <c r="C1381">
        <v>0</v>
      </c>
      <c r="D1381">
        <v>28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3</v>
      </c>
      <c r="K1381">
        <v>1</v>
      </c>
      <c r="L1381">
        <v>1</v>
      </c>
      <c r="M1381">
        <v>30</v>
      </c>
      <c r="N1381">
        <v>0</v>
      </c>
      <c r="O1381">
        <v>0</v>
      </c>
      <c r="P13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1" t="str">
        <f>IF(Table1[[#This Row],[Fraud_Score]]&gt;=6, "High Risk",IF(Table1[[#This Row],[Fraud_Score]]&gt;=3, "Medium Risk", "Low Risk"))</f>
        <v>Low Risk</v>
      </c>
      <c r="R1381">
        <f>IF(Table1[[#This Row],[Seconds of Use]]=0,0,Table1[[#This Row],[Customer Value]]/Table1[[#This Row],[Seconds of Use]]*100)</f>
        <v>0</v>
      </c>
    </row>
    <row r="1382" spans="1:18" x14ac:dyDescent="0.35">
      <c r="A1382" s="3" t="s">
        <v>1403</v>
      </c>
      <c r="B1382">
        <v>0</v>
      </c>
      <c r="C1382">
        <v>0</v>
      </c>
      <c r="D1382">
        <v>25</v>
      </c>
      <c r="E1382">
        <v>0</v>
      </c>
      <c r="F1382">
        <v>6220</v>
      </c>
      <c r="G1382">
        <v>81</v>
      </c>
      <c r="H1382">
        <v>0</v>
      </c>
      <c r="I1382">
        <v>14</v>
      </c>
      <c r="J1382">
        <v>4</v>
      </c>
      <c r="K1382">
        <v>1</v>
      </c>
      <c r="L1382">
        <v>1</v>
      </c>
      <c r="M1382">
        <v>45</v>
      </c>
      <c r="N1382">
        <v>157.52500000000001</v>
      </c>
      <c r="O1382">
        <v>0</v>
      </c>
      <c r="P13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2" t="str">
        <f>IF(Table1[[#This Row],[Fraud_Score]]&gt;=6, "High Risk",IF(Table1[[#This Row],[Fraud_Score]]&gt;=3, "Medium Risk", "Low Risk"))</f>
        <v>Low Risk</v>
      </c>
      <c r="R1382">
        <f>IF(Table1[[#This Row],[Seconds of Use]]=0,0,Table1[[#This Row],[Customer Value]]/Table1[[#This Row],[Seconds of Use]]*100)</f>
        <v>2.532556270096463</v>
      </c>
    </row>
    <row r="1383" spans="1:18" x14ac:dyDescent="0.35">
      <c r="A1383" s="3" t="s">
        <v>1404</v>
      </c>
      <c r="B1383">
        <v>0</v>
      </c>
      <c r="C1383">
        <v>0</v>
      </c>
      <c r="D1383">
        <v>28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3</v>
      </c>
      <c r="K1383">
        <v>1</v>
      </c>
      <c r="L1383">
        <v>2</v>
      </c>
      <c r="M1383">
        <v>30</v>
      </c>
      <c r="N1383">
        <v>0</v>
      </c>
      <c r="O1383">
        <v>1</v>
      </c>
      <c r="P13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3" t="str">
        <f>IF(Table1[[#This Row],[Fraud_Score]]&gt;=6, "High Risk",IF(Table1[[#This Row],[Fraud_Score]]&gt;=3, "Medium Risk", "Low Risk"))</f>
        <v>Low Risk</v>
      </c>
      <c r="R1383">
        <f>IF(Table1[[#This Row],[Seconds of Use]]=0,0,Table1[[#This Row],[Customer Value]]/Table1[[#This Row],[Seconds of Use]]*100)</f>
        <v>0</v>
      </c>
    </row>
    <row r="1384" spans="1:18" x14ac:dyDescent="0.35">
      <c r="A1384" s="3" t="s">
        <v>1405</v>
      </c>
      <c r="B1384">
        <v>0</v>
      </c>
      <c r="C1384">
        <v>1</v>
      </c>
      <c r="D1384">
        <v>28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4</v>
      </c>
      <c r="K1384">
        <v>1</v>
      </c>
      <c r="L1384">
        <v>1</v>
      </c>
      <c r="M1384">
        <v>45</v>
      </c>
      <c r="N1384">
        <v>0</v>
      </c>
      <c r="O1384">
        <v>1</v>
      </c>
      <c r="P13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84" t="str">
        <f>IF(Table1[[#This Row],[Fraud_Score]]&gt;=6, "High Risk",IF(Table1[[#This Row],[Fraud_Score]]&gt;=3, "Medium Risk", "Low Risk"))</f>
        <v>Medium Risk</v>
      </c>
      <c r="R1384">
        <f>IF(Table1[[#This Row],[Seconds of Use]]=0,0,Table1[[#This Row],[Customer Value]]/Table1[[#This Row],[Seconds of Use]]*100)</f>
        <v>0</v>
      </c>
    </row>
    <row r="1385" spans="1:18" x14ac:dyDescent="0.35">
      <c r="A1385" s="3" t="s">
        <v>1406</v>
      </c>
      <c r="B1385">
        <v>15</v>
      </c>
      <c r="C1385">
        <v>0</v>
      </c>
      <c r="D1385">
        <v>23</v>
      </c>
      <c r="E1385">
        <v>1</v>
      </c>
      <c r="F1385">
        <v>15510</v>
      </c>
      <c r="G1385">
        <v>222</v>
      </c>
      <c r="H1385">
        <v>0</v>
      </c>
      <c r="I1385">
        <v>72</v>
      </c>
      <c r="J1385">
        <v>2</v>
      </c>
      <c r="K1385">
        <v>1</v>
      </c>
      <c r="L1385">
        <v>1</v>
      </c>
      <c r="M1385">
        <v>25</v>
      </c>
      <c r="N1385">
        <v>707.94</v>
      </c>
      <c r="O1385">
        <v>0</v>
      </c>
      <c r="P13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385" t="str">
        <f>IF(Table1[[#This Row],[Fraud_Score]]&gt;=6, "High Risk",IF(Table1[[#This Row],[Fraud_Score]]&gt;=3, "Medium Risk", "Low Risk"))</f>
        <v>Medium Risk</v>
      </c>
      <c r="R1385">
        <f>IF(Table1[[#This Row],[Seconds of Use]]=0,0,Table1[[#This Row],[Customer Value]]/Table1[[#This Row],[Seconds of Use]]*100)</f>
        <v>4.5644100580270797</v>
      </c>
    </row>
    <row r="1386" spans="1:18" x14ac:dyDescent="0.35">
      <c r="A1386" s="3" t="s">
        <v>1407</v>
      </c>
      <c r="B1386">
        <v>0</v>
      </c>
      <c r="C1386">
        <v>0</v>
      </c>
      <c r="D1386">
        <v>26</v>
      </c>
      <c r="E1386">
        <v>1</v>
      </c>
      <c r="F1386">
        <v>6400</v>
      </c>
      <c r="G1386">
        <v>100</v>
      </c>
      <c r="H1386">
        <v>249</v>
      </c>
      <c r="I1386">
        <v>25</v>
      </c>
      <c r="J1386">
        <v>2</v>
      </c>
      <c r="K1386">
        <v>2</v>
      </c>
      <c r="L1386">
        <v>1</v>
      </c>
      <c r="M1386">
        <v>25</v>
      </c>
      <c r="N1386">
        <v>1413</v>
      </c>
      <c r="O1386">
        <v>0</v>
      </c>
      <c r="P13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86" t="str">
        <f>IF(Table1[[#This Row],[Fraud_Score]]&gt;=6, "High Risk",IF(Table1[[#This Row],[Fraud_Score]]&gt;=3, "Medium Risk", "Low Risk"))</f>
        <v>Low Risk</v>
      </c>
      <c r="R1386">
        <f>IF(Table1[[#This Row],[Seconds of Use]]=0,0,Table1[[#This Row],[Customer Value]]/Table1[[#This Row],[Seconds of Use]]*100)</f>
        <v>22.078125</v>
      </c>
    </row>
    <row r="1387" spans="1:18" x14ac:dyDescent="0.35">
      <c r="A1387" s="3" t="s">
        <v>1408</v>
      </c>
      <c r="B1387">
        <v>0</v>
      </c>
      <c r="C1387">
        <v>0</v>
      </c>
      <c r="D1387">
        <v>28</v>
      </c>
      <c r="E1387">
        <v>0</v>
      </c>
      <c r="F1387">
        <v>3153</v>
      </c>
      <c r="G1387">
        <v>66</v>
      </c>
      <c r="H1387">
        <v>0</v>
      </c>
      <c r="I1387">
        <v>20</v>
      </c>
      <c r="J1387">
        <v>2</v>
      </c>
      <c r="K1387">
        <v>1</v>
      </c>
      <c r="L1387">
        <v>1</v>
      </c>
      <c r="M1387">
        <v>25</v>
      </c>
      <c r="N1387">
        <v>144.85499999999999</v>
      </c>
      <c r="O1387">
        <v>0</v>
      </c>
      <c r="P13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7" t="str">
        <f>IF(Table1[[#This Row],[Fraud_Score]]&gt;=6, "High Risk",IF(Table1[[#This Row],[Fraud_Score]]&gt;=3, "Medium Risk", "Low Risk"))</f>
        <v>Low Risk</v>
      </c>
      <c r="R1387">
        <f>IF(Table1[[#This Row],[Seconds of Use]]=0,0,Table1[[#This Row],[Customer Value]]/Table1[[#This Row],[Seconds of Use]]*100)</f>
        <v>4.5941960038058989</v>
      </c>
    </row>
    <row r="1388" spans="1:18" x14ac:dyDescent="0.35">
      <c r="A1388" s="3" t="s">
        <v>1409</v>
      </c>
      <c r="B1388">
        <v>0</v>
      </c>
      <c r="C1388">
        <v>0</v>
      </c>
      <c r="D1388">
        <v>27</v>
      </c>
      <c r="E1388">
        <v>0</v>
      </c>
      <c r="F1388">
        <v>1100</v>
      </c>
      <c r="G1388">
        <v>28</v>
      </c>
      <c r="H1388">
        <v>16</v>
      </c>
      <c r="I1388">
        <v>12</v>
      </c>
      <c r="J1388">
        <v>3</v>
      </c>
      <c r="K1388">
        <v>1</v>
      </c>
      <c r="L1388">
        <v>2</v>
      </c>
      <c r="M1388">
        <v>30</v>
      </c>
      <c r="N1388">
        <v>109.12</v>
      </c>
      <c r="O1388">
        <v>0</v>
      </c>
      <c r="P13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8" t="str">
        <f>IF(Table1[[#This Row],[Fraud_Score]]&gt;=6, "High Risk",IF(Table1[[#This Row],[Fraud_Score]]&gt;=3, "Medium Risk", "Low Risk"))</f>
        <v>Low Risk</v>
      </c>
      <c r="R1388">
        <f>IF(Table1[[#This Row],[Seconds of Use]]=0,0,Table1[[#This Row],[Customer Value]]/Table1[[#This Row],[Seconds of Use]]*100)</f>
        <v>9.9200000000000017</v>
      </c>
    </row>
    <row r="1389" spans="1:18" x14ac:dyDescent="0.35">
      <c r="A1389" s="3" t="s">
        <v>1410</v>
      </c>
      <c r="B1389">
        <v>0</v>
      </c>
      <c r="C1389">
        <v>0</v>
      </c>
      <c r="D1389">
        <v>28</v>
      </c>
      <c r="E1389">
        <v>0</v>
      </c>
      <c r="F1389">
        <v>2215</v>
      </c>
      <c r="G1389">
        <v>37</v>
      </c>
      <c r="H1389">
        <v>153</v>
      </c>
      <c r="I1389">
        <v>15</v>
      </c>
      <c r="J1389">
        <v>2</v>
      </c>
      <c r="K1389">
        <v>1</v>
      </c>
      <c r="L1389">
        <v>1</v>
      </c>
      <c r="M1389">
        <v>25</v>
      </c>
      <c r="N1389">
        <v>789.84</v>
      </c>
      <c r="O1389">
        <v>0</v>
      </c>
      <c r="P13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89" t="str">
        <f>IF(Table1[[#This Row],[Fraud_Score]]&gt;=6, "High Risk",IF(Table1[[#This Row],[Fraud_Score]]&gt;=3, "Medium Risk", "Low Risk"))</f>
        <v>Low Risk</v>
      </c>
      <c r="R1389">
        <f>IF(Table1[[#This Row],[Seconds of Use]]=0,0,Table1[[#This Row],[Customer Value]]/Table1[[#This Row],[Seconds of Use]]*100)</f>
        <v>35.658690744920996</v>
      </c>
    </row>
    <row r="1390" spans="1:18" x14ac:dyDescent="0.35">
      <c r="A1390" s="3" t="s">
        <v>1411</v>
      </c>
      <c r="B1390">
        <v>0</v>
      </c>
      <c r="C1390">
        <v>0</v>
      </c>
      <c r="D1390">
        <v>19</v>
      </c>
      <c r="E1390">
        <v>0</v>
      </c>
      <c r="F1390">
        <v>750</v>
      </c>
      <c r="G1390">
        <v>20</v>
      </c>
      <c r="H1390">
        <v>171</v>
      </c>
      <c r="I1390">
        <v>3</v>
      </c>
      <c r="J1390">
        <v>2</v>
      </c>
      <c r="K1390">
        <v>2</v>
      </c>
      <c r="L1390">
        <v>1</v>
      </c>
      <c r="M1390">
        <v>25</v>
      </c>
      <c r="N1390">
        <v>804.15</v>
      </c>
      <c r="O1390">
        <v>0</v>
      </c>
      <c r="P13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0" t="str">
        <f>IF(Table1[[#This Row],[Fraud_Score]]&gt;=6, "High Risk",IF(Table1[[#This Row],[Fraud_Score]]&gt;=3, "Medium Risk", "Low Risk"))</f>
        <v>Low Risk</v>
      </c>
      <c r="R1390">
        <f>IF(Table1[[#This Row],[Seconds of Use]]=0,0,Table1[[#This Row],[Customer Value]]/Table1[[#This Row],[Seconds of Use]]*100)</f>
        <v>107.22</v>
      </c>
    </row>
    <row r="1391" spans="1:18" x14ac:dyDescent="0.35">
      <c r="A1391" s="3" t="s">
        <v>1412</v>
      </c>
      <c r="B1391">
        <v>0</v>
      </c>
      <c r="C1391">
        <v>0</v>
      </c>
      <c r="D1391">
        <v>18</v>
      </c>
      <c r="E1391">
        <v>0</v>
      </c>
      <c r="F1391">
        <v>1003</v>
      </c>
      <c r="G1391">
        <v>23</v>
      </c>
      <c r="H1391">
        <v>8</v>
      </c>
      <c r="I1391">
        <v>60</v>
      </c>
      <c r="J1391">
        <v>4</v>
      </c>
      <c r="K1391">
        <v>1</v>
      </c>
      <c r="L1391">
        <v>1</v>
      </c>
      <c r="M1391">
        <v>45</v>
      </c>
      <c r="N1391">
        <v>45.65</v>
      </c>
      <c r="O1391">
        <v>0</v>
      </c>
      <c r="P13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391" t="str">
        <f>IF(Table1[[#This Row],[Fraud_Score]]&gt;=6, "High Risk",IF(Table1[[#This Row],[Fraud_Score]]&gt;=3, "Medium Risk", "Low Risk"))</f>
        <v>Low Risk</v>
      </c>
      <c r="R1391">
        <f>IF(Table1[[#This Row],[Seconds of Use]]=0,0,Table1[[#This Row],[Customer Value]]/Table1[[#This Row],[Seconds of Use]]*100)</f>
        <v>4.5513459621136585</v>
      </c>
    </row>
    <row r="1392" spans="1:18" x14ac:dyDescent="0.35">
      <c r="A1392" s="3" t="s">
        <v>1413</v>
      </c>
      <c r="B1392">
        <v>0</v>
      </c>
      <c r="C1392">
        <v>0</v>
      </c>
      <c r="D1392">
        <v>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2</v>
      </c>
      <c r="K1392">
        <v>1</v>
      </c>
      <c r="L1392">
        <v>2</v>
      </c>
      <c r="M1392">
        <v>25</v>
      </c>
      <c r="N1392">
        <v>0</v>
      </c>
      <c r="O1392">
        <v>0</v>
      </c>
      <c r="P13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2" t="str">
        <f>IF(Table1[[#This Row],[Fraud_Score]]&gt;=6, "High Risk",IF(Table1[[#This Row],[Fraud_Score]]&gt;=3, "Medium Risk", "Low Risk"))</f>
        <v>Low Risk</v>
      </c>
      <c r="R1392">
        <f>IF(Table1[[#This Row],[Seconds of Use]]=0,0,Table1[[#This Row],[Customer Value]]/Table1[[#This Row],[Seconds of Use]]*100)</f>
        <v>0</v>
      </c>
    </row>
    <row r="1393" spans="1:18" x14ac:dyDescent="0.35">
      <c r="A1393" s="3" t="s">
        <v>1414</v>
      </c>
      <c r="B1393">
        <v>0</v>
      </c>
      <c r="C1393">
        <v>0</v>
      </c>
      <c r="D1393">
        <v>18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4</v>
      </c>
      <c r="K1393">
        <v>1</v>
      </c>
      <c r="L1393">
        <v>2</v>
      </c>
      <c r="M1393">
        <v>45</v>
      </c>
      <c r="N1393">
        <v>0</v>
      </c>
      <c r="O1393">
        <v>0</v>
      </c>
      <c r="P13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3" t="str">
        <f>IF(Table1[[#This Row],[Fraud_Score]]&gt;=6, "High Risk",IF(Table1[[#This Row],[Fraud_Score]]&gt;=3, "Medium Risk", "Low Risk"))</f>
        <v>Low Risk</v>
      </c>
      <c r="R1393">
        <f>IF(Table1[[#This Row],[Seconds of Use]]=0,0,Table1[[#This Row],[Customer Value]]/Table1[[#This Row],[Seconds of Use]]*100)</f>
        <v>0</v>
      </c>
    </row>
    <row r="1394" spans="1:18" x14ac:dyDescent="0.35">
      <c r="A1394" s="3" t="s">
        <v>1415</v>
      </c>
      <c r="B1394">
        <v>0</v>
      </c>
      <c r="C1394">
        <v>0</v>
      </c>
      <c r="D1394">
        <v>17</v>
      </c>
      <c r="E1394">
        <v>0</v>
      </c>
      <c r="F1394">
        <v>660</v>
      </c>
      <c r="G1394">
        <v>16</v>
      </c>
      <c r="H1394">
        <v>0</v>
      </c>
      <c r="I1394">
        <v>5</v>
      </c>
      <c r="J1394">
        <v>2</v>
      </c>
      <c r="K1394">
        <v>1</v>
      </c>
      <c r="L1394">
        <v>1</v>
      </c>
      <c r="M1394">
        <v>25</v>
      </c>
      <c r="N1394">
        <v>30.42</v>
      </c>
      <c r="O1394">
        <v>0</v>
      </c>
      <c r="P13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4" t="str">
        <f>IF(Table1[[#This Row],[Fraud_Score]]&gt;=6, "High Risk",IF(Table1[[#This Row],[Fraud_Score]]&gt;=3, "Medium Risk", "Low Risk"))</f>
        <v>Low Risk</v>
      </c>
      <c r="R1394">
        <f>IF(Table1[[#This Row],[Seconds of Use]]=0,0,Table1[[#This Row],[Customer Value]]/Table1[[#This Row],[Seconds of Use]]*100)</f>
        <v>4.6090909090909093</v>
      </c>
    </row>
    <row r="1395" spans="1:18" x14ac:dyDescent="0.35">
      <c r="A1395" s="3" t="s">
        <v>1416</v>
      </c>
      <c r="B1395">
        <v>0</v>
      </c>
      <c r="C1395">
        <v>0</v>
      </c>
      <c r="D1395">
        <v>17</v>
      </c>
      <c r="E1395">
        <v>0</v>
      </c>
      <c r="F1395">
        <v>2660</v>
      </c>
      <c r="G1395">
        <v>45</v>
      </c>
      <c r="H1395">
        <v>0</v>
      </c>
      <c r="I1395">
        <v>15</v>
      </c>
      <c r="J1395">
        <v>3</v>
      </c>
      <c r="K1395">
        <v>1</v>
      </c>
      <c r="L1395">
        <v>1</v>
      </c>
      <c r="M1395">
        <v>30</v>
      </c>
      <c r="N1395">
        <v>108.2</v>
      </c>
      <c r="O1395">
        <v>0</v>
      </c>
      <c r="P13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5" t="str">
        <f>IF(Table1[[#This Row],[Fraud_Score]]&gt;=6, "High Risk",IF(Table1[[#This Row],[Fraud_Score]]&gt;=3, "Medium Risk", "Low Risk"))</f>
        <v>Low Risk</v>
      </c>
      <c r="R1395">
        <f>IF(Table1[[#This Row],[Seconds of Use]]=0,0,Table1[[#This Row],[Customer Value]]/Table1[[#This Row],[Seconds of Use]]*100)</f>
        <v>4.0676691729323311</v>
      </c>
    </row>
    <row r="1396" spans="1:18" x14ac:dyDescent="0.35">
      <c r="A1396" s="3" t="s">
        <v>1417</v>
      </c>
      <c r="B1396">
        <v>0</v>
      </c>
      <c r="C1396">
        <v>0</v>
      </c>
      <c r="D1396">
        <v>10</v>
      </c>
      <c r="E1396">
        <v>0</v>
      </c>
      <c r="F1396">
        <v>1130</v>
      </c>
      <c r="G1396">
        <v>10</v>
      </c>
      <c r="H1396">
        <v>6</v>
      </c>
      <c r="I1396">
        <v>6</v>
      </c>
      <c r="J1396">
        <v>2</v>
      </c>
      <c r="K1396">
        <v>1</v>
      </c>
      <c r="L1396">
        <v>1</v>
      </c>
      <c r="M1396">
        <v>25</v>
      </c>
      <c r="N1396">
        <v>78.3</v>
      </c>
      <c r="O1396">
        <v>0</v>
      </c>
      <c r="P13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6" t="str">
        <f>IF(Table1[[#This Row],[Fraud_Score]]&gt;=6, "High Risk",IF(Table1[[#This Row],[Fraud_Score]]&gt;=3, "Medium Risk", "Low Risk"))</f>
        <v>Low Risk</v>
      </c>
      <c r="R1396">
        <f>IF(Table1[[#This Row],[Seconds of Use]]=0,0,Table1[[#This Row],[Customer Value]]/Table1[[#This Row],[Seconds of Use]]*100)</f>
        <v>6.9292035398230087</v>
      </c>
    </row>
    <row r="1397" spans="1:18" x14ac:dyDescent="0.35">
      <c r="A1397" s="3" t="s">
        <v>1418</v>
      </c>
      <c r="B1397">
        <v>6</v>
      </c>
      <c r="C1397">
        <v>0</v>
      </c>
      <c r="D1397">
        <v>9</v>
      </c>
      <c r="E1397">
        <v>0</v>
      </c>
      <c r="F1397">
        <v>5828</v>
      </c>
      <c r="G1397">
        <v>125</v>
      </c>
      <c r="H1397">
        <v>63</v>
      </c>
      <c r="I1397">
        <v>34</v>
      </c>
      <c r="J1397">
        <v>1</v>
      </c>
      <c r="K1397">
        <v>2</v>
      </c>
      <c r="L1397">
        <v>1</v>
      </c>
      <c r="M1397">
        <v>15</v>
      </c>
      <c r="N1397">
        <v>673.91499999999996</v>
      </c>
      <c r="O1397">
        <v>0</v>
      </c>
      <c r="P13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397" t="str">
        <f>IF(Table1[[#This Row],[Fraud_Score]]&gt;=6, "High Risk",IF(Table1[[#This Row],[Fraud_Score]]&gt;=3, "Medium Risk", "Low Risk"))</f>
        <v>Low Risk</v>
      </c>
      <c r="R1397">
        <f>IF(Table1[[#This Row],[Seconds of Use]]=0,0,Table1[[#This Row],[Customer Value]]/Table1[[#This Row],[Seconds of Use]]*100)</f>
        <v>11.563400823610158</v>
      </c>
    </row>
    <row r="1398" spans="1:18" x14ac:dyDescent="0.35">
      <c r="A1398" s="3" t="s">
        <v>1419</v>
      </c>
      <c r="B1398">
        <v>2</v>
      </c>
      <c r="C1398">
        <v>0</v>
      </c>
      <c r="D1398">
        <v>7</v>
      </c>
      <c r="E1398">
        <v>0</v>
      </c>
      <c r="F1398">
        <v>8368</v>
      </c>
      <c r="G1398">
        <v>155</v>
      </c>
      <c r="H1398">
        <v>51</v>
      </c>
      <c r="I1398">
        <v>32</v>
      </c>
      <c r="J1398">
        <v>4</v>
      </c>
      <c r="K1398">
        <v>1</v>
      </c>
      <c r="L1398">
        <v>1</v>
      </c>
      <c r="M1398">
        <v>45</v>
      </c>
      <c r="N1398">
        <v>340.57499999999999</v>
      </c>
      <c r="O1398">
        <v>0</v>
      </c>
      <c r="P13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398" t="str">
        <f>IF(Table1[[#This Row],[Fraud_Score]]&gt;=6, "High Risk",IF(Table1[[#This Row],[Fraud_Score]]&gt;=3, "Medium Risk", "Low Risk"))</f>
        <v>Medium Risk</v>
      </c>
      <c r="R1398">
        <f>IF(Table1[[#This Row],[Seconds of Use]]=0,0,Table1[[#This Row],[Customer Value]]/Table1[[#This Row],[Seconds of Use]]*100)</f>
        <v>4.0699689292543022</v>
      </c>
    </row>
    <row r="1399" spans="1:18" x14ac:dyDescent="0.35">
      <c r="A1399" s="3" t="s">
        <v>1420</v>
      </c>
      <c r="B1399">
        <v>0</v>
      </c>
      <c r="C1399">
        <v>0</v>
      </c>
      <c r="D1399">
        <v>8</v>
      </c>
      <c r="E1399">
        <v>1</v>
      </c>
      <c r="F1399">
        <v>2288</v>
      </c>
      <c r="G1399">
        <v>29</v>
      </c>
      <c r="H1399">
        <v>9</v>
      </c>
      <c r="I1399">
        <v>11</v>
      </c>
      <c r="J1399">
        <v>3</v>
      </c>
      <c r="K1399">
        <v>1</v>
      </c>
      <c r="L1399">
        <v>1</v>
      </c>
      <c r="M1399">
        <v>30</v>
      </c>
      <c r="N1399">
        <v>128.68</v>
      </c>
      <c r="O1399">
        <v>0</v>
      </c>
      <c r="P13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399" t="str">
        <f>IF(Table1[[#This Row],[Fraud_Score]]&gt;=6, "High Risk",IF(Table1[[#This Row],[Fraud_Score]]&gt;=3, "Medium Risk", "Low Risk"))</f>
        <v>Low Risk</v>
      </c>
      <c r="R1399">
        <f>IF(Table1[[#This Row],[Seconds of Use]]=0,0,Table1[[#This Row],[Customer Value]]/Table1[[#This Row],[Seconds of Use]]*100)</f>
        <v>5.6241258741258742</v>
      </c>
    </row>
    <row r="1400" spans="1:18" x14ac:dyDescent="0.35">
      <c r="A1400" s="3" t="s">
        <v>1421</v>
      </c>
      <c r="B1400">
        <v>0</v>
      </c>
      <c r="C1400">
        <v>0</v>
      </c>
      <c r="D1400">
        <v>3</v>
      </c>
      <c r="E1400">
        <v>0</v>
      </c>
      <c r="F1400">
        <v>3825</v>
      </c>
      <c r="G1400">
        <v>24</v>
      </c>
      <c r="H1400">
        <v>193</v>
      </c>
      <c r="I1400">
        <v>2</v>
      </c>
      <c r="J1400">
        <v>2</v>
      </c>
      <c r="K1400">
        <v>1</v>
      </c>
      <c r="L1400">
        <v>1</v>
      </c>
      <c r="M1400">
        <v>25</v>
      </c>
      <c r="N1400">
        <v>1041.7049999999999</v>
      </c>
      <c r="O1400">
        <v>0</v>
      </c>
      <c r="P14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0" t="str">
        <f>IF(Table1[[#This Row],[Fraud_Score]]&gt;=6, "High Risk",IF(Table1[[#This Row],[Fraud_Score]]&gt;=3, "Medium Risk", "Low Risk"))</f>
        <v>Low Risk</v>
      </c>
      <c r="R1400">
        <f>IF(Table1[[#This Row],[Seconds of Use]]=0,0,Table1[[#This Row],[Customer Value]]/Table1[[#This Row],[Seconds of Use]]*100)</f>
        <v>27.23411764705882</v>
      </c>
    </row>
    <row r="1401" spans="1:18" x14ac:dyDescent="0.35">
      <c r="A1401" s="3" t="s">
        <v>1422</v>
      </c>
      <c r="B1401">
        <v>0</v>
      </c>
      <c r="C1401">
        <v>0</v>
      </c>
      <c r="D1401">
        <v>3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</v>
      </c>
      <c r="K1401">
        <v>1</v>
      </c>
      <c r="L1401">
        <v>1</v>
      </c>
      <c r="M1401">
        <v>25</v>
      </c>
      <c r="N1401">
        <v>0</v>
      </c>
      <c r="O1401">
        <v>1</v>
      </c>
      <c r="P14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1" t="str">
        <f>IF(Table1[[#This Row],[Fraud_Score]]&gt;=6, "High Risk",IF(Table1[[#This Row],[Fraud_Score]]&gt;=3, "Medium Risk", "Low Risk"))</f>
        <v>Low Risk</v>
      </c>
      <c r="R1401">
        <f>IF(Table1[[#This Row],[Seconds of Use]]=0,0,Table1[[#This Row],[Customer Value]]/Table1[[#This Row],[Seconds of Use]]*100)</f>
        <v>0</v>
      </c>
    </row>
    <row r="1402" spans="1:18" x14ac:dyDescent="0.35">
      <c r="A1402" s="3" t="s">
        <v>1423</v>
      </c>
      <c r="B1402">
        <v>5</v>
      </c>
      <c r="C1402">
        <v>0</v>
      </c>
      <c r="D1402">
        <v>39</v>
      </c>
      <c r="E1402">
        <v>0</v>
      </c>
      <c r="F1402">
        <v>4245</v>
      </c>
      <c r="G1402">
        <v>73</v>
      </c>
      <c r="H1402">
        <v>9</v>
      </c>
      <c r="I1402">
        <v>20</v>
      </c>
      <c r="J1402">
        <v>2</v>
      </c>
      <c r="K1402">
        <v>1</v>
      </c>
      <c r="L1402">
        <v>1</v>
      </c>
      <c r="M1402">
        <v>25</v>
      </c>
      <c r="N1402">
        <v>234.81</v>
      </c>
      <c r="O1402">
        <v>0</v>
      </c>
      <c r="P14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2" t="str">
        <f>IF(Table1[[#This Row],[Fraud_Score]]&gt;=6, "High Risk",IF(Table1[[#This Row],[Fraud_Score]]&gt;=3, "Medium Risk", "Low Risk"))</f>
        <v>Low Risk</v>
      </c>
      <c r="R1402">
        <f>IF(Table1[[#This Row],[Seconds of Use]]=0,0,Table1[[#This Row],[Customer Value]]/Table1[[#This Row],[Seconds of Use]]*100)</f>
        <v>5.5314487632508831</v>
      </c>
    </row>
    <row r="1403" spans="1:18" x14ac:dyDescent="0.35">
      <c r="A1403" s="3" t="s">
        <v>1424</v>
      </c>
      <c r="B1403">
        <v>0</v>
      </c>
      <c r="C1403">
        <v>0</v>
      </c>
      <c r="D1403">
        <v>40</v>
      </c>
      <c r="E1403">
        <v>0</v>
      </c>
      <c r="F1403">
        <v>193</v>
      </c>
      <c r="G1403">
        <v>7</v>
      </c>
      <c r="H1403">
        <v>11</v>
      </c>
      <c r="I1403">
        <v>7</v>
      </c>
      <c r="J1403">
        <v>2</v>
      </c>
      <c r="K1403">
        <v>1</v>
      </c>
      <c r="L1403">
        <v>2</v>
      </c>
      <c r="M1403">
        <v>25</v>
      </c>
      <c r="N1403">
        <v>58.5</v>
      </c>
      <c r="O1403">
        <v>0</v>
      </c>
      <c r="P14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3" t="str">
        <f>IF(Table1[[#This Row],[Fraud_Score]]&gt;=6, "High Risk",IF(Table1[[#This Row],[Fraud_Score]]&gt;=3, "Medium Risk", "Low Risk"))</f>
        <v>Low Risk</v>
      </c>
      <c r="R1403">
        <f>IF(Table1[[#This Row],[Seconds of Use]]=0,0,Table1[[#This Row],[Customer Value]]/Table1[[#This Row],[Seconds of Use]]*100)</f>
        <v>30.310880829015545</v>
      </c>
    </row>
    <row r="1404" spans="1:18" x14ac:dyDescent="0.35">
      <c r="A1404" s="3" t="s">
        <v>1425</v>
      </c>
      <c r="B1404">
        <v>7</v>
      </c>
      <c r="C1404">
        <v>0</v>
      </c>
      <c r="D1404">
        <v>38</v>
      </c>
      <c r="E1404">
        <v>0</v>
      </c>
      <c r="F1404">
        <v>2328</v>
      </c>
      <c r="G1404">
        <v>62</v>
      </c>
      <c r="H1404">
        <v>363</v>
      </c>
      <c r="I1404">
        <v>27</v>
      </c>
      <c r="J1404">
        <v>2</v>
      </c>
      <c r="K1404">
        <v>1</v>
      </c>
      <c r="L1404">
        <v>1</v>
      </c>
      <c r="M1404">
        <v>25</v>
      </c>
      <c r="N1404">
        <v>1741.05</v>
      </c>
      <c r="O1404">
        <v>0</v>
      </c>
      <c r="P14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4" t="str">
        <f>IF(Table1[[#This Row],[Fraud_Score]]&gt;=6, "High Risk",IF(Table1[[#This Row],[Fraud_Score]]&gt;=3, "Medium Risk", "Low Risk"))</f>
        <v>Low Risk</v>
      </c>
      <c r="R1404">
        <f>IF(Table1[[#This Row],[Seconds of Use]]=0,0,Table1[[#This Row],[Customer Value]]/Table1[[#This Row],[Seconds of Use]]*100)</f>
        <v>74.787371134020617</v>
      </c>
    </row>
    <row r="1405" spans="1:18" x14ac:dyDescent="0.35">
      <c r="A1405" s="3" t="s">
        <v>1426</v>
      </c>
      <c r="B1405">
        <v>7</v>
      </c>
      <c r="C1405">
        <v>0</v>
      </c>
      <c r="D1405">
        <v>39</v>
      </c>
      <c r="E1405">
        <v>0</v>
      </c>
      <c r="F1405">
        <v>4073</v>
      </c>
      <c r="G1405">
        <v>68</v>
      </c>
      <c r="H1405">
        <v>5</v>
      </c>
      <c r="I1405">
        <v>38</v>
      </c>
      <c r="J1405">
        <v>1</v>
      </c>
      <c r="K1405">
        <v>1</v>
      </c>
      <c r="L1405">
        <v>1</v>
      </c>
      <c r="M1405">
        <v>15</v>
      </c>
      <c r="N1405">
        <v>255.255</v>
      </c>
      <c r="O1405">
        <v>0</v>
      </c>
      <c r="P14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5" t="str">
        <f>IF(Table1[[#This Row],[Fraud_Score]]&gt;=6, "High Risk",IF(Table1[[#This Row],[Fraud_Score]]&gt;=3, "Medium Risk", "Low Risk"))</f>
        <v>Low Risk</v>
      </c>
      <c r="R1405">
        <f>IF(Table1[[#This Row],[Seconds of Use]]=0,0,Table1[[#This Row],[Customer Value]]/Table1[[#This Row],[Seconds of Use]]*100)</f>
        <v>6.2670022096734597</v>
      </c>
    </row>
    <row r="1406" spans="1:18" x14ac:dyDescent="0.35">
      <c r="A1406" s="3" t="s">
        <v>1427</v>
      </c>
      <c r="B1406">
        <v>0</v>
      </c>
      <c r="C1406">
        <v>0</v>
      </c>
      <c r="D1406">
        <v>39</v>
      </c>
      <c r="E1406">
        <v>0</v>
      </c>
      <c r="F1406">
        <v>2268</v>
      </c>
      <c r="G1406">
        <v>60</v>
      </c>
      <c r="H1406">
        <v>6</v>
      </c>
      <c r="I1406">
        <v>36</v>
      </c>
      <c r="J1406">
        <v>1</v>
      </c>
      <c r="K1406">
        <v>1</v>
      </c>
      <c r="L1406">
        <v>1</v>
      </c>
      <c r="M1406">
        <v>15</v>
      </c>
      <c r="N1406">
        <v>161.04</v>
      </c>
      <c r="O1406">
        <v>0</v>
      </c>
      <c r="P14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6" t="str">
        <f>IF(Table1[[#This Row],[Fraud_Score]]&gt;=6, "High Risk",IF(Table1[[#This Row],[Fraud_Score]]&gt;=3, "Medium Risk", "Low Risk"))</f>
        <v>Low Risk</v>
      </c>
      <c r="R1406">
        <f>IF(Table1[[#This Row],[Seconds of Use]]=0,0,Table1[[#This Row],[Customer Value]]/Table1[[#This Row],[Seconds of Use]]*100)</f>
        <v>7.1005291005291005</v>
      </c>
    </row>
    <row r="1407" spans="1:18" x14ac:dyDescent="0.35">
      <c r="A1407" s="3" t="s">
        <v>1428</v>
      </c>
      <c r="B1407">
        <v>8</v>
      </c>
      <c r="C1407">
        <v>0</v>
      </c>
      <c r="D1407">
        <v>39</v>
      </c>
      <c r="E1407">
        <v>0</v>
      </c>
      <c r="F1407">
        <v>3650</v>
      </c>
      <c r="G1407">
        <v>84</v>
      </c>
      <c r="H1407">
        <v>36</v>
      </c>
      <c r="I1407">
        <v>31</v>
      </c>
      <c r="J1407">
        <v>2</v>
      </c>
      <c r="K1407">
        <v>1</v>
      </c>
      <c r="L1407">
        <v>1</v>
      </c>
      <c r="M1407">
        <v>25</v>
      </c>
      <c r="N1407">
        <v>330.03</v>
      </c>
      <c r="O1407">
        <v>0</v>
      </c>
      <c r="P14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7" t="str">
        <f>IF(Table1[[#This Row],[Fraud_Score]]&gt;=6, "High Risk",IF(Table1[[#This Row],[Fraud_Score]]&gt;=3, "Medium Risk", "Low Risk"))</f>
        <v>Low Risk</v>
      </c>
      <c r="R1407">
        <f>IF(Table1[[#This Row],[Seconds of Use]]=0,0,Table1[[#This Row],[Customer Value]]/Table1[[#This Row],[Seconds of Use]]*100)</f>
        <v>9.0419178082191767</v>
      </c>
    </row>
    <row r="1408" spans="1:18" x14ac:dyDescent="0.35">
      <c r="A1408" s="3" t="s">
        <v>1429</v>
      </c>
      <c r="B1408">
        <v>1</v>
      </c>
      <c r="C1408">
        <v>0</v>
      </c>
      <c r="D1408">
        <v>39</v>
      </c>
      <c r="E1408">
        <v>0</v>
      </c>
      <c r="F1408">
        <v>2235</v>
      </c>
      <c r="G1408">
        <v>41</v>
      </c>
      <c r="H1408">
        <v>289</v>
      </c>
      <c r="I1408">
        <v>21</v>
      </c>
      <c r="J1408">
        <v>3</v>
      </c>
      <c r="K1408">
        <v>1</v>
      </c>
      <c r="L1408">
        <v>1</v>
      </c>
      <c r="M1408">
        <v>30</v>
      </c>
      <c r="N1408">
        <v>1247.04</v>
      </c>
      <c r="O1408">
        <v>0</v>
      </c>
      <c r="P14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08" t="str">
        <f>IF(Table1[[#This Row],[Fraud_Score]]&gt;=6, "High Risk",IF(Table1[[#This Row],[Fraud_Score]]&gt;=3, "Medium Risk", "Low Risk"))</f>
        <v>Low Risk</v>
      </c>
      <c r="R1408">
        <f>IF(Table1[[#This Row],[Seconds of Use]]=0,0,Table1[[#This Row],[Customer Value]]/Table1[[#This Row],[Seconds of Use]]*100)</f>
        <v>55.795973154362407</v>
      </c>
    </row>
    <row r="1409" spans="1:18" x14ac:dyDescent="0.35">
      <c r="A1409" s="3" t="s">
        <v>1430</v>
      </c>
      <c r="B1409">
        <v>10</v>
      </c>
      <c r="C1409">
        <v>0</v>
      </c>
      <c r="D1409">
        <v>38</v>
      </c>
      <c r="E1409">
        <v>1</v>
      </c>
      <c r="F1409">
        <v>8990</v>
      </c>
      <c r="G1409">
        <v>123</v>
      </c>
      <c r="H1409">
        <v>148</v>
      </c>
      <c r="I1409">
        <v>46</v>
      </c>
      <c r="J1409">
        <v>3</v>
      </c>
      <c r="K1409">
        <v>1</v>
      </c>
      <c r="L1409">
        <v>1</v>
      </c>
      <c r="M1409">
        <v>30</v>
      </c>
      <c r="N1409">
        <v>956.52</v>
      </c>
      <c r="O1409">
        <v>0</v>
      </c>
      <c r="P14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409" t="str">
        <f>IF(Table1[[#This Row],[Fraud_Score]]&gt;=6, "High Risk",IF(Table1[[#This Row],[Fraud_Score]]&gt;=3, "Medium Risk", "Low Risk"))</f>
        <v>Low Risk</v>
      </c>
      <c r="R1409">
        <f>IF(Table1[[#This Row],[Seconds of Use]]=0,0,Table1[[#This Row],[Customer Value]]/Table1[[#This Row],[Seconds of Use]]*100)</f>
        <v>10.639822024471634</v>
      </c>
    </row>
    <row r="1410" spans="1:18" x14ac:dyDescent="0.35">
      <c r="A1410" s="3" t="s">
        <v>1431</v>
      </c>
      <c r="B1410">
        <v>4</v>
      </c>
      <c r="C1410">
        <v>0</v>
      </c>
      <c r="D1410">
        <v>39</v>
      </c>
      <c r="E1410">
        <v>0</v>
      </c>
      <c r="F1410">
        <v>13648</v>
      </c>
      <c r="G1410">
        <v>171</v>
      </c>
      <c r="H1410">
        <v>4</v>
      </c>
      <c r="I1410">
        <v>47</v>
      </c>
      <c r="J1410">
        <v>3</v>
      </c>
      <c r="K1410">
        <v>1</v>
      </c>
      <c r="L1410">
        <v>1</v>
      </c>
      <c r="M1410">
        <v>30</v>
      </c>
      <c r="N1410">
        <v>568.76</v>
      </c>
      <c r="O1410">
        <v>0</v>
      </c>
      <c r="P14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10" t="str">
        <f>IF(Table1[[#This Row],[Fraud_Score]]&gt;=6, "High Risk",IF(Table1[[#This Row],[Fraud_Score]]&gt;=3, "Medium Risk", "Low Risk"))</f>
        <v>Medium Risk</v>
      </c>
      <c r="R1410">
        <f>IF(Table1[[#This Row],[Seconds of Use]]=0,0,Table1[[#This Row],[Customer Value]]/Table1[[#This Row],[Seconds of Use]]*100)</f>
        <v>4.1673505275498242</v>
      </c>
    </row>
    <row r="1411" spans="1:18" x14ac:dyDescent="0.35">
      <c r="A1411" s="3" t="s">
        <v>1432</v>
      </c>
      <c r="B1411">
        <v>4</v>
      </c>
      <c r="C1411">
        <v>0</v>
      </c>
      <c r="D1411">
        <v>39</v>
      </c>
      <c r="E1411">
        <v>0</v>
      </c>
      <c r="F1411">
        <v>4390</v>
      </c>
      <c r="G1411">
        <v>85</v>
      </c>
      <c r="H1411">
        <v>6</v>
      </c>
      <c r="I1411">
        <v>28</v>
      </c>
      <c r="J1411">
        <v>3</v>
      </c>
      <c r="K1411">
        <v>1</v>
      </c>
      <c r="L1411">
        <v>1</v>
      </c>
      <c r="M1411">
        <v>30</v>
      </c>
      <c r="N1411">
        <v>203</v>
      </c>
      <c r="O1411">
        <v>0</v>
      </c>
      <c r="P14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11" t="str">
        <f>IF(Table1[[#This Row],[Fraud_Score]]&gt;=6, "High Risk",IF(Table1[[#This Row],[Fraud_Score]]&gt;=3, "Medium Risk", "Low Risk"))</f>
        <v>Low Risk</v>
      </c>
      <c r="R1411">
        <f>IF(Table1[[#This Row],[Seconds of Use]]=0,0,Table1[[#This Row],[Customer Value]]/Table1[[#This Row],[Seconds of Use]]*100)</f>
        <v>4.6241457858769932</v>
      </c>
    </row>
    <row r="1412" spans="1:18" x14ac:dyDescent="0.35">
      <c r="A1412" s="3" t="s">
        <v>1433</v>
      </c>
      <c r="B1412">
        <v>3</v>
      </c>
      <c r="C1412">
        <v>0</v>
      </c>
      <c r="D1412">
        <v>39</v>
      </c>
      <c r="E1412">
        <v>0</v>
      </c>
      <c r="F1412">
        <v>5793</v>
      </c>
      <c r="G1412">
        <v>97</v>
      </c>
      <c r="H1412">
        <v>11</v>
      </c>
      <c r="I1412">
        <v>15</v>
      </c>
      <c r="J1412">
        <v>2</v>
      </c>
      <c r="K1412">
        <v>1</v>
      </c>
      <c r="L1412">
        <v>1</v>
      </c>
      <c r="M1412">
        <v>25</v>
      </c>
      <c r="N1412">
        <v>314.55</v>
      </c>
      <c r="O1412">
        <v>0</v>
      </c>
      <c r="P14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12" t="str">
        <f>IF(Table1[[#This Row],[Fraud_Score]]&gt;=6, "High Risk",IF(Table1[[#This Row],[Fraud_Score]]&gt;=3, "Medium Risk", "Low Risk"))</f>
        <v>Low Risk</v>
      </c>
      <c r="R1412">
        <f>IF(Table1[[#This Row],[Seconds of Use]]=0,0,Table1[[#This Row],[Customer Value]]/Table1[[#This Row],[Seconds of Use]]*100)</f>
        <v>5.4298291040911444</v>
      </c>
    </row>
    <row r="1413" spans="1:18" x14ac:dyDescent="0.35">
      <c r="A1413" s="3" t="s">
        <v>1434</v>
      </c>
      <c r="B1413">
        <v>6</v>
      </c>
      <c r="C1413">
        <v>0</v>
      </c>
      <c r="D1413">
        <v>39</v>
      </c>
      <c r="E1413">
        <v>0</v>
      </c>
      <c r="F1413">
        <v>2113</v>
      </c>
      <c r="G1413">
        <v>56</v>
      </c>
      <c r="H1413">
        <v>12</v>
      </c>
      <c r="I1413">
        <v>20</v>
      </c>
      <c r="J1413">
        <v>3</v>
      </c>
      <c r="K1413">
        <v>1</v>
      </c>
      <c r="L1413">
        <v>2</v>
      </c>
      <c r="M1413">
        <v>30</v>
      </c>
      <c r="N1413">
        <v>134.76</v>
      </c>
      <c r="O1413">
        <v>0</v>
      </c>
      <c r="P14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13" t="str">
        <f>IF(Table1[[#This Row],[Fraud_Score]]&gt;=6, "High Risk",IF(Table1[[#This Row],[Fraud_Score]]&gt;=3, "Medium Risk", "Low Risk"))</f>
        <v>Low Risk</v>
      </c>
      <c r="R1413">
        <f>IF(Table1[[#This Row],[Seconds of Use]]=0,0,Table1[[#This Row],[Customer Value]]/Table1[[#This Row],[Seconds of Use]]*100)</f>
        <v>6.3776620918125886</v>
      </c>
    </row>
    <row r="1414" spans="1:18" x14ac:dyDescent="0.35">
      <c r="A1414" s="3" t="s">
        <v>1435</v>
      </c>
      <c r="B1414">
        <v>22</v>
      </c>
      <c r="C1414">
        <v>0</v>
      </c>
      <c r="D1414">
        <v>39</v>
      </c>
      <c r="E1414">
        <v>2</v>
      </c>
      <c r="F1414">
        <v>15015</v>
      </c>
      <c r="G1414">
        <v>227</v>
      </c>
      <c r="H1414">
        <v>58</v>
      </c>
      <c r="I1414">
        <v>35</v>
      </c>
      <c r="J1414">
        <v>3</v>
      </c>
      <c r="K1414">
        <v>1</v>
      </c>
      <c r="L1414">
        <v>1</v>
      </c>
      <c r="M1414">
        <v>30</v>
      </c>
      <c r="N1414">
        <v>841.68</v>
      </c>
      <c r="O1414">
        <v>0</v>
      </c>
      <c r="P14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414" t="str">
        <f>IF(Table1[[#This Row],[Fraud_Score]]&gt;=6, "High Risk",IF(Table1[[#This Row],[Fraud_Score]]&gt;=3, "Medium Risk", "Low Risk"))</f>
        <v>Medium Risk</v>
      </c>
      <c r="R1414">
        <f>IF(Table1[[#This Row],[Seconds of Use]]=0,0,Table1[[#This Row],[Customer Value]]/Table1[[#This Row],[Seconds of Use]]*100)</f>
        <v>5.6055944055944051</v>
      </c>
    </row>
    <row r="1415" spans="1:18" x14ac:dyDescent="0.35">
      <c r="A1415" s="3" t="s">
        <v>1436</v>
      </c>
      <c r="B1415">
        <v>1</v>
      </c>
      <c r="C1415">
        <v>0</v>
      </c>
      <c r="D1415">
        <v>39</v>
      </c>
      <c r="E1415">
        <v>0</v>
      </c>
      <c r="F1415">
        <v>2970</v>
      </c>
      <c r="G1415">
        <v>29</v>
      </c>
      <c r="H1415">
        <v>487</v>
      </c>
      <c r="I1415">
        <v>11</v>
      </c>
      <c r="J1415">
        <v>3</v>
      </c>
      <c r="K1415">
        <v>1</v>
      </c>
      <c r="L1415">
        <v>1</v>
      </c>
      <c r="M1415">
        <v>30</v>
      </c>
      <c r="N1415">
        <v>2067.96</v>
      </c>
      <c r="O1415">
        <v>0</v>
      </c>
      <c r="P14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15" t="str">
        <f>IF(Table1[[#This Row],[Fraud_Score]]&gt;=6, "High Risk",IF(Table1[[#This Row],[Fraud_Score]]&gt;=3, "Medium Risk", "Low Risk"))</f>
        <v>Low Risk</v>
      </c>
      <c r="R1415">
        <f>IF(Table1[[#This Row],[Seconds of Use]]=0,0,Table1[[#This Row],[Customer Value]]/Table1[[#This Row],[Seconds of Use]]*100)</f>
        <v>69.628282828282835</v>
      </c>
    </row>
    <row r="1416" spans="1:18" x14ac:dyDescent="0.35">
      <c r="A1416" s="3" t="s">
        <v>1437</v>
      </c>
      <c r="B1416">
        <v>6</v>
      </c>
      <c r="C1416">
        <v>0</v>
      </c>
      <c r="D1416">
        <v>38</v>
      </c>
      <c r="E1416">
        <v>0</v>
      </c>
      <c r="F1416">
        <v>15360</v>
      </c>
      <c r="G1416">
        <v>184</v>
      </c>
      <c r="H1416">
        <v>154</v>
      </c>
      <c r="I1416">
        <v>33</v>
      </c>
      <c r="J1416">
        <v>2</v>
      </c>
      <c r="K1416">
        <v>1</v>
      </c>
      <c r="L1416">
        <v>1</v>
      </c>
      <c r="M1416">
        <v>25</v>
      </c>
      <c r="N1416">
        <v>1392.48</v>
      </c>
      <c r="O1416">
        <v>0</v>
      </c>
      <c r="P14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16" t="str">
        <f>IF(Table1[[#This Row],[Fraud_Score]]&gt;=6, "High Risk",IF(Table1[[#This Row],[Fraud_Score]]&gt;=3, "Medium Risk", "Low Risk"))</f>
        <v>Medium Risk</v>
      </c>
      <c r="R1416">
        <f>IF(Table1[[#This Row],[Seconds of Use]]=0,0,Table1[[#This Row],[Customer Value]]/Table1[[#This Row],[Seconds of Use]]*100)</f>
        <v>9.0656250000000007</v>
      </c>
    </row>
    <row r="1417" spans="1:18" x14ac:dyDescent="0.35">
      <c r="A1417" s="3" t="s">
        <v>1438</v>
      </c>
      <c r="B1417">
        <v>0</v>
      </c>
      <c r="C1417">
        <v>0</v>
      </c>
      <c r="D1417">
        <v>38</v>
      </c>
      <c r="E1417">
        <v>0</v>
      </c>
      <c r="F1417">
        <v>6375</v>
      </c>
      <c r="G1417">
        <v>88</v>
      </c>
      <c r="H1417">
        <v>190</v>
      </c>
      <c r="I1417">
        <v>29</v>
      </c>
      <c r="J1417">
        <v>3</v>
      </c>
      <c r="K1417">
        <v>1</v>
      </c>
      <c r="L1417">
        <v>1</v>
      </c>
      <c r="M1417">
        <v>30</v>
      </c>
      <c r="N1417">
        <v>1018.52</v>
      </c>
      <c r="O1417">
        <v>0</v>
      </c>
      <c r="P14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17" t="str">
        <f>IF(Table1[[#This Row],[Fraud_Score]]&gt;=6, "High Risk",IF(Table1[[#This Row],[Fraud_Score]]&gt;=3, "Medium Risk", "Low Risk"))</f>
        <v>Low Risk</v>
      </c>
      <c r="R1417">
        <f>IF(Table1[[#This Row],[Seconds of Use]]=0,0,Table1[[#This Row],[Customer Value]]/Table1[[#This Row],[Seconds of Use]]*100)</f>
        <v>15.976784313725489</v>
      </c>
    </row>
    <row r="1418" spans="1:18" x14ac:dyDescent="0.35">
      <c r="A1418" s="3" t="s">
        <v>1439</v>
      </c>
      <c r="B1418">
        <v>0</v>
      </c>
      <c r="C1418">
        <v>0</v>
      </c>
      <c r="D1418">
        <v>38</v>
      </c>
      <c r="E1418">
        <v>0</v>
      </c>
      <c r="F1418">
        <v>750</v>
      </c>
      <c r="G1418">
        <v>16</v>
      </c>
      <c r="H1418">
        <v>4</v>
      </c>
      <c r="I1418">
        <v>14</v>
      </c>
      <c r="J1418">
        <v>2</v>
      </c>
      <c r="K1418">
        <v>1</v>
      </c>
      <c r="L1418">
        <v>2</v>
      </c>
      <c r="M1418">
        <v>25</v>
      </c>
      <c r="N1418">
        <v>52.47</v>
      </c>
      <c r="O1418">
        <v>0</v>
      </c>
      <c r="P14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18" t="str">
        <f>IF(Table1[[#This Row],[Fraud_Score]]&gt;=6, "High Risk",IF(Table1[[#This Row],[Fraud_Score]]&gt;=3, "Medium Risk", "Low Risk"))</f>
        <v>Low Risk</v>
      </c>
      <c r="R1418">
        <f>IF(Table1[[#This Row],[Seconds of Use]]=0,0,Table1[[#This Row],[Customer Value]]/Table1[[#This Row],[Seconds of Use]]*100)</f>
        <v>6.9959999999999996</v>
      </c>
    </row>
    <row r="1419" spans="1:18" x14ac:dyDescent="0.35">
      <c r="A1419" s="3" t="s">
        <v>1440</v>
      </c>
      <c r="B1419">
        <v>0</v>
      </c>
      <c r="C1419">
        <v>0</v>
      </c>
      <c r="D1419">
        <v>39</v>
      </c>
      <c r="E1419">
        <v>0</v>
      </c>
      <c r="F1419">
        <v>585</v>
      </c>
      <c r="G1419">
        <v>16</v>
      </c>
      <c r="H1419">
        <v>17</v>
      </c>
      <c r="I1419">
        <v>11</v>
      </c>
      <c r="J1419">
        <v>2</v>
      </c>
      <c r="K1419">
        <v>1</v>
      </c>
      <c r="L1419">
        <v>2</v>
      </c>
      <c r="M1419">
        <v>25</v>
      </c>
      <c r="N1419">
        <v>103.545</v>
      </c>
      <c r="O1419">
        <v>0</v>
      </c>
      <c r="P14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19" t="str">
        <f>IF(Table1[[#This Row],[Fraud_Score]]&gt;=6, "High Risk",IF(Table1[[#This Row],[Fraud_Score]]&gt;=3, "Medium Risk", "Low Risk"))</f>
        <v>Low Risk</v>
      </c>
      <c r="R1419">
        <f>IF(Table1[[#This Row],[Seconds of Use]]=0,0,Table1[[#This Row],[Customer Value]]/Table1[[#This Row],[Seconds of Use]]*100)</f>
        <v>17.7</v>
      </c>
    </row>
    <row r="1420" spans="1:18" x14ac:dyDescent="0.35">
      <c r="A1420" s="3" t="s">
        <v>1441</v>
      </c>
      <c r="B1420">
        <v>0</v>
      </c>
      <c r="C1420">
        <v>0</v>
      </c>
      <c r="D1420">
        <v>38</v>
      </c>
      <c r="E1420">
        <v>0</v>
      </c>
      <c r="F1420">
        <v>0</v>
      </c>
      <c r="G1420">
        <v>0</v>
      </c>
      <c r="H1420">
        <v>4</v>
      </c>
      <c r="I1420">
        <v>0</v>
      </c>
      <c r="J1420">
        <v>2</v>
      </c>
      <c r="K1420">
        <v>1</v>
      </c>
      <c r="L1420">
        <v>2</v>
      </c>
      <c r="M1420">
        <v>25</v>
      </c>
      <c r="N1420">
        <v>18</v>
      </c>
      <c r="O1420">
        <v>1</v>
      </c>
      <c r="P14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20" t="str">
        <f>IF(Table1[[#This Row],[Fraud_Score]]&gt;=6, "High Risk",IF(Table1[[#This Row],[Fraud_Score]]&gt;=3, "Medium Risk", "Low Risk"))</f>
        <v>Low Risk</v>
      </c>
      <c r="R1420">
        <f>IF(Table1[[#This Row],[Seconds of Use]]=0,0,Table1[[#This Row],[Customer Value]]/Table1[[#This Row],[Seconds of Use]]*100)</f>
        <v>0</v>
      </c>
    </row>
    <row r="1421" spans="1:18" x14ac:dyDescent="0.35">
      <c r="A1421" s="3" t="s">
        <v>1442</v>
      </c>
      <c r="B1421">
        <v>0</v>
      </c>
      <c r="C1421">
        <v>0</v>
      </c>
      <c r="D1421">
        <v>38</v>
      </c>
      <c r="E1421">
        <v>0</v>
      </c>
      <c r="F1421">
        <v>7383</v>
      </c>
      <c r="G1421">
        <v>129</v>
      </c>
      <c r="H1421">
        <v>388</v>
      </c>
      <c r="I1421">
        <v>46</v>
      </c>
      <c r="J1421">
        <v>2</v>
      </c>
      <c r="K1421">
        <v>1</v>
      </c>
      <c r="L1421">
        <v>1</v>
      </c>
      <c r="M1421">
        <v>25</v>
      </c>
      <c r="N1421">
        <v>2084.04</v>
      </c>
      <c r="O1421">
        <v>0</v>
      </c>
      <c r="P14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21" t="str">
        <f>IF(Table1[[#This Row],[Fraud_Score]]&gt;=6, "High Risk",IF(Table1[[#This Row],[Fraud_Score]]&gt;=3, "Medium Risk", "Low Risk"))</f>
        <v>Low Risk</v>
      </c>
      <c r="R1421">
        <f>IF(Table1[[#This Row],[Seconds of Use]]=0,0,Table1[[#This Row],[Customer Value]]/Table1[[#This Row],[Seconds of Use]]*100)</f>
        <v>28.227549776513612</v>
      </c>
    </row>
    <row r="1422" spans="1:18" x14ac:dyDescent="0.35">
      <c r="A1422" s="3" t="s">
        <v>1443</v>
      </c>
      <c r="B1422">
        <v>4</v>
      </c>
      <c r="C1422">
        <v>0</v>
      </c>
      <c r="D1422">
        <v>38</v>
      </c>
      <c r="E1422">
        <v>0</v>
      </c>
      <c r="F1422">
        <v>11340</v>
      </c>
      <c r="G1422">
        <v>156</v>
      </c>
      <c r="H1422">
        <v>15</v>
      </c>
      <c r="I1422">
        <v>50</v>
      </c>
      <c r="J1422">
        <v>3</v>
      </c>
      <c r="K1422">
        <v>1</v>
      </c>
      <c r="L1422">
        <v>1</v>
      </c>
      <c r="M1422">
        <v>30</v>
      </c>
      <c r="N1422">
        <v>519.84</v>
      </c>
      <c r="O1422">
        <v>0</v>
      </c>
      <c r="P14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422" t="str">
        <f>IF(Table1[[#This Row],[Fraud_Score]]&gt;=6, "High Risk",IF(Table1[[#This Row],[Fraud_Score]]&gt;=3, "Medium Risk", "Low Risk"))</f>
        <v>Medium Risk</v>
      </c>
      <c r="R1422">
        <f>IF(Table1[[#This Row],[Seconds of Use]]=0,0,Table1[[#This Row],[Customer Value]]/Table1[[#This Row],[Seconds of Use]]*100)</f>
        <v>4.5841269841269838</v>
      </c>
    </row>
    <row r="1423" spans="1:18" x14ac:dyDescent="0.35">
      <c r="A1423" s="3" t="s">
        <v>1444</v>
      </c>
      <c r="B1423">
        <v>5</v>
      </c>
      <c r="C1423">
        <v>0</v>
      </c>
      <c r="D1423">
        <v>38</v>
      </c>
      <c r="E1423">
        <v>0</v>
      </c>
      <c r="F1423">
        <v>6593</v>
      </c>
      <c r="G1423">
        <v>77</v>
      </c>
      <c r="H1423">
        <v>112</v>
      </c>
      <c r="I1423">
        <v>40</v>
      </c>
      <c r="J1423">
        <v>2</v>
      </c>
      <c r="K1423">
        <v>1</v>
      </c>
      <c r="L1423">
        <v>1</v>
      </c>
      <c r="M1423">
        <v>25</v>
      </c>
      <c r="N1423">
        <v>804.15</v>
      </c>
      <c r="O1423">
        <v>0</v>
      </c>
      <c r="P14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23" t="str">
        <f>IF(Table1[[#This Row],[Fraud_Score]]&gt;=6, "High Risk",IF(Table1[[#This Row],[Fraud_Score]]&gt;=3, "Medium Risk", "Low Risk"))</f>
        <v>Low Risk</v>
      </c>
      <c r="R1423">
        <f>IF(Table1[[#This Row],[Seconds of Use]]=0,0,Table1[[#This Row],[Customer Value]]/Table1[[#This Row],[Seconds of Use]]*100)</f>
        <v>12.197027150007584</v>
      </c>
    </row>
    <row r="1424" spans="1:18" x14ac:dyDescent="0.35">
      <c r="A1424" s="3" t="s">
        <v>1445</v>
      </c>
      <c r="B1424">
        <v>20</v>
      </c>
      <c r="C1424">
        <v>1</v>
      </c>
      <c r="D1424">
        <v>34</v>
      </c>
      <c r="E1424">
        <v>0</v>
      </c>
      <c r="F1424">
        <v>830</v>
      </c>
      <c r="G1424">
        <v>49</v>
      </c>
      <c r="H1424">
        <v>20</v>
      </c>
      <c r="I1424">
        <v>20</v>
      </c>
      <c r="J1424">
        <v>2</v>
      </c>
      <c r="K1424">
        <v>1</v>
      </c>
      <c r="L1424">
        <v>2</v>
      </c>
      <c r="M1424">
        <v>25</v>
      </c>
      <c r="N1424">
        <v>129.55500000000001</v>
      </c>
      <c r="O1424">
        <v>1</v>
      </c>
      <c r="P14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424" t="str">
        <f>IF(Table1[[#This Row],[Fraud_Score]]&gt;=6, "High Risk",IF(Table1[[#This Row],[Fraud_Score]]&gt;=3, "Medium Risk", "Low Risk"))</f>
        <v>Medium Risk</v>
      </c>
      <c r="R1424">
        <f>IF(Table1[[#This Row],[Seconds of Use]]=0,0,Table1[[#This Row],[Customer Value]]/Table1[[#This Row],[Seconds of Use]]*100)</f>
        <v>15.609036144578315</v>
      </c>
    </row>
    <row r="1425" spans="1:18" x14ac:dyDescent="0.35">
      <c r="A1425" s="3" t="s">
        <v>1446</v>
      </c>
      <c r="B1425">
        <v>18</v>
      </c>
      <c r="C1425">
        <v>0</v>
      </c>
      <c r="D1425">
        <v>37</v>
      </c>
      <c r="E1425">
        <v>7</v>
      </c>
      <c r="F1425">
        <v>10310</v>
      </c>
      <c r="G1425">
        <v>95</v>
      </c>
      <c r="H1425">
        <v>5</v>
      </c>
      <c r="I1425">
        <v>45</v>
      </c>
      <c r="J1425">
        <v>4</v>
      </c>
      <c r="K1425">
        <v>2</v>
      </c>
      <c r="L1425">
        <v>1</v>
      </c>
      <c r="M1425">
        <v>45</v>
      </c>
      <c r="N1425">
        <v>272.625</v>
      </c>
      <c r="O1425">
        <v>0</v>
      </c>
      <c r="P14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425" t="str">
        <f>IF(Table1[[#This Row],[Fraud_Score]]&gt;=6, "High Risk",IF(Table1[[#This Row],[Fraud_Score]]&gt;=3, "Medium Risk", "Low Risk"))</f>
        <v>Low Risk</v>
      </c>
      <c r="R1425">
        <f>IF(Table1[[#This Row],[Seconds of Use]]=0,0,Table1[[#This Row],[Customer Value]]/Table1[[#This Row],[Seconds of Use]]*100)</f>
        <v>2.6442774005819594</v>
      </c>
    </row>
    <row r="1426" spans="1:18" x14ac:dyDescent="0.35">
      <c r="A1426" s="3" t="s">
        <v>1447</v>
      </c>
      <c r="B1426">
        <v>10</v>
      </c>
      <c r="C1426">
        <v>0</v>
      </c>
      <c r="D1426">
        <v>37</v>
      </c>
      <c r="E1426">
        <v>0</v>
      </c>
      <c r="F1426">
        <v>5693</v>
      </c>
      <c r="G1426">
        <v>100</v>
      </c>
      <c r="H1426">
        <v>30</v>
      </c>
      <c r="I1426">
        <v>27</v>
      </c>
      <c r="J1426">
        <v>2</v>
      </c>
      <c r="K1426">
        <v>1</v>
      </c>
      <c r="L1426">
        <v>1</v>
      </c>
      <c r="M1426">
        <v>25</v>
      </c>
      <c r="N1426">
        <v>395.685</v>
      </c>
      <c r="O1426">
        <v>1</v>
      </c>
      <c r="P14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26" t="str">
        <f>IF(Table1[[#This Row],[Fraud_Score]]&gt;=6, "High Risk",IF(Table1[[#This Row],[Fraud_Score]]&gt;=3, "Medium Risk", "Low Risk"))</f>
        <v>Low Risk</v>
      </c>
      <c r="R1426">
        <f>IF(Table1[[#This Row],[Seconds of Use]]=0,0,Table1[[#This Row],[Customer Value]]/Table1[[#This Row],[Seconds of Use]]*100)</f>
        <v>6.9503776567714741</v>
      </c>
    </row>
    <row r="1427" spans="1:18" x14ac:dyDescent="0.35">
      <c r="A1427" s="3" t="s">
        <v>1448</v>
      </c>
      <c r="B1427">
        <v>0</v>
      </c>
      <c r="C1427">
        <v>0</v>
      </c>
      <c r="D1427">
        <v>35</v>
      </c>
      <c r="E1427">
        <v>0</v>
      </c>
      <c r="F1427">
        <v>2715</v>
      </c>
      <c r="G1427">
        <v>24</v>
      </c>
      <c r="H1427">
        <v>4</v>
      </c>
      <c r="I1427">
        <v>17</v>
      </c>
      <c r="J1427">
        <v>3</v>
      </c>
      <c r="K1427">
        <v>1</v>
      </c>
      <c r="L1427">
        <v>1</v>
      </c>
      <c r="M1427">
        <v>30</v>
      </c>
      <c r="N1427">
        <v>125.56</v>
      </c>
      <c r="O1427">
        <v>0</v>
      </c>
      <c r="P14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27" t="str">
        <f>IF(Table1[[#This Row],[Fraud_Score]]&gt;=6, "High Risk",IF(Table1[[#This Row],[Fraud_Score]]&gt;=3, "Medium Risk", "Low Risk"))</f>
        <v>Low Risk</v>
      </c>
      <c r="R1427">
        <f>IF(Table1[[#This Row],[Seconds of Use]]=0,0,Table1[[#This Row],[Customer Value]]/Table1[[#This Row],[Seconds of Use]]*100)</f>
        <v>4.6246777163904236</v>
      </c>
    </row>
    <row r="1428" spans="1:18" x14ac:dyDescent="0.35">
      <c r="A1428" s="3" t="s">
        <v>1449</v>
      </c>
      <c r="B1428">
        <v>6</v>
      </c>
      <c r="C1428">
        <v>1</v>
      </c>
      <c r="D1428">
        <v>36</v>
      </c>
      <c r="E1428">
        <v>0</v>
      </c>
      <c r="F1428">
        <v>2865</v>
      </c>
      <c r="G1428">
        <v>43</v>
      </c>
      <c r="H1428">
        <v>13</v>
      </c>
      <c r="I1428">
        <v>19</v>
      </c>
      <c r="J1428">
        <v>2</v>
      </c>
      <c r="K1428">
        <v>1</v>
      </c>
      <c r="L1428">
        <v>2</v>
      </c>
      <c r="M1428">
        <v>25</v>
      </c>
      <c r="N1428">
        <v>189.36</v>
      </c>
      <c r="O1428">
        <v>1</v>
      </c>
      <c r="P14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28" t="str">
        <f>IF(Table1[[#This Row],[Fraud_Score]]&gt;=6, "High Risk",IF(Table1[[#This Row],[Fraud_Score]]&gt;=3, "Medium Risk", "Low Risk"))</f>
        <v>Medium Risk</v>
      </c>
      <c r="R1428">
        <f>IF(Table1[[#This Row],[Seconds of Use]]=0,0,Table1[[#This Row],[Customer Value]]/Table1[[#This Row],[Seconds of Use]]*100)</f>
        <v>6.6094240837696345</v>
      </c>
    </row>
    <row r="1429" spans="1:18" x14ac:dyDescent="0.35">
      <c r="A1429" s="3" t="s">
        <v>1450</v>
      </c>
      <c r="B1429">
        <v>6</v>
      </c>
      <c r="C1429">
        <v>1</v>
      </c>
      <c r="D1429">
        <v>37</v>
      </c>
      <c r="E1429">
        <v>0</v>
      </c>
      <c r="F1429">
        <v>2143</v>
      </c>
      <c r="G1429">
        <v>46</v>
      </c>
      <c r="H1429">
        <v>38</v>
      </c>
      <c r="I1429">
        <v>34</v>
      </c>
      <c r="J1429">
        <v>3</v>
      </c>
      <c r="K1429">
        <v>1</v>
      </c>
      <c r="L1429">
        <v>2</v>
      </c>
      <c r="M1429">
        <v>30</v>
      </c>
      <c r="N1429">
        <v>239.56</v>
      </c>
      <c r="O1429">
        <v>1</v>
      </c>
      <c r="P14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29" t="str">
        <f>IF(Table1[[#This Row],[Fraud_Score]]&gt;=6, "High Risk",IF(Table1[[#This Row],[Fraud_Score]]&gt;=3, "Medium Risk", "Low Risk"))</f>
        <v>Medium Risk</v>
      </c>
      <c r="R1429">
        <f>IF(Table1[[#This Row],[Seconds of Use]]=0,0,Table1[[#This Row],[Customer Value]]/Table1[[#This Row],[Seconds of Use]]*100)</f>
        <v>11.178721418572096</v>
      </c>
    </row>
    <row r="1430" spans="1:18" x14ac:dyDescent="0.35">
      <c r="A1430" s="3" t="s">
        <v>1451</v>
      </c>
      <c r="B1430">
        <v>0</v>
      </c>
      <c r="C1430">
        <v>0</v>
      </c>
      <c r="D1430">
        <v>37</v>
      </c>
      <c r="E1430">
        <v>0</v>
      </c>
      <c r="F1430">
        <v>8</v>
      </c>
      <c r="G1430">
        <v>4</v>
      </c>
      <c r="H1430">
        <v>4</v>
      </c>
      <c r="I1430">
        <v>5</v>
      </c>
      <c r="J1430">
        <v>3</v>
      </c>
      <c r="K1430">
        <v>1</v>
      </c>
      <c r="L1430">
        <v>2</v>
      </c>
      <c r="M1430">
        <v>30</v>
      </c>
      <c r="N1430">
        <v>16.48</v>
      </c>
      <c r="O1430">
        <v>1</v>
      </c>
      <c r="P14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30" t="str">
        <f>IF(Table1[[#This Row],[Fraud_Score]]&gt;=6, "High Risk",IF(Table1[[#This Row],[Fraud_Score]]&gt;=3, "Medium Risk", "Low Risk"))</f>
        <v>Low Risk</v>
      </c>
      <c r="R1430">
        <f>IF(Table1[[#This Row],[Seconds of Use]]=0,0,Table1[[#This Row],[Customer Value]]/Table1[[#This Row],[Seconds of Use]]*100)</f>
        <v>206</v>
      </c>
    </row>
    <row r="1431" spans="1:18" x14ac:dyDescent="0.35">
      <c r="A1431" s="3" t="s">
        <v>1452</v>
      </c>
      <c r="B1431">
        <v>0</v>
      </c>
      <c r="C1431">
        <v>0</v>
      </c>
      <c r="D1431">
        <v>37</v>
      </c>
      <c r="E1431">
        <v>0</v>
      </c>
      <c r="F1431">
        <v>1543</v>
      </c>
      <c r="G1431">
        <v>27</v>
      </c>
      <c r="H1431">
        <v>4</v>
      </c>
      <c r="I1431">
        <v>9</v>
      </c>
      <c r="J1431">
        <v>3</v>
      </c>
      <c r="K1431">
        <v>1</v>
      </c>
      <c r="L1431">
        <v>1</v>
      </c>
      <c r="M1431">
        <v>30</v>
      </c>
      <c r="N1431">
        <v>78.8</v>
      </c>
      <c r="O1431">
        <v>0</v>
      </c>
      <c r="P14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31" t="str">
        <f>IF(Table1[[#This Row],[Fraud_Score]]&gt;=6, "High Risk",IF(Table1[[#This Row],[Fraud_Score]]&gt;=3, "Medium Risk", "Low Risk"))</f>
        <v>Low Risk</v>
      </c>
      <c r="R1431">
        <f>IF(Table1[[#This Row],[Seconds of Use]]=0,0,Table1[[#This Row],[Customer Value]]/Table1[[#This Row],[Seconds of Use]]*100)</f>
        <v>5.1069345430978608</v>
      </c>
    </row>
    <row r="1432" spans="1:18" x14ac:dyDescent="0.35">
      <c r="A1432" s="3" t="s">
        <v>1453</v>
      </c>
      <c r="B1432">
        <v>0</v>
      </c>
      <c r="C1432">
        <v>0</v>
      </c>
      <c r="D1432">
        <v>34</v>
      </c>
      <c r="E1432">
        <v>0</v>
      </c>
      <c r="F1432">
        <v>6660</v>
      </c>
      <c r="G1432">
        <v>99</v>
      </c>
      <c r="H1432">
        <v>18</v>
      </c>
      <c r="I1432">
        <v>25</v>
      </c>
      <c r="J1432">
        <v>4</v>
      </c>
      <c r="K1432">
        <v>1</v>
      </c>
      <c r="L1432">
        <v>1</v>
      </c>
      <c r="M1432">
        <v>45</v>
      </c>
      <c r="N1432">
        <v>213.97499999999999</v>
      </c>
      <c r="O1432">
        <v>0</v>
      </c>
      <c r="P14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32" t="str">
        <f>IF(Table1[[#This Row],[Fraud_Score]]&gt;=6, "High Risk",IF(Table1[[#This Row],[Fraud_Score]]&gt;=3, "Medium Risk", "Low Risk"))</f>
        <v>Low Risk</v>
      </c>
      <c r="R1432">
        <f>IF(Table1[[#This Row],[Seconds of Use]]=0,0,Table1[[#This Row],[Customer Value]]/Table1[[#This Row],[Seconds of Use]]*100)</f>
        <v>3.2128378378378377</v>
      </c>
    </row>
    <row r="1433" spans="1:18" x14ac:dyDescent="0.35">
      <c r="A1433" s="3" t="s">
        <v>1454</v>
      </c>
      <c r="B1433">
        <v>0</v>
      </c>
      <c r="C1433">
        <v>1</v>
      </c>
      <c r="D1433">
        <v>37</v>
      </c>
      <c r="E1433">
        <v>0</v>
      </c>
      <c r="F1433">
        <v>503</v>
      </c>
      <c r="G1433">
        <v>9</v>
      </c>
      <c r="H1433">
        <v>13</v>
      </c>
      <c r="I1433">
        <v>7</v>
      </c>
      <c r="J1433">
        <v>4</v>
      </c>
      <c r="K1433">
        <v>1</v>
      </c>
      <c r="L1433">
        <v>2</v>
      </c>
      <c r="M1433">
        <v>45</v>
      </c>
      <c r="N1433">
        <v>45.3</v>
      </c>
      <c r="O1433">
        <v>1</v>
      </c>
      <c r="P14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33" t="str">
        <f>IF(Table1[[#This Row],[Fraud_Score]]&gt;=6, "High Risk",IF(Table1[[#This Row],[Fraud_Score]]&gt;=3, "Medium Risk", "Low Risk"))</f>
        <v>Medium Risk</v>
      </c>
      <c r="R1433">
        <f>IF(Table1[[#This Row],[Seconds of Use]]=0,0,Table1[[#This Row],[Customer Value]]/Table1[[#This Row],[Seconds of Use]]*100)</f>
        <v>9.005964214711728</v>
      </c>
    </row>
    <row r="1434" spans="1:18" x14ac:dyDescent="0.35">
      <c r="A1434" s="3" t="s">
        <v>1455</v>
      </c>
      <c r="B1434">
        <v>0</v>
      </c>
      <c r="C1434">
        <v>0</v>
      </c>
      <c r="D1434">
        <v>37</v>
      </c>
      <c r="E1434">
        <v>0</v>
      </c>
      <c r="F1434">
        <v>213</v>
      </c>
      <c r="G1434">
        <v>6</v>
      </c>
      <c r="H1434">
        <v>8</v>
      </c>
      <c r="I1434">
        <v>5</v>
      </c>
      <c r="J1434">
        <v>5</v>
      </c>
      <c r="K1434">
        <v>1</v>
      </c>
      <c r="L1434">
        <v>1</v>
      </c>
      <c r="M1434">
        <v>55</v>
      </c>
      <c r="N1434">
        <v>15.285</v>
      </c>
      <c r="O1434">
        <v>0</v>
      </c>
      <c r="P14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34" t="str">
        <f>IF(Table1[[#This Row],[Fraud_Score]]&gt;=6, "High Risk",IF(Table1[[#This Row],[Fraud_Score]]&gt;=3, "Medium Risk", "Low Risk"))</f>
        <v>Low Risk</v>
      </c>
      <c r="R1434">
        <f>IF(Table1[[#This Row],[Seconds of Use]]=0,0,Table1[[#This Row],[Customer Value]]/Table1[[#This Row],[Seconds of Use]]*100)</f>
        <v>7.1760563380281699</v>
      </c>
    </row>
    <row r="1435" spans="1:18" x14ac:dyDescent="0.35">
      <c r="A1435" s="3" t="s">
        <v>1456</v>
      </c>
      <c r="B1435">
        <v>22</v>
      </c>
      <c r="C1435">
        <v>0</v>
      </c>
      <c r="D1435">
        <v>32</v>
      </c>
      <c r="E1435">
        <v>2</v>
      </c>
      <c r="F1435">
        <v>15950</v>
      </c>
      <c r="G1435">
        <v>240</v>
      </c>
      <c r="H1435">
        <v>4</v>
      </c>
      <c r="I1435">
        <v>83</v>
      </c>
      <c r="J1435">
        <v>2</v>
      </c>
      <c r="K1435">
        <v>1</v>
      </c>
      <c r="L1435">
        <v>1</v>
      </c>
      <c r="M1435">
        <v>25</v>
      </c>
      <c r="N1435">
        <v>746.55</v>
      </c>
      <c r="O1435">
        <v>0</v>
      </c>
      <c r="P14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435" t="str">
        <f>IF(Table1[[#This Row],[Fraud_Score]]&gt;=6, "High Risk",IF(Table1[[#This Row],[Fraud_Score]]&gt;=3, "Medium Risk", "Low Risk"))</f>
        <v>Medium Risk</v>
      </c>
      <c r="R1435">
        <f>IF(Table1[[#This Row],[Seconds of Use]]=0,0,Table1[[#This Row],[Customer Value]]/Table1[[#This Row],[Seconds of Use]]*100)</f>
        <v>4.6805642633228839</v>
      </c>
    </row>
    <row r="1436" spans="1:18" x14ac:dyDescent="0.35">
      <c r="A1436" s="3" t="s">
        <v>1457</v>
      </c>
      <c r="B1436">
        <v>3</v>
      </c>
      <c r="C1436">
        <v>0</v>
      </c>
      <c r="D1436">
        <v>35</v>
      </c>
      <c r="E1436">
        <v>2</v>
      </c>
      <c r="F1436">
        <v>6840</v>
      </c>
      <c r="G1436">
        <v>118</v>
      </c>
      <c r="H1436">
        <v>275</v>
      </c>
      <c r="I1436">
        <v>36</v>
      </c>
      <c r="J1436">
        <v>2</v>
      </c>
      <c r="K1436">
        <v>2</v>
      </c>
      <c r="L1436">
        <v>1</v>
      </c>
      <c r="M1436">
        <v>25</v>
      </c>
      <c r="N1436">
        <v>1550.61</v>
      </c>
      <c r="O1436">
        <v>0</v>
      </c>
      <c r="P14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436" t="str">
        <f>IF(Table1[[#This Row],[Fraud_Score]]&gt;=6, "High Risk",IF(Table1[[#This Row],[Fraud_Score]]&gt;=3, "Medium Risk", "Low Risk"))</f>
        <v>Low Risk</v>
      </c>
      <c r="R1436">
        <f>IF(Table1[[#This Row],[Seconds of Use]]=0,0,Table1[[#This Row],[Customer Value]]/Table1[[#This Row],[Seconds of Use]]*100)</f>
        <v>22.669736842105262</v>
      </c>
    </row>
    <row r="1437" spans="1:18" x14ac:dyDescent="0.35">
      <c r="A1437" s="3" t="s">
        <v>1458</v>
      </c>
      <c r="B1437">
        <v>0</v>
      </c>
      <c r="C1437">
        <v>0</v>
      </c>
      <c r="D1437">
        <v>37</v>
      </c>
      <c r="E1437">
        <v>0</v>
      </c>
      <c r="F1437">
        <v>3593</v>
      </c>
      <c r="G1437">
        <v>84</v>
      </c>
      <c r="H1437">
        <v>6</v>
      </c>
      <c r="I1437">
        <v>31</v>
      </c>
      <c r="J1437">
        <v>2</v>
      </c>
      <c r="K1437">
        <v>1</v>
      </c>
      <c r="L1437">
        <v>1</v>
      </c>
      <c r="M1437">
        <v>25</v>
      </c>
      <c r="N1437">
        <v>192.465</v>
      </c>
      <c r="O1437">
        <v>0</v>
      </c>
      <c r="P14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37" t="str">
        <f>IF(Table1[[#This Row],[Fraud_Score]]&gt;=6, "High Risk",IF(Table1[[#This Row],[Fraud_Score]]&gt;=3, "Medium Risk", "Low Risk"))</f>
        <v>Low Risk</v>
      </c>
      <c r="R1437">
        <f>IF(Table1[[#This Row],[Seconds of Use]]=0,0,Table1[[#This Row],[Customer Value]]/Table1[[#This Row],[Seconds of Use]]*100)</f>
        <v>5.3566657389368215</v>
      </c>
    </row>
    <row r="1438" spans="1:18" x14ac:dyDescent="0.35">
      <c r="A1438" s="3" t="s">
        <v>1459</v>
      </c>
      <c r="B1438">
        <v>0</v>
      </c>
      <c r="C1438">
        <v>0</v>
      </c>
      <c r="D1438">
        <v>36</v>
      </c>
      <c r="E1438">
        <v>0</v>
      </c>
      <c r="F1438">
        <v>1540</v>
      </c>
      <c r="G1438">
        <v>46</v>
      </c>
      <c r="H1438">
        <v>42</v>
      </c>
      <c r="I1438">
        <v>23</v>
      </c>
      <c r="J1438">
        <v>3</v>
      </c>
      <c r="K1438">
        <v>1</v>
      </c>
      <c r="L1438">
        <v>2</v>
      </c>
      <c r="M1438">
        <v>30</v>
      </c>
      <c r="N1438">
        <v>231.44</v>
      </c>
      <c r="O1438">
        <v>0</v>
      </c>
      <c r="P14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38" t="str">
        <f>IF(Table1[[#This Row],[Fraud_Score]]&gt;=6, "High Risk",IF(Table1[[#This Row],[Fraud_Score]]&gt;=3, "Medium Risk", "Low Risk"))</f>
        <v>Low Risk</v>
      </c>
      <c r="R1438">
        <f>IF(Table1[[#This Row],[Seconds of Use]]=0,0,Table1[[#This Row],[Customer Value]]/Table1[[#This Row],[Seconds of Use]]*100)</f>
        <v>15.028571428571427</v>
      </c>
    </row>
    <row r="1439" spans="1:18" x14ac:dyDescent="0.35">
      <c r="A1439" s="3" t="s">
        <v>1460</v>
      </c>
      <c r="B1439">
        <v>3</v>
      </c>
      <c r="C1439">
        <v>0</v>
      </c>
      <c r="D1439">
        <v>37</v>
      </c>
      <c r="E1439">
        <v>0</v>
      </c>
      <c r="F1439">
        <v>2655</v>
      </c>
      <c r="G1439">
        <v>55</v>
      </c>
      <c r="H1439">
        <v>179</v>
      </c>
      <c r="I1439">
        <v>26</v>
      </c>
      <c r="J1439">
        <v>2</v>
      </c>
      <c r="K1439">
        <v>1</v>
      </c>
      <c r="L1439">
        <v>1</v>
      </c>
      <c r="M1439">
        <v>25</v>
      </c>
      <c r="N1439">
        <v>927.45</v>
      </c>
      <c r="O1439">
        <v>0</v>
      </c>
      <c r="P14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39" t="str">
        <f>IF(Table1[[#This Row],[Fraud_Score]]&gt;=6, "High Risk",IF(Table1[[#This Row],[Fraud_Score]]&gt;=3, "Medium Risk", "Low Risk"))</f>
        <v>Low Risk</v>
      </c>
      <c r="R1439">
        <f>IF(Table1[[#This Row],[Seconds of Use]]=0,0,Table1[[#This Row],[Customer Value]]/Table1[[#This Row],[Seconds of Use]]*100)</f>
        <v>34.932203389830512</v>
      </c>
    </row>
    <row r="1440" spans="1:18" x14ac:dyDescent="0.35">
      <c r="A1440" s="3" t="s">
        <v>1461</v>
      </c>
      <c r="B1440">
        <v>1</v>
      </c>
      <c r="C1440">
        <v>0</v>
      </c>
      <c r="D1440">
        <v>28</v>
      </c>
      <c r="E1440">
        <v>0</v>
      </c>
      <c r="F1440">
        <v>1190</v>
      </c>
      <c r="G1440">
        <v>38</v>
      </c>
      <c r="H1440">
        <v>197</v>
      </c>
      <c r="I1440">
        <v>14</v>
      </c>
      <c r="J1440">
        <v>2</v>
      </c>
      <c r="K1440">
        <v>2</v>
      </c>
      <c r="L1440">
        <v>1</v>
      </c>
      <c r="M1440">
        <v>25</v>
      </c>
      <c r="N1440">
        <v>941.76</v>
      </c>
      <c r="O1440">
        <v>0</v>
      </c>
      <c r="P14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40" t="str">
        <f>IF(Table1[[#This Row],[Fraud_Score]]&gt;=6, "High Risk",IF(Table1[[#This Row],[Fraud_Score]]&gt;=3, "Medium Risk", "Low Risk"))</f>
        <v>Low Risk</v>
      </c>
      <c r="R1440">
        <f>IF(Table1[[#This Row],[Seconds of Use]]=0,0,Table1[[#This Row],[Customer Value]]/Table1[[#This Row],[Seconds of Use]]*100)</f>
        <v>79.139495798319331</v>
      </c>
    </row>
    <row r="1441" spans="1:18" x14ac:dyDescent="0.35">
      <c r="A1441" s="3" t="s">
        <v>1462</v>
      </c>
      <c r="B1441">
        <v>1</v>
      </c>
      <c r="C1441">
        <v>0</v>
      </c>
      <c r="D1441">
        <v>27</v>
      </c>
      <c r="E1441">
        <v>0</v>
      </c>
      <c r="F1441">
        <v>1443</v>
      </c>
      <c r="G1441">
        <v>41</v>
      </c>
      <c r="H1441">
        <v>34</v>
      </c>
      <c r="I1441">
        <v>71</v>
      </c>
      <c r="J1441">
        <v>4</v>
      </c>
      <c r="K1441">
        <v>1</v>
      </c>
      <c r="L1441">
        <v>1</v>
      </c>
      <c r="M1441">
        <v>45</v>
      </c>
      <c r="N1441">
        <v>122.1</v>
      </c>
      <c r="O1441">
        <v>0</v>
      </c>
      <c r="P14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441" t="str">
        <f>IF(Table1[[#This Row],[Fraud_Score]]&gt;=6, "High Risk",IF(Table1[[#This Row],[Fraud_Score]]&gt;=3, "Medium Risk", "Low Risk"))</f>
        <v>Low Risk</v>
      </c>
      <c r="R1441">
        <f>IF(Table1[[#This Row],[Seconds of Use]]=0,0,Table1[[#This Row],[Customer Value]]/Table1[[#This Row],[Seconds of Use]]*100)</f>
        <v>8.4615384615384599</v>
      </c>
    </row>
    <row r="1442" spans="1:18" x14ac:dyDescent="0.35">
      <c r="A1442" s="3" t="s">
        <v>1463</v>
      </c>
      <c r="B1442">
        <v>8</v>
      </c>
      <c r="C1442">
        <v>0</v>
      </c>
      <c r="D1442">
        <v>28</v>
      </c>
      <c r="E1442">
        <v>0</v>
      </c>
      <c r="F1442">
        <v>575</v>
      </c>
      <c r="G1442">
        <v>27</v>
      </c>
      <c r="H1442">
        <v>14</v>
      </c>
      <c r="I1442">
        <v>10</v>
      </c>
      <c r="J1442">
        <v>2</v>
      </c>
      <c r="K1442">
        <v>1</v>
      </c>
      <c r="L1442">
        <v>2</v>
      </c>
      <c r="M1442">
        <v>25</v>
      </c>
      <c r="N1442">
        <v>90.09</v>
      </c>
      <c r="O1442">
        <v>0</v>
      </c>
      <c r="P14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42" t="str">
        <f>IF(Table1[[#This Row],[Fraud_Score]]&gt;=6, "High Risk",IF(Table1[[#This Row],[Fraud_Score]]&gt;=3, "Medium Risk", "Low Risk"))</f>
        <v>Low Risk</v>
      </c>
      <c r="R1442">
        <f>IF(Table1[[#This Row],[Seconds of Use]]=0,0,Table1[[#This Row],[Customer Value]]/Table1[[#This Row],[Seconds of Use]]*100)</f>
        <v>15.667826086956522</v>
      </c>
    </row>
    <row r="1443" spans="1:18" x14ac:dyDescent="0.35">
      <c r="A1443" s="3" t="s">
        <v>1464</v>
      </c>
      <c r="B1443">
        <v>0</v>
      </c>
      <c r="C1443">
        <v>0</v>
      </c>
      <c r="D1443">
        <v>27</v>
      </c>
      <c r="E1443">
        <v>0</v>
      </c>
      <c r="F1443">
        <v>700</v>
      </c>
      <c r="G1443">
        <v>12</v>
      </c>
      <c r="H1443">
        <v>25</v>
      </c>
      <c r="I1443">
        <v>6</v>
      </c>
      <c r="J1443">
        <v>4</v>
      </c>
      <c r="K1443">
        <v>1</v>
      </c>
      <c r="L1443">
        <v>2</v>
      </c>
      <c r="M1443">
        <v>45</v>
      </c>
      <c r="N1443">
        <v>80.3</v>
      </c>
      <c r="O1443">
        <v>0</v>
      </c>
      <c r="P14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43" t="str">
        <f>IF(Table1[[#This Row],[Fraud_Score]]&gt;=6, "High Risk",IF(Table1[[#This Row],[Fraud_Score]]&gt;=3, "Medium Risk", "Low Risk"))</f>
        <v>Low Risk</v>
      </c>
      <c r="R1443">
        <f>IF(Table1[[#This Row],[Seconds of Use]]=0,0,Table1[[#This Row],[Customer Value]]/Table1[[#This Row],[Seconds of Use]]*100)</f>
        <v>11.471428571428572</v>
      </c>
    </row>
    <row r="1444" spans="1:18" x14ac:dyDescent="0.35">
      <c r="A1444" s="3" t="s">
        <v>1465</v>
      </c>
      <c r="B1444">
        <v>7</v>
      </c>
      <c r="C1444">
        <v>0</v>
      </c>
      <c r="D1444">
        <v>26</v>
      </c>
      <c r="E1444">
        <v>0</v>
      </c>
      <c r="F1444">
        <v>1100</v>
      </c>
      <c r="G1444">
        <v>34</v>
      </c>
      <c r="H1444">
        <v>23</v>
      </c>
      <c r="I1444">
        <v>16</v>
      </c>
      <c r="J1444">
        <v>2</v>
      </c>
      <c r="K1444">
        <v>1</v>
      </c>
      <c r="L1444">
        <v>1</v>
      </c>
      <c r="M1444">
        <v>25</v>
      </c>
      <c r="N1444">
        <v>154.53</v>
      </c>
      <c r="O1444">
        <v>0</v>
      </c>
      <c r="P14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44" t="str">
        <f>IF(Table1[[#This Row],[Fraud_Score]]&gt;=6, "High Risk",IF(Table1[[#This Row],[Fraud_Score]]&gt;=3, "Medium Risk", "Low Risk"))</f>
        <v>Low Risk</v>
      </c>
      <c r="R1444">
        <f>IF(Table1[[#This Row],[Seconds of Use]]=0,0,Table1[[#This Row],[Customer Value]]/Table1[[#This Row],[Seconds of Use]]*100)</f>
        <v>14.048181818181819</v>
      </c>
    </row>
    <row r="1445" spans="1:18" x14ac:dyDescent="0.35">
      <c r="A1445" s="3" t="s">
        <v>1466</v>
      </c>
      <c r="B1445">
        <v>0</v>
      </c>
      <c r="C1445">
        <v>0</v>
      </c>
      <c r="D1445">
        <v>26</v>
      </c>
      <c r="E1445">
        <v>0</v>
      </c>
      <c r="F1445">
        <v>3100</v>
      </c>
      <c r="G1445">
        <v>63</v>
      </c>
      <c r="H1445">
        <v>12</v>
      </c>
      <c r="I1445">
        <v>26</v>
      </c>
      <c r="J1445">
        <v>3</v>
      </c>
      <c r="K1445">
        <v>1</v>
      </c>
      <c r="L1445">
        <v>1</v>
      </c>
      <c r="M1445">
        <v>30</v>
      </c>
      <c r="N1445">
        <v>174.52</v>
      </c>
      <c r="O1445">
        <v>0</v>
      </c>
      <c r="P14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45" t="str">
        <f>IF(Table1[[#This Row],[Fraud_Score]]&gt;=6, "High Risk",IF(Table1[[#This Row],[Fraud_Score]]&gt;=3, "Medium Risk", "Low Risk"))</f>
        <v>Low Risk</v>
      </c>
      <c r="R1445">
        <f>IF(Table1[[#This Row],[Seconds of Use]]=0,0,Table1[[#This Row],[Customer Value]]/Table1[[#This Row],[Seconds of Use]]*100)</f>
        <v>5.6296774193548398</v>
      </c>
    </row>
    <row r="1446" spans="1:18" x14ac:dyDescent="0.35">
      <c r="A1446" s="3" t="s">
        <v>1467</v>
      </c>
      <c r="B1446">
        <v>0</v>
      </c>
      <c r="C1446">
        <v>0</v>
      </c>
      <c r="D1446">
        <v>19</v>
      </c>
      <c r="E1446">
        <v>0</v>
      </c>
      <c r="F1446">
        <v>1570</v>
      </c>
      <c r="G1446">
        <v>28</v>
      </c>
      <c r="H1446">
        <v>32</v>
      </c>
      <c r="I1446">
        <v>17</v>
      </c>
      <c r="J1446">
        <v>2</v>
      </c>
      <c r="K1446">
        <v>1</v>
      </c>
      <c r="L1446">
        <v>1</v>
      </c>
      <c r="M1446">
        <v>25</v>
      </c>
      <c r="N1446">
        <v>215.91</v>
      </c>
      <c r="O1446">
        <v>0</v>
      </c>
      <c r="P14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46" t="str">
        <f>IF(Table1[[#This Row],[Fraud_Score]]&gt;=6, "High Risk",IF(Table1[[#This Row],[Fraud_Score]]&gt;=3, "Medium Risk", "Low Risk"))</f>
        <v>Low Risk</v>
      </c>
      <c r="R1446">
        <f>IF(Table1[[#This Row],[Seconds of Use]]=0,0,Table1[[#This Row],[Customer Value]]/Table1[[#This Row],[Seconds of Use]]*100)</f>
        <v>13.752229299363059</v>
      </c>
    </row>
    <row r="1447" spans="1:18" x14ac:dyDescent="0.35">
      <c r="A1447" s="3" t="s">
        <v>1468</v>
      </c>
      <c r="B1447">
        <v>13</v>
      </c>
      <c r="C1447">
        <v>0</v>
      </c>
      <c r="D1447">
        <v>18</v>
      </c>
      <c r="E1447">
        <v>0</v>
      </c>
      <c r="F1447">
        <v>6268</v>
      </c>
      <c r="G1447">
        <v>143</v>
      </c>
      <c r="H1447">
        <v>89</v>
      </c>
      <c r="I1447">
        <v>45</v>
      </c>
      <c r="J1447">
        <v>1</v>
      </c>
      <c r="K1447">
        <v>2</v>
      </c>
      <c r="L1447">
        <v>1</v>
      </c>
      <c r="M1447">
        <v>15</v>
      </c>
      <c r="N1447">
        <v>842.10500000000002</v>
      </c>
      <c r="O1447">
        <v>0</v>
      </c>
      <c r="P14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447" t="str">
        <f>IF(Table1[[#This Row],[Fraud_Score]]&gt;=6, "High Risk",IF(Table1[[#This Row],[Fraud_Score]]&gt;=3, "Medium Risk", "Low Risk"))</f>
        <v>Medium Risk</v>
      </c>
      <c r="R1447">
        <f>IF(Table1[[#This Row],[Seconds of Use]]=0,0,Table1[[#This Row],[Customer Value]]/Table1[[#This Row],[Seconds of Use]]*100)</f>
        <v>13.434987236758136</v>
      </c>
    </row>
    <row r="1448" spans="1:18" x14ac:dyDescent="0.35">
      <c r="A1448" s="3" t="s">
        <v>1469</v>
      </c>
      <c r="B1448">
        <v>9</v>
      </c>
      <c r="C1448">
        <v>0</v>
      </c>
      <c r="D1448">
        <v>16</v>
      </c>
      <c r="E1448">
        <v>0</v>
      </c>
      <c r="F1448">
        <v>8808</v>
      </c>
      <c r="G1448">
        <v>173</v>
      </c>
      <c r="H1448">
        <v>77</v>
      </c>
      <c r="I1448">
        <v>43</v>
      </c>
      <c r="J1448">
        <v>4</v>
      </c>
      <c r="K1448">
        <v>1</v>
      </c>
      <c r="L1448">
        <v>1</v>
      </c>
      <c r="M1448">
        <v>45</v>
      </c>
      <c r="N1448">
        <v>417.02499999999998</v>
      </c>
      <c r="O1448">
        <v>0</v>
      </c>
      <c r="P14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48" t="str">
        <f>IF(Table1[[#This Row],[Fraud_Score]]&gt;=6, "High Risk",IF(Table1[[#This Row],[Fraud_Score]]&gt;=3, "Medium Risk", "Low Risk"))</f>
        <v>Medium Risk</v>
      </c>
      <c r="R1448">
        <f>IF(Table1[[#This Row],[Seconds of Use]]=0,0,Table1[[#This Row],[Customer Value]]/Table1[[#This Row],[Seconds of Use]]*100)</f>
        <v>4.7346162579473203</v>
      </c>
    </row>
    <row r="1449" spans="1:18" x14ac:dyDescent="0.35">
      <c r="A1449" s="3" t="s">
        <v>1470</v>
      </c>
      <c r="B1449">
        <v>5</v>
      </c>
      <c r="C1449">
        <v>0</v>
      </c>
      <c r="D1449">
        <v>17</v>
      </c>
      <c r="E1449">
        <v>2</v>
      </c>
      <c r="F1449">
        <v>2728</v>
      </c>
      <c r="G1449">
        <v>47</v>
      </c>
      <c r="H1449">
        <v>35</v>
      </c>
      <c r="I1449">
        <v>22</v>
      </c>
      <c r="J1449">
        <v>3</v>
      </c>
      <c r="K1449">
        <v>1</v>
      </c>
      <c r="L1449">
        <v>1</v>
      </c>
      <c r="M1449">
        <v>30</v>
      </c>
      <c r="N1449">
        <v>251</v>
      </c>
      <c r="O1449">
        <v>0</v>
      </c>
      <c r="P14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449" t="str">
        <f>IF(Table1[[#This Row],[Fraud_Score]]&gt;=6, "High Risk",IF(Table1[[#This Row],[Fraud_Score]]&gt;=3, "Medium Risk", "Low Risk"))</f>
        <v>Low Risk</v>
      </c>
      <c r="R1449">
        <f>IF(Table1[[#This Row],[Seconds of Use]]=0,0,Table1[[#This Row],[Customer Value]]/Table1[[#This Row],[Seconds of Use]]*100)</f>
        <v>9.2008797653958947</v>
      </c>
    </row>
    <row r="1450" spans="1:18" x14ac:dyDescent="0.35">
      <c r="A1450" s="3" t="s">
        <v>1471</v>
      </c>
      <c r="B1450">
        <v>0</v>
      </c>
      <c r="C1450">
        <v>0</v>
      </c>
      <c r="D1450">
        <v>10</v>
      </c>
      <c r="E1450">
        <v>0</v>
      </c>
      <c r="F1450">
        <v>4265</v>
      </c>
      <c r="G1450">
        <v>42</v>
      </c>
      <c r="H1450">
        <v>219</v>
      </c>
      <c r="I1450">
        <v>13</v>
      </c>
      <c r="J1450">
        <v>3</v>
      </c>
      <c r="K1450">
        <v>1</v>
      </c>
      <c r="L1450">
        <v>1</v>
      </c>
      <c r="M1450">
        <v>30</v>
      </c>
      <c r="N1450">
        <v>1048.28</v>
      </c>
      <c r="O1450">
        <v>0</v>
      </c>
      <c r="P14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0" t="str">
        <f>IF(Table1[[#This Row],[Fraud_Score]]&gt;=6, "High Risk",IF(Table1[[#This Row],[Fraud_Score]]&gt;=3, "Medium Risk", "Low Risk"))</f>
        <v>Low Risk</v>
      </c>
      <c r="R1450">
        <f>IF(Table1[[#This Row],[Seconds of Use]]=0,0,Table1[[#This Row],[Customer Value]]/Table1[[#This Row],[Seconds of Use]]*100)</f>
        <v>24.578663540445486</v>
      </c>
    </row>
    <row r="1451" spans="1:18" x14ac:dyDescent="0.35">
      <c r="A1451" s="3" t="s">
        <v>1472</v>
      </c>
      <c r="B1451">
        <v>0</v>
      </c>
      <c r="C1451">
        <v>1</v>
      </c>
      <c r="D1451">
        <v>10</v>
      </c>
      <c r="E1451">
        <v>0</v>
      </c>
      <c r="F1451">
        <v>1363</v>
      </c>
      <c r="G1451">
        <v>21</v>
      </c>
      <c r="H1451">
        <v>4</v>
      </c>
      <c r="I1451">
        <v>10</v>
      </c>
      <c r="J1451">
        <v>2</v>
      </c>
      <c r="K1451">
        <v>1</v>
      </c>
      <c r="L1451">
        <v>1</v>
      </c>
      <c r="M1451">
        <v>25</v>
      </c>
      <c r="N1451">
        <v>80.28</v>
      </c>
      <c r="O1451">
        <v>1</v>
      </c>
      <c r="P14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51" t="str">
        <f>IF(Table1[[#This Row],[Fraud_Score]]&gt;=6, "High Risk",IF(Table1[[#This Row],[Fraud_Score]]&gt;=3, "Medium Risk", "Low Risk"))</f>
        <v>Medium Risk</v>
      </c>
      <c r="R1451">
        <f>IF(Table1[[#This Row],[Seconds of Use]]=0,0,Table1[[#This Row],[Customer Value]]/Table1[[#This Row],[Seconds of Use]]*100)</f>
        <v>5.8899486426999275</v>
      </c>
    </row>
    <row r="1452" spans="1:18" x14ac:dyDescent="0.35">
      <c r="A1452" s="3" t="s">
        <v>1473</v>
      </c>
      <c r="B1452">
        <v>1</v>
      </c>
      <c r="C1452">
        <v>0</v>
      </c>
      <c r="D1452">
        <v>33</v>
      </c>
      <c r="E1452">
        <v>0</v>
      </c>
      <c r="F1452">
        <v>3885</v>
      </c>
      <c r="G1452">
        <v>57</v>
      </c>
      <c r="H1452">
        <v>0</v>
      </c>
      <c r="I1452">
        <v>10</v>
      </c>
      <c r="J1452">
        <v>2</v>
      </c>
      <c r="K1452">
        <v>1</v>
      </c>
      <c r="L1452">
        <v>1</v>
      </c>
      <c r="M1452">
        <v>25</v>
      </c>
      <c r="N1452">
        <v>177.39</v>
      </c>
      <c r="O1452">
        <v>0</v>
      </c>
      <c r="P14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2" t="str">
        <f>IF(Table1[[#This Row],[Fraud_Score]]&gt;=6, "High Risk",IF(Table1[[#This Row],[Fraud_Score]]&gt;=3, "Medium Risk", "Low Risk"))</f>
        <v>Low Risk</v>
      </c>
      <c r="R1452">
        <f>IF(Table1[[#This Row],[Seconds of Use]]=0,0,Table1[[#This Row],[Customer Value]]/Table1[[#This Row],[Seconds of Use]]*100)</f>
        <v>4.5660231660231654</v>
      </c>
    </row>
    <row r="1453" spans="1:18" x14ac:dyDescent="0.35">
      <c r="A1453" s="3" t="s">
        <v>1474</v>
      </c>
      <c r="B1453">
        <v>0</v>
      </c>
      <c r="C1453">
        <v>0</v>
      </c>
      <c r="D1453">
        <v>34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2</v>
      </c>
      <c r="K1453">
        <v>1</v>
      </c>
      <c r="L1453">
        <v>2</v>
      </c>
      <c r="M1453">
        <v>25</v>
      </c>
      <c r="N1453">
        <v>0</v>
      </c>
      <c r="O1453">
        <v>0</v>
      </c>
      <c r="P14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3" t="str">
        <f>IF(Table1[[#This Row],[Fraud_Score]]&gt;=6, "High Risk",IF(Table1[[#This Row],[Fraud_Score]]&gt;=3, "Medium Risk", "Low Risk"))</f>
        <v>Low Risk</v>
      </c>
      <c r="R1453">
        <f>IF(Table1[[#This Row],[Seconds of Use]]=0,0,Table1[[#This Row],[Customer Value]]/Table1[[#This Row],[Seconds of Use]]*100)</f>
        <v>0</v>
      </c>
    </row>
    <row r="1454" spans="1:18" x14ac:dyDescent="0.35">
      <c r="A1454" s="3" t="s">
        <v>1475</v>
      </c>
      <c r="B1454">
        <v>3</v>
      </c>
      <c r="C1454">
        <v>0</v>
      </c>
      <c r="D1454">
        <v>32</v>
      </c>
      <c r="E1454">
        <v>0</v>
      </c>
      <c r="F1454">
        <v>1968</v>
      </c>
      <c r="G1454">
        <v>46</v>
      </c>
      <c r="H1454">
        <v>341</v>
      </c>
      <c r="I1454">
        <v>17</v>
      </c>
      <c r="J1454">
        <v>2</v>
      </c>
      <c r="K1454">
        <v>1</v>
      </c>
      <c r="L1454">
        <v>1</v>
      </c>
      <c r="M1454">
        <v>25</v>
      </c>
      <c r="N1454">
        <v>1625.13</v>
      </c>
      <c r="O1454">
        <v>0</v>
      </c>
      <c r="P14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4" t="str">
        <f>IF(Table1[[#This Row],[Fraud_Score]]&gt;=6, "High Risk",IF(Table1[[#This Row],[Fraud_Score]]&gt;=3, "Medium Risk", "Low Risk"))</f>
        <v>Low Risk</v>
      </c>
      <c r="R1454">
        <f>IF(Table1[[#This Row],[Seconds of Use]]=0,0,Table1[[#This Row],[Customer Value]]/Table1[[#This Row],[Seconds of Use]]*100)</f>
        <v>82.577743902439025</v>
      </c>
    </row>
    <row r="1455" spans="1:18" x14ac:dyDescent="0.35">
      <c r="A1455" s="3" t="s">
        <v>1476</v>
      </c>
      <c r="B1455">
        <v>3</v>
      </c>
      <c r="C1455">
        <v>0</v>
      </c>
      <c r="D1455">
        <v>33</v>
      </c>
      <c r="E1455">
        <v>0</v>
      </c>
      <c r="F1455">
        <v>3713</v>
      </c>
      <c r="G1455">
        <v>52</v>
      </c>
      <c r="H1455">
        <v>0</v>
      </c>
      <c r="I1455">
        <v>28</v>
      </c>
      <c r="J1455">
        <v>1</v>
      </c>
      <c r="K1455">
        <v>1</v>
      </c>
      <c r="L1455">
        <v>1</v>
      </c>
      <c r="M1455">
        <v>15</v>
      </c>
      <c r="N1455">
        <v>207.07499999999999</v>
      </c>
      <c r="O1455">
        <v>0</v>
      </c>
      <c r="P14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5" t="str">
        <f>IF(Table1[[#This Row],[Fraud_Score]]&gt;=6, "High Risk",IF(Table1[[#This Row],[Fraud_Score]]&gt;=3, "Medium Risk", "Low Risk"))</f>
        <v>Low Risk</v>
      </c>
      <c r="R1455">
        <f>IF(Table1[[#This Row],[Seconds of Use]]=0,0,Table1[[#This Row],[Customer Value]]/Table1[[#This Row],[Seconds of Use]]*100)</f>
        <v>5.5770266630756797</v>
      </c>
    </row>
    <row r="1456" spans="1:18" x14ac:dyDescent="0.35">
      <c r="A1456" s="3" t="s">
        <v>1477</v>
      </c>
      <c r="B1456">
        <v>0</v>
      </c>
      <c r="C1456">
        <v>0</v>
      </c>
      <c r="D1456">
        <v>33</v>
      </c>
      <c r="E1456">
        <v>0</v>
      </c>
      <c r="F1456">
        <v>1908</v>
      </c>
      <c r="G1456">
        <v>44</v>
      </c>
      <c r="H1456">
        <v>0</v>
      </c>
      <c r="I1456">
        <v>26</v>
      </c>
      <c r="J1456">
        <v>1</v>
      </c>
      <c r="K1456">
        <v>1</v>
      </c>
      <c r="L1456">
        <v>1</v>
      </c>
      <c r="M1456">
        <v>15</v>
      </c>
      <c r="N1456">
        <v>107.36</v>
      </c>
      <c r="O1456">
        <v>0</v>
      </c>
      <c r="P14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6" t="str">
        <f>IF(Table1[[#This Row],[Fraud_Score]]&gt;=6, "High Risk",IF(Table1[[#This Row],[Fraud_Score]]&gt;=3, "Medium Risk", "Low Risk"))</f>
        <v>Low Risk</v>
      </c>
      <c r="R1456">
        <f>IF(Table1[[#This Row],[Seconds of Use]]=0,0,Table1[[#This Row],[Customer Value]]/Table1[[#This Row],[Seconds of Use]]*100)</f>
        <v>5.6268343815513626</v>
      </c>
    </row>
    <row r="1457" spans="1:18" x14ac:dyDescent="0.35">
      <c r="A1457" s="3" t="s">
        <v>1478</v>
      </c>
      <c r="B1457">
        <v>4</v>
      </c>
      <c r="C1457">
        <v>0</v>
      </c>
      <c r="D1457">
        <v>33</v>
      </c>
      <c r="E1457">
        <v>0</v>
      </c>
      <c r="F1457">
        <v>3290</v>
      </c>
      <c r="G1457">
        <v>68</v>
      </c>
      <c r="H1457">
        <v>14</v>
      </c>
      <c r="I1457">
        <v>21</v>
      </c>
      <c r="J1457">
        <v>2</v>
      </c>
      <c r="K1457">
        <v>1</v>
      </c>
      <c r="L1457">
        <v>1</v>
      </c>
      <c r="M1457">
        <v>25</v>
      </c>
      <c r="N1457">
        <v>214.11</v>
      </c>
      <c r="O1457">
        <v>0</v>
      </c>
      <c r="P14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7" t="str">
        <f>IF(Table1[[#This Row],[Fraud_Score]]&gt;=6, "High Risk",IF(Table1[[#This Row],[Fraud_Score]]&gt;=3, "Medium Risk", "Low Risk"))</f>
        <v>Low Risk</v>
      </c>
      <c r="R1457">
        <f>IF(Table1[[#This Row],[Seconds of Use]]=0,0,Table1[[#This Row],[Customer Value]]/Table1[[#This Row],[Seconds of Use]]*100)</f>
        <v>6.5079027355623094</v>
      </c>
    </row>
    <row r="1458" spans="1:18" x14ac:dyDescent="0.35">
      <c r="A1458" s="3" t="s">
        <v>1479</v>
      </c>
      <c r="B1458">
        <v>0</v>
      </c>
      <c r="C1458">
        <v>0</v>
      </c>
      <c r="D1458">
        <v>33</v>
      </c>
      <c r="E1458">
        <v>0</v>
      </c>
      <c r="F1458">
        <v>1875</v>
      </c>
      <c r="G1458">
        <v>25</v>
      </c>
      <c r="H1458">
        <v>267</v>
      </c>
      <c r="I1458">
        <v>11</v>
      </c>
      <c r="J1458">
        <v>3</v>
      </c>
      <c r="K1458">
        <v>1</v>
      </c>
      <c r="L1458">
        <v>1</v>
      </c>
      <c r="M1458">
        <v>30</v>
      </c>
      <c r="N1458">
        <v>1144</v>
      </c>
      <c r="O1458">
        <v>0</v>
      </c>
      <c r="P14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58" t="str">
        <f>IF(Table1[[#This Row],[Fraud_Score]]&gt;=6, "High Risk",IF(Table1[[#This Row],[Fraud_Score]]&gt;=3, "Medium Risk", "Low Risk"))</f>
        <v>Low Risk</v>
      </c>
      <c r="R1458">
        <f>IF(Table1[[#This Row],[Seconds of Use]]=0,0,Table1[[#This Row],[Customer Value]]/Table1[[#This Row],[Seconds of Use]]*100)</f>
        <v>61.013333333333328</v>
      </c>
    </row>
    <row r="1459" spans="1:18" x14ac:dyDescent="0.35">
      <c r="A1459" s="3" t="s">
        <v>1480</v>
      </c>
      <c r="B1459">
        <v>6</v>
      </c>
      <c r="C1459">
        <v>0</v>
      </c>
      <c r="D1459">
        <v>32</v>
      </c>
      <c r="E1459">
        <v>1</v>
      </c>
      <c r="F1459">
        <v>8630</v>
      </c>
      <c r="G1459">
        <v>107</v>
      </c>
      <c r="H1459">
        <v>126</v>
      </c>
      <c r="I1459">
        <v>36</v>
      </c>
      <c r="J1459">
        <v>3</v>
      </c>
      <c r="K1459">
        <v>1</v>
      </c>
      <c r="L1459">
        <v>1</v>
      </c>
      <c r="M1459">
        <v>30</v>
      </c>
      <c r="N1459">
        <v>853.48</v>
      </c>
      <c r="O1459">
        <v>0</v>
      </c>
      <c r="P14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459" t="str">
        <f>IF(Table1[[#This Row],[Fraud_Score]]&gt;=6, "High Risk",IF(Table1[[#This Row],[Fraud_Score]]&gt;=3, "Medium Risk", "Low Risk"))</f>
        <v>Low Risk</v>
      </c>
      <c r="R1459">
        <f>IF(Table1[[#This Row],[Seconds of Use]]=0,0,Table1[[#This Row],[Customer Value]]/Table1[[#This Row],[Seconds of Use]]*100)</f>
        <v>9.8896871378910767</v>
      </c>
    </row>
    <row r="1460" spans="1:18" x14ac:dyDescent="0.35">
      <c r="A1460" s="3" t="s">
        <v>1481</v>
      </c>
      <c r="B1460">
        <v>0</v>
      </c>
      <c r="C1460">
        <v>0</v>
      </c>
      <c r="D1460">
        <v>33</v>
      </c>
      <c r="E1460">
        <v>0</v>
      </c>
      <c r="F1460">
        <v>13288</v>
      </c>
      <c r="G1460">
        <v>155</v>
      </c>
      <c r="H1460">
        <v>0</v>
      </c>
      <c r="I1460">
        <v>37</v>
      </c>
      <c r="J1460">
        <v>3</v>
      </c>
      <c r="K1460">
        <v>1</v>
      </c>
      <c r="L1460">
        <v>1</v>
      </c>
      <c r="M1460">
        <v>30</v>
      </c>
      <c r="N1460">
        <v>537.72</v>
      </c>
      <c r="O1460">
        <v>0</v>
      </c>
      <c r="P14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60" t="str">
        <f>IF(Table1[[#This Row],[Fraud_Score]]&gt;=6, "High Risk",IF(Table1[[#This Row],[Fraud_Score]]&gt;=3, "Medium Risk", "Low Risk"))</f>
        <v>Medium Risk</v>
      </c>
      <c r="R1460">
        <f>IF(Table1[[#This Row],[Seconds of Use]]=0,0,Table1[[#This Row],[Customer Value]]/Table1[[#This Row],[Seconds of Use]]*100)</f>
        <v>4.046658639373871</v>
      </c>
    </row>
    <row r="1461" spans="1:18" x14ac:dyDescent="0.35">
      <c r="A1461" s="3" t="s">
        <v>1482</v>
      </c>
      <c r="B1461">
        <v>0</v>
      </c>
      <c r="C1461">
        <v>0</v>
      </c>
      <c r="D1461">
        <v>33</v>
      </c>
      <c r="E1461">
        <v>0</v>
      </c>
      <c r="F1461">
        <v>4030</v>
      </c>
      <c r="G1461">
        <v>69</v>
      </c>
      <c r="H1461">
        <v>0</v>
      </c>
      <c r="I1461">
        <v>18</v>
      </c>
      <c r="J1461">
        <v>3</v>
      </c>
      <c r="K1461">
        <v>1</v>
      </c>
      <c r="L1461">
        <v>1</v>
      </c>
      <c r="M1461">
        <v>30</v>
      </c>
      <c r="N1461">
        <v>163.96</v>
      </c>
      <c r="O1461">
        <v>0</v>
      </c>
      <c r="P14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1" t="str">
        <f>IF(Table1[[#This Row],[Fraud_Score]]&gt;=6, "High Risk",IF(Table1[[#This Row],[Fraud_Score]]&gt;=3, "Medium Risk", "Low Risk"))</f>
        <v>Low Risk</v>
      </c>
      <c r="R1461">
        <f>IF(Table1[[#This Row],[Seconds of Use]]=0,0,Table1[[#This Row],[Customer Value]]/Table1[[#This Row],[Seconds of Use]]*100)</f>
        <v>4.0684863523573203</v>
      </c>
    </row>
    <row r="1462" spans="1:18" x14ac:dyDescent="0.35">
      <c r="A1462" s="3" t="s">
        <v>1483</v>
      </c>
      <c r="B1462">
        <v>0</v>
      </c>
      <c r="C1462">
        <v>0</v>
      </c>
      <c r="D1462">
        <v>33</v>
      </c>
      <c r="E1462">
        <v>0</v>
      </c>
      <c r="F1462">
        <v>5433</v>
      </c>
      <c r="G1462">
        <v>81</v>
      </c>
      <c r="H1462">
        <v>0</v>
      </c>
      <c r="I1462">
        <v>5</v>
      </c>
      <c r="J1462">
        <v>2</v>
      </c>
      <c r="K1462">
        <v>1</v>
      </c>
      <c r="L1462">
        <v>1</v>
      </c>
      <c r="M1462">
        <v>25</v>
      </c>
      <c r="N1462">
        <v>248.13</v>
      </c>
      <c r="O1462">
        <v>0</v>
      </c>
      <c r="P14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2" t="str">
        <f>IF(Table1[[#This Row],[Fraud_Score]]&gt;=6, "High Risk",IF(Table1[[#This Row],[Fraud_Score]]&gt;=3, "Medium Risk", "Low Risk"))</f>
        <v>Low Risk</v>
      </c>
      <c r="R1462">
        <f>IF(Table1[[#This Row],[Seconds of Use]]=0,0,Table1[[#This Row],[Customer Value]]/Table1[[#This Row],[Seconds of Use]]*100)</f>
        <v>4.5670900055218109</v>
      </c>
    </row>
    <row r="1463" spans="1:18" x14ac:dyDescent="0.35">
      <c r="A1463" s="3" t="s">
        <v>1484</v>
      </c>
      <c r="B1463">
        <v>2</v>
      </c>
      <c r="C1463">
        <v>0</v>
      </c>
      <c r="D1463">
        <v>33</v>
      </c>
      <c r="E1463">
        <v>0</v>
      </c>
      <c r="F1463">
        <v>1753</v>
      </c>
      <c r="G1463">
        <v>40</v>
      </c>
      <c r="H1463">
        <v>0</v>
      </c>
      <c r="I1463">
        <v>10</v>
      </c>
      <c r="J1463">
        <v>3</v>
      </c>
      <c r="K1463">
        <v>1</v>
      </c>
      <c r="L1463">
        <v>2</v>
      </c>
      <c r="M1463">
        <v>30</v>
      </c>
      <c r="N1463">
        <v>71.72</v>
      </c>
      <c r="O1463">
        <v>0</v>
      </c>
      <c r="P14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3" t="str">
        <f>IF(Table1[[#This Row],[Fraud_Score]]&gt;=6, "High Risk",IF(Table1[[#This Row],[Fraud_Score]]&gt;=3, "Medium Risk", "Low Risk"))</f>
        <v>Low Risk</v>
      </c>
      <c r="R1463">
        <f>IF(Table1[[#This Row],[Seconds of Use]]=0,0,Table1[[#This Row],[Customer Value]]/Table1[[#This Row],[Seconds of Use]]*100)</f>
        <v>4.091272104962921</v>
      </c>
    </row>
    <row r="1464" spans="1:18" x14ac:dyDescent="0.35">
      <c r="A1464" s="3" t="s">
        <v>1485</v>
      </c>
      <c r="B1464">
        <v>18</v>
      </c>
      <c r="C1464">
        <v>0</v>
      </c>
      <c r="D1464">
        <v>33</v>
      </c>
      <c r="E1464">
        <v>2</v>
      </c>
      <c r="F1464">
        <v>14655</v>
      </c>
      <c r="G1464">
        <v>211</v>
      </c>
      <c r="H1464">
        <v>36</v>
      </c>
      <c r="I1464">
        <v>25</v>
      </c>
      <c r="J1464">
        <v>3</v>
      </c>
      <c r="K1464">
        <v>1</v>
      </c>
      <c r="L1464">
        <v>1</v>
      </c>
      <c r="M1464">
        <v>30</v>
      </c>
      <c r="N1464">
        <v>738.64</v>
      </c>
      <c r="O1464">
        <v>0</v>
      </c>
      <c r="P14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464" t="str">
        <f>IF(Table1[[#This Row],[Fraud_Score]]&gt;=6, "High Risk",IF(Table1[[#This Row],[Fraud_Score]]&gt;=3, "Medium Risk", "Low Risk"))</f>
        <v>Medium Risk</v>
      </c>
      <c r="R1464">
        <f>IF(Table1[[#This Row],[Seconds of Use]]=0,0,Table1[[#This Row],[Customer Value]]/Table1[[#This Row],[Seconds of Use]]*100)</f>
        <v>5.0401910610713063</v>
      </c>
    </row>
    <row r="1465" spans="1:18" x14ac:dyDescent="0.35">
      <c r="A1465" s="3" t="s">
        <v>1486</v>
      </c>
      <c r="B1465">
        <v>0</v>
      </c>
      <c r="C1465">
        <v>0</v>
      </c>
      <c r="D1465">
        <v>33</v>
      </c>
      <c r="E1465">
        <v>0</v>
      </c>
      <c r="F1465">
        <v>2610</v>
      </c>
      <c r="G1465">
        <v>13</v>
      </c>
      <c r="H1465">
        <v>465</v>
      </c>
      <c r="I1465">
        <v>1</v>
      </c>
      <c r="J1465">
        <v>3</v>
      </c>
      <c r="K1465">
        <v>1</v>
      </c>
      <c r="L1465">
        <v>1</v>
      </c>
      <c r="M1465">
        <v>30</v>
      </c>
      <c r="N1465">
        <v>1964.92</v>
      </c>
      <c r="O1465">
        <v>0</v>
      </c>
      <c r="P14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5" t="str">
        <f>IF(Table1[[#This Row],[Fraud_Score]]&gt;=6, "High Risk",IF(Table1[[#This Row],[Fraud_Score]]&gt;=3, "Medium Risk", "Low Risk"))</f>
        <v>Low Risk</v>
      </c>
      <c r="R1465">
        <f>IF(Table1[[#This Row],[Seconds of Use]]=0,0,Table1[[#This Row],[Customer Value]]/Table1[[#This Row],[Seconds of Use]]*100)</f>
        <v>75.28429118773947</v>
      </c>
    </row>
    <row r="1466" spans="1:18" x14ac:dyDescent="0.35">
      <c r="A1466" s="3" t="s">
        <v>1487</v>
      </c>
      <c r="B1466">
        <v>2</v>
      </c>
      <c r="C1466">
        <v>0</v>
      </c>
      <c r="D1466">
        <v>32</v>
      </c>
      <c r="E1466">
        <v>0</v>
      </c>
      <c r="F1466">
        <v>15000</v>
      </c>
      <c r="G1466">
        <v>168</v>
      </c>
      <c r="H1466">
        <v>132</v>
      </c>
      <c r="I1466">
        <v>23</v>
      </c>
      <c r="J1466">
        <v>2</v>
      </c>
      <c r="K1466">
        <v>1</v>
      </c>
      <c r="L1466">
        <v>1</v>
      </c>
      <c r="M1466">
        <v>25</v>
      </c>
      <c r="N1466">
        <v>1276.56</v>
      </c>
      <c r="O1466">
        <v>0</v>
      </c>
      <c r="P14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66" t="str">
        <f>IF(Table1[[#This Row],[Fraud_Score]]&gt;=6, "High Risk",IF(Table1[[#This Row],[Fraud_Score]]&gt;=3, "Medium Risk", "Low Risk"))</f>
        <v>Medium Risk</v>
      </c>
      <c r="R1466">
        <f>IF(Table1[[#This Row],[Seconds of Use]]=0,0,Table1[[#This Row],[Customer Value]]/Table1[[#This Row],[Seconds of Use]]*100)</f>
        <v>8.5104000000000006</v>
      </c>
    </row>
    <row r="1467" spans="1:18" x14ac:dyDescent="0.35">
      <c r="A1467" s="3" t="s">
        <v>1488</v>
      </c>
      <c r="B1467">
        <v>0</v>
      </c>
      <c r="C1467">
        <v>0</v>
      </c>
      <c r="D1467">
        <v>32</v>
      </c>
      <c r="E1467">
        <v>0</v>
      </c>
      <c r="F1467">
        <v>6015</v>
      </c>
      <c r="G1467">
        <v>72</v>
      </c>
      <c r="H1467">
        <v>168</v>
      </c>
      <c r="I1467">
        <v>19</v>
      </c>
      <c r="J1467">
        <v>3</v>
      </c>
      <c r="K1467">
        <v>1</v>
      </c>
      <c r="L1467">
        <v>1</v>
      </c>
      <c r="M1467">
        <v>30</v>
      </c>
      <c r="N1467">
        <v>915.48</v>
      </c>
      <c r="O1467">
        <v>0</v>
      </c>
      <c r="P14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7" t="str">
        <f>IF(Table1[[#This Row],[Fraud_Score]]&gt;=6, "High Risk",IF(Table1[[#This Row],[Fraud_Score]]&gt;=3, "Medium Risk", "Low Risk"))</f>
        <v>Low Risk</v>
      </c>
      <c r="R1467">
        <f>IF(Table1[[#This Row],[Seconds of Use]]=0,0,Table1[[#This Row],[Customer Value]]/Table1[[#This Row],[Seconds of Use]]*100)</f>
        <v>15.21995012468828</v>
      </c>
    </row>
    <row r="1468" spans="1:18" x14ac:dyDescent="0.35">
      <c r="A1468" s="3" t="s">
        <v>1489</v>
      </c>
      <c r="B1468">
        <v>0</v>
      </c>
      <c r="C1468">
        <v>0</v>
      </c>
      <c r="D1468">
        <v>32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</v>
      </c>
      <c r="K1468">
        <v>1</v>
      </c>
      <c r="L1468">
        <v>2</v>
      </c>
      <c r="M1468">
        <v>25</v>
      </c>
      <c r="N1468">
        <v>0</v>
      </c>
      <c r="O1468">
        <v>0</v>
      </c>
      <c r="P14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8" t="str">
        <f>IF(Table1[[#This Row],[Fraud_Score]]&gt;=6, "High Risk",IF(Table1[[#This Row],[Fraud_Score]]&gt;=3, "Medium Risk", "Low Risk"))</f>
        <v>Low Risk</v>
      </c>
      <c r="R1468">
        <f>IF(Table1[[#This Row],[Seconds of Use]]=0,0,Table1[[#This Row],[Customer Value]]/Table1[[#This Row],[Seconds of Use]]*100)</f>
        <v>0</v>
      </c>
    </row>
    <row r="1469" spans="1:18" x14ac:dyDescent="0.35">
      <c r="A1469" s="3" t="s">
        <v>1490</v>
      </c>
      <c r="B1469">
        <v>0</v>
      </c>
      <c r="C1469">
        <v>0</v>
      </c>
      <c r="D1469">
        <v>33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</v>
      </c>
      <c r="K1469">
        <v>1</v>
      </c>
      <c r="L1469">
        <v>2</v>
      </c>
      <c r="M1469">
        <v>25</v>
      </c>
      <c r="N1469">
        <v>0</v>
      </c>
      <c r="O1469">
        <v>0</v>
      </c>
      <c r="P14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69" t="str">
        <f>IF(Table1[[#This Row],[Fraud_Score]]&gt;=6, "High Risk",IF(Table1[[#This Row],[Fraud_Score]]&gt;=3, "Medium Risk", "Low Risk"))</f>
        <v>Low Risk</v>
      </c>
      <c r="R1469">
        <f>IF(Table1[[#This Row],[Seconds of Use]]=0,0,Table1[[#This Row],[Customer Value]]/Table1[[#This Row],[Seconds of Use]]*100)</f>
        <v>0</v>
      </c>
    </row>
    <row r="1470" spans="1:18" x14ac:dyDescent="0.35">
      <c r="A1470" s="3" t="s">
        <v>1491</v>
      </c>
      <c r="B1470">
        <v>0</v>
      </c>
      <c r="C1470">
        <v>0</v>
      </c>
      <c r="D1470">
        <v>32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2</v>
      </c>
      <c r="K1470">
        <v>1</v>
      </c>
      <c r="L1470">
        <v>2</v>
      </c>
      <c r="M1470">
        <v>25</v>
      </c>
      <c r="N1470">
        <v>0</v>
      </c>
      <c r="O1470">
        <v>1</v>
      </c>
      <c r="P14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70" t="str">
        <f>IF(Table1[[#This Row],[Fraud_Score]]&gt;=6, "High Risk",IF(Table1[[#This Row],[Fraud_Score]]&gt;=3, "Medium Risk", "Low Risk"))</f>
        <v>Low Risk</v>
      </c>
      <c r="R1470">
        <f>IF(Table1[[#This Row],[Seconds of Use]]=0,0,Table1[[#This Row],[Customer Value]]/Table1[[#This Row],[Seconds of Use]]*100)</f>
        <v>0</v>
      </c>
    </row>
    <row r="1471" spans="1:18" x14ac:dyDescent="0.35">
      <c r="A1471" s="3" t="s">
        <v>1492</v>
      </c>
      <c r="B1471">
        <v>0</v>
      </c>
      <c r="C1471">
        <v>0</v>
      </c>
      <c r="D1471">
        <v>32</v>
      </c>
      <c r="E1471">
        <v>0</v>
      </c>
      <c r="F1471">
        <v>7023</v>
      </c>
      <c r="G1471">
        <v>113</v>
      </c>
      <c r="H1471">
        <v>366</v>
      </c>
      <c r="I1471">
        <v>36</v>
      </c>
      <c r="J1471">
        <v>2</v>
      </c>
      <c r="K1471">
        <v>1</v>
      </c>
      <c r="L1471">
        <v>1</v>
      </c>
      <c r="M1471">
        <v>25</v>
      </c>
      <c r="N1471">
        <v>1968.12</v>
      </c>
      <c r="O1471">
        <v>0</v>
      </c>
      <c r="P14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71" t="str">
        <f>IF(Table1[[#This Row],[Fraud_Score]]&gt;=6, "High Risk",IF(Table1[[#This Row],[Fraud_Score]]&gt;=3, "Medium Risk", "Low Risk"))</f>
        <v>Low Risk</v>
      </c>
      <c r="R1471">
        <f>IF(Table1[[#This Row],[Seconds of Use]]=0,0,Table1[[#This Row],[Customer Value]]/Table1[[#This Row],[Seconds of Use]]*100)</f>
        <v>28.023921401110634</v>
      </c>
    </row>
    <row r="1472" spans="1:18" x14ac:dyDescent="0.35">
      <c r="A1472" s="3" t="s">
        <v>1493</v>
      </c>
      <c r="B1472">
        <v>0</v>
      </c>
      <c r="C1472">
        <v>0</v>
      </c>
      <c r="D1472">
        <v>32</v>
      </c>
      <c r="E1472">
        <v>0</v>
      </c>
      <c r="F1472">
        <v>10980</v>
      </c>
      <c r="G1472">
        <v>140</v>
      </c>
      <c r="H1472">
        <v>0</v>
      </c>
      <c r="I1472">
        <v>40</v>
      </c>
      <c r="J1472">
        <v>3</v>
      </c>
      <c r="K1472">
        <v>1</v>
      </c>
      <c r="L1472">
        <v>1</v>
      </c>
      <c r="M1472">
        <v>30</v>
      </c>
      <c r="N1472">
        <v>444.8</v>
      </c>
      <c r="O1472">
        <v>0</v>
      </c>
      <c r="P14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72" t="str">
        <f>IF(Table1[[#This Row],[Fraud_Score]]&gt;=6, "High Risk",IF(Table1[[#This Row],[Fraud_Score]]&gt;=3, "Medium Risk", "Low Risk"))</f>
        <v>Medium Risk</v>
      </c>
      <c r="R1472">
        <f>IF(Table1[[#This Row],[Seconds of Use]]=0,0,Table1[[#This Row],[Customer Value]]/Table1[[#This Row],[Seconds of Use]]*100)</f>
        <v>4.0510018214936254</v>
      </c>
    </row>
    <row r="1473" spans="1:18" x14ac:dyDescent="0.35">
      <c r="A1473" s="3" t="s">
        <v>1494</v>
      </c>
      <c r="B1473">
        <v>1</v>
      </c>
      <c r="C1473">
        <v>0</v>
      </c>
      <c r="D1473">
        <v>32</v>
      </c>
      <c r="E1473">
        <v>0</v>
      </c>
      <c r="F1473">
        <v>6233</v>
      </c>
      <c r="G1473">
        <v>61</v>
      </c>
      <c r="H1473">
        <v>90</v>
      </c>
      <c r="I1473">
        <v>30</v>
      </c>
      <c r="J1473">
        <v>2</v>
      </c>
      <c r="K1473">
        <v>1</v>
      </c>
      <c r="L1473">
        <v>1</v>
      </c>
      <c r="M1473">
        <v>25</v>
      </c>
      <c r="N1473">
        <v>688.23</v>
      </c>
      <c r="O1473">
        <v>0</v>
      </c>
      <c r="P14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73" t="str">
        <f>IF(Table1[[#This Row],[Fraud_Score]]&gt;=6, "High Risk",IF(Table1[[#This Row],[Fraud_Score]]&gt;=3, "Medium Risk", "Low Risk"))</f>
        <v>Low Risk</v>
      </c>
      <c r="R1473">
        <f>IF(Table1[[#This Row],[Seconds of Use]]=0,0,Table1[[#This Row],[Customer Value]]/Table1[[#This Row],[Seconds of Use]]*100)</f>
        <v>11.041713460612868</v>
      </c>
    </row>
    <row r="1474" spans="1:18" x14ac:dyDescent="0.35">
      <c r="A1474" s="3" t="s">
        <v>1495</v>
      </c>
      <c r="B1474">
        <v>16</v>
      </c>
      <c r="C1474">
        <v>0</v>
      </c>
      <c r="D1474">
        <v>28</v>
      </c>
      <c r="E1474">
        <v>0</v>
      </c>
      <c r="F1474">
        <v>470</v>
      </c>
      <c r="G1474">
        <v>33</v>
      </c>
      <c r="H1474">
        <v>0</v>
      </c>
      <c r="I1474">
        <v>10</v>
      </c>
      <c r="J1474">
        <v>2</v>
      </c>
      <c r="K1474">
        <v>1</v>
      </c>
      <c r="L1474">
        <v>2</v>
      </c>
      <c r="M1474">
        <v>25</v>
      </c>
      <c r="N1474">
        <v>22.635000000000002</v>
      </c>
      <c r="O1474">
        <v>1</v>
      </c>
      <c r="P14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74" t="str">
        <f>IF(Table1[[#This Row],[Fraud_Score]]&gt;=6, "High Risk",IF(Table1[[#This Row],[Fraud_Score]]&gt;=3, "Medium Risk", "Low Risk"))</f>
        <v>Medium Risk</v>
      </c>
      <c r="R1474">
        <f>IF(Table1[[#This Row],[Seconds of Use]]=0,0,Table1[[#This Row],[Customer Value]]/Table1[[#This Row],[Seconds of Use]]*100)</f>
        <v>4.8159574468085111</v>
      </c>
    </row>
    <row r="1475" spans="1:18" x14ac:dyDescent="0.35">
      <c r="A1475" s="3" t="s">
        <v>1496</v>
      </c>
      <c r="B1475">
        <v>14</v>
      </c>
      <c r="C1475">
        <v>0</v>
      </c>
      <c r="D1475">
        <v>31</v>
      </c>
      <c r="E1475">
        <v>7</v>
      </c>
      <c r="F1475">
        <v>9950</v>
      </c>
      <c r="G1475">
        <v>79</v>
      </c>
      <c r="H1475">
        <v>0</v>
      </c>
      <c r="I1475">
        <v>35</v>
      </c>
      <c r="J1475">
        <v>4</v>
      </c>
      <c r="K1475">
        <v>1</v>
      </c>
      <c r="L1475">
        <v>1</v>
      </c>
      <c r="M1475">
        <v>45</v>
      </c>
      <c r="N1475">
        <v>250.72499999999999</v>
      </c>
      <c r="O1475">
        <v>0</v>
      </c>
      <c r="P14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475" t="str">
        <f>IF(Table1[[#This Row],[Fraud_Score]]&gt;=6, "High Risk",IF(Table1[[#This Row],[Fraud_Score]]&gt;=3, "Medium Risk", "Low Risk"))</f>
        <v>Low Risk</v>
      </c>
      <c r="R1475">
        <f>IF(Table1[[#This Row],[Seconds of Use]]=0,0,Table1[[#This Row],[Customer Value]]/Table1[[#This Row],[Seconds of Use]]*100)</f>
        <v>2.5198492462311557</v>
      </c>
    </row>
    <row r="1476" spans="1:18" x14ac:dyDescent="0.35">
      <c r="A1476" s="3" t="s">
        <v>1497</v>
      </c>
      <c r="B1476">
        <v>6</v>
      </c>
      <c r="C1476">
        <v>1</v>
      </c>
      <c r="D1476">
        <v>31</v>
      </c>
      <c r="E1476">
        <v>0</v>
      </c>
      <c r="F1476">
        <v>5333</v>
      </c>
      <c r="G1476">
        <v>84</v>
      </c>
      <c r="H1476">
        <v>8</v>
      </c>
      <c r="I1476">
        <v>17</v>
      </c>
      <c r="J1476">
        <v>2</v>
      </c>
      <c r="K1476">
        <v>1</v>
      </c>
      <c r="L1476">
        <v>1</v>
      </c>
      <c r="M1476">
        <v>25</v>
      </c>
      <c r="N1476">
        <v>279.76499999999999</v>
      </c>
      <c r="O1476">
        <v>1</v>
      </c>
      <c r="P14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76" t="str">
        <f>IF(Table1[[#This Row],[Fraud_Score]]&gt;=6, "High Risk",IF(Table1[[#This Row],[Fraud_Score]]&gt;=3, "Medium Risk", "Low Risk"))</f>
        <v>Medium Risk</v>
      </c>
      <c r="R1476">
        <f>IF(Table1[[#This Row],[Seconds of Use]]=0,0,Table1[[#This Row],[Customer Value]]/Table1[[#This Row],[Seconds of Use]]*100)</f>
        <v>5.2459216201012566</v>
      </c>
    </row>
    <row r="1477" spans="1:18" x14ac:dyDescent="0.35">
      <c r="A1477" s="3" t="s">
        <v>1498</v>
      </c>
      <c r="B1477">
        <v>0</v>
      </c>
      <c r="C1477">
        <v>0</v>
      </c>
      <c r="D1477">
        <v>29</v>
      </c>
      <c r="E1477">
        <v>0</v>
      </c>
      <c r="F1477">
        <v>2355</v>
      </c>
      <c r="G1477">
        <v>8</v>
      </c>
      <c r="H1477">
        <v>0</v>
      </c>
      <c r="I1477">
        <v>7</v>
      </c>
      <c r="J1477">
        <v>3</v>
      </c>
      <c r="K1477">
        <v>1</v>
      </c>
      <c r="L1477">
        <v>1</v>
      </c>
      <c r="M1477">
        <v>30</v>
      </c>
      <c r="N1477">
        <v>94.52</v>
      </c>
      <c r="O1477">
        <v>0</v>
      </c>
      <c r="P14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77" t="str">
        <f>IF(Table1[[#This Row],[Fraud_Score]]&gt;=6, "High Risk",IF(Table1[[#This Row],[Fraud_Score]]&gt;=3, "Medium Risk", "Low Risk"))</f>
        <v>Low Risk</v>
      </c>
      <c r="R1477">
        <f>IF(Table1[[#This Row],[Seconds of Use]]=0,0,Table1[[#This Row],[Customer Value]]/Table1[[#This Row],[Seconds of Use]]*100)</f>
        <v>4.013588110403397</v>
      </c>
    </row>
    <row r="1478" spans="1:18" x14ac:dyDescent="0.35">
      <c r="A1478" s="3" t="s">
        <v>1499</v>
      </c>
      <c r="B1478">
        <v>2</v>
      </c>
      <c r="C1478">
        <v>1</v>
      </c>
      <c r="D1478">
        <v>30</v>
      </c>
      <c r="E1478">
        <v>0</v>
      </c>
      <c r="F1478">
        <v>2505</v>
      </c>
      <c r="G1478">
        <v>27</v>
      </c>
      <c r="H1478">
        <v>0</v>
      </c>
      <c r="I1478">
        <v>9</v>
      </c>
      <c r="J1478">
        <v>2</v>
      </c>
      <c r="K1478">
        <v>1</v>
      </c>
      <c r="L1478">
        <v>2</v>
      </c>
      <c r="M1478">
        <v>25</v>
      </c>
      <c r="N1478">
        <v>113.94</v>
      </c>
      <c r="O1478">
        <v>1</v>
      </c>
      <c r="P14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78" t="str">
        <f>IF(Table1[[#This Row],[Fraud_Score]]&gt;=6, "High Risk",IF(Table1[[#This Row],[Fraud_Score]]&gt;=3, "Medium Risk", "Low Risk"))</f>
        <v>Medium Risk</v>
      </c>
      <c r="R1478">
        <f>IF(Table1[[#This Row],[Seconds of Use]]=0,0,Table1[[#This Row],[Customer Value]]/Table1[[#This Row],[Seconds of Use]]*100)</f>
        <v>4.5485029940119759</v>
      </c>
    </row>
    <row r="1479" spans="1:18" x14ac:dyDescent="0.35">
      <c r="A1479" s="3" t="s">
        <v>1500</v>
      </c>
      <c r="B1479">
        <v>2</v>
      </c>
      <c r="C1479">
        <v>0</v>
      </c>
      <c r="D1479">
        <v>31</v>
      </c>
      <c r="E1479">
        <v>0</v>
      </c>
      <c r="F1479">
        <v>1783</v>
      </c>
      <c r="G1479">
        <v>30</v>
      </c>
      <c r="H1479">
        <v>16</v>
      </c>
      <c r="I1479">
        <v>24</v>
      </c>
      <c r="J1479">
        <v>3</v>
      </c>
      <c r="K1479">
        <v>1</v>
      </c>
      <c r="L1479">
        <v>2</v>
      </c>
      <c r="M1479">
        <v>30</v>
      </c>
      <c r="N1479">
        <v>136.52000000000001</v>
      </c>
      <c r="O1479">
        <v>1</v>
      </c>
      <c r="P14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79" t="str">
        <f>IF(Table1[[#This Row],[Fraud_Score]]&gt;=6, "High Risk",IF(Table1[[#This Row],[Fraud_Score]]&gt;=3, "Medium Risk", "Low Risk"))</f>
        <v>Low Risk</v>
      </c>
      <c r="R1479">
        <f>IF(Table1[[#This Row],[Seconds of Use]]=0,0,Table1[[#This Row],[Customer Value]]/Table1[[#This Row],[Seconds of Use]]*100)</f>
        <v>7.6567582725743142</v>
      </c>
    </row>
    <row r="1480" spans="1:18" x14ac:dyDescent="0.35">
      <c r="A1480" s="3" t="s">
        <v>1501</v>
      </c>
      <c r="B1480">
        <v>0</v>
      </c>
      <c r="C1480">
        <v>0</v>
      </c>
      <c r="D1480">
        <v>31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3</v>
      </c>
      <c r="K1480">
        <v>1</v>
      </c>
      <c r="L1480">
        <v>2</v>
      </c>
      <c r="M1480">
        <v>30</v>
      </c>
      <c r="N1480">
        <v>0</v>
      </c>
      <c r="O1480">
        <v>1</v>
      </c>
      <c r="P14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0" t="str">
        <f>IF(Table1[[#This Row],[Fraud_Score]]&gt;=6, "High Risk",IF(Table1[[#This Row],[Fraud_Score]]&gt;=3, "Medium Risk", "Low Risk"))</f>
        <v>Low Risk</v>
      </c>
      <c r="R1480">
        <f>IF(Table1[[#This Row],[Seconds of Use]]=0,0,Table1[[#This Row],[Customer Value]]/Table1[[#This Row],[Seconds of Use]]*100)</f>
        <v>0</v>
      </c>
    </row>
    <row r="1481" spans="1:18" x14ac:dyDescent="0.35">
      <c r="A1481" s="3" t="s">
        <v>1502</v>
      </c>
      <c r="B1481">
        <v>0</v>
      </c>
      <c r="C1481">
        <v>0</v>
      </c>
      <c r="D1481">
        <v>31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3</v>
      </c>
      <c r="K1481">
        <v>1</v>
      </c>
      <c r="L1481">
        <v>1</v>
      </c>
      <c r="M1481">
        <v>30</v>
      </c>
      <c r="N1481">
        <v>0</v>
      </c>
      <c r="O1481">
        <v>0</v>
      </c>
      <c r="P14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1" t="str">
        <f>IF(Table1[[#This Row],[Fraud_Score]]&gt;=6, "High Risk",IF(Table1[[#This Row],[Fraud_Score]]&gt;=3, "Medium Risk", "Low Risk"))</f>
        <v>Low Risk</v>
      </c>
      <c r="R1481">
        <f>IF(Table1[[#This Row],[Seconds of Use]]=0,0,Table1[[#This Row],[Customer Value]]/Table1[[#This Row],[Seconds of Use]]*100)</f>
        <v>0</v>
      </c>
    </row>
    <row r="1482" spans="1:18" x14ac:dyDescent="0.35">
      <c r="A1482" s="3" t="s">
        <v>1503</v>
      </c>
      <c r="B1482">
        <v>0</v>
      </c>
      <c r="C1482">
        <v>0</v>
      </c>
      <c r="D1482">
        <v>28</v>
      </c>
      <c r="E1482">
        <v>0</v>
      </c>
      <c r="F1482">
        <v>6300</v>
      </c>
      <c r="G1482">
        <v>83</v>
      </c>
      <c r="H1482">
        <v>0</v>
      </c>
      <c r="I1482">
        <v>15</v>
      </c>
      <c r="J1482">
        <v>4</v>
      </c>
      <c r="K1482">
        <v>1</v>
      </c>
      <c r="L1482">
        <v>1</v>
      </c>
      <c r="M1482">
        <v>45</v>
      </c>
      <c r="N1482">
        <v>159.57499999999999</v>
      </c>
      <c r="O1482">
        <v>0</v>
      </c>
      <c r="P14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2" t="str">
        <f>IF(Table1[[#This Row],[Fraud_Score]]&gt;=6, "High Risk",IF(Table1[[#This Row],[Fraud_Score]]&gt;=3, "Medium Risk", "Low Risk"))</f>
        <v>Low Risk</v>
      </c>
      <c r="R1482">
        <f>IF(Table1[[#This Row],[Seconds of Use]]=0,0,Table1[[#This Row],[Customer Value]]/Table1[[#This Row],[Seconds of Use]]*100)</f>
        <v>2.5329365079365078</v>
      </c>
    </row>
    <row r="1483" spans="1:18" x14ac:dyDescent="0.35">
      <c r="A1483" s="3" t="s">
        <v>1504</v>
      </c>
      <c r="B1483">
        <v>0</v>
      </c>
      <c r="C1483">
        <v>0</v>
      </c>
      <c r="D1483">
        <v>31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4</v>
      </c>
      <c r="K1483">
        <v>1</v>
      </c>
      <c r="L1483">
        <v>2</v>
      </c>
      <c r="M1483">
        <v>45</v>
      </c>
      <c r="N1483">
        <v>0</v>
      </c>
      <c r="O1483">
        <v>1</v>
      </c>
      <c r="P14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3" t="str">
        <f>IF(Table1[[#This Row],[Fraud_Score]]&gt;=6, "High Risk",IF(Table1[[#This Row],[Fraud_Score]]&gt;=3, "Medium Risk", "Low Risk"))</f>
        <v>Low Risk</v>
      </c>
      <c r="R1483">
        <f>IF(Table1[[#This Row],[Seconds of Use]]=0,0,Table1[[#This Row],[Customer Value]]/Table1[[#This Row],[Seconds of Use]]*100)</f>
        <v>0</v>
      </c>
    </row>
    <row r="1484" spans="1:18" x14ac:dyDescent="0.35">
      <c r="A1484" s="3" t="s">
        <v>1505</v>
      </c>
      <c r="B1484">
        <v>0</v>
      </c>
      <c r="C1484">
        <v>0</v>
      </c>
      <c r="D1484">
        <v>31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5</v>
      </c>
      <c r="K1484">
        <v>1</v>
      </c>
      <c r="L1484">
        <v>1</v>
      </c>
      <c r="M1484">
        <v>55</v>
      </c>
      <c r="N1484">
        <v>0</v>
      </c>
      <c r="O1484">
        <v>0</v>
      </c>
      <c r="P14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4" t="str">
        <f>IF(Table1[[#This Row],[Fraud_Score]]&gt;=6, "High Risk",IF(Table1[[#This Row],[Fraud_Score]]&gt;=3, "Medium Risk", "Low Risk"))</f>
        <v>Low Risk</v>
      </c>
      <c r="R1484">
        <f>IF(Table1[[#This Row],[Seconds of Use]]=0,0,Table1[[#This Row],[Customer Value]]/Table1[[#This Row],[Seconds of Use]]*100)</f>
        <v>0</v>
      </c>
    </row>
    <row r="1485" spans="1:18" x14ac:dyDescent="0.35">
      <c r="A1485" s="3" t="s">
        <v>1506</v>
      </c>
      <c r="B1485">
        <v>18</v>
      </c>
      <c r="C1485">
        <v>0</v>
      </c>
      <c r="D1485">
        <v>26</v>
      </c>
      <c r="E1485">
        <v>2</v>
      </c>
      <c r="F1485">
        <v>15590</v>
      </c>
      <c r="G1485">
        <v>224</v>
      </c>
      <c r="H1485">
        <v>0</v>
      </c>
      <c r="I1485">
        <v>73</v>
      </c>
      <c r="J1485">
        <v>2</v>
      </c>
      <c r="K1485">
        <v>1</v>
      </c>
      <c r="L1485">
        <v>1</v>
      </c>
      <c r="M1485">
        <v>25</v>
      </c>
      <c r="N1485">
        <v>711.63</v>
      </c>
      <c r="O1485">
        <v>0</v>
      </c>
      <c r="P14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485" t="str">
        <f>IF(Table1[[#This Row],[Fraud_Score]]&gt;=6, "High Risk",IF(Table1[[#This Row],[Fraud_Score]]&gt;=3, "Medium Risk", "Low Risk"))</f>
        <v>Medium Risk</v>
      </c>
      <c r="R1485">
        <f>IF(Table1[[#This Row],[Seconds of Use]]=0,0,Table1[[#This Row],[Customer Value]]/Table1[[#This Row],[Seconds of Use]]*100)</f>
        <v>4.5646568313021172</v>
      </c>
    </row>
    <row r="1486" spans="1:18" x14ac:dyDescent="0.35">
      <c r="A1486" s="3" t="s">
        <v>1507</v>
      </c>
      <c r="B1486">
        <v>0</v>
      </c>
      <c r="C1486">
        <v>0</v>
      </c>
      <c r="D1486">
        <v>29</v>
      </c>
      <c r="E1486">
        <v>2</v>
      </c>
      <c r="F1486">
        <v>6480</v>
      </c>
      <c r="G1486">
        <v>102</v>
      </c>
      <c r="H1486">
        <v>253</v>
      </c>
      <c r="I1486">
        <v>26</v>
      </c>
      <c r="J1486">
        <v>2</v>
      </c>
      <c r="K1486">
        <v>2</v>
      </c>
      <c r="L1486">
        <v>1</v>
      </c>
      <c r="M1486">
        <v>25</v>
      </c>
      <c r="N1486">
        <v>1434.69</v>
      </c>
      <c r="O1486">
        <v>0</v>
      </c>
      <c r="P14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486" t="str">
        <f>IF(Table1[[#This Row],[Fraud_Score]]&gt;=6, "High Risk",IF(Table1[[#This Row],[Fraud_Score]]&gt;=3, "Medium Risk", "Low Risk"))</f>
        <v>Low Risk</v>
      </c>
      <c r="R1486">
        <f>IF(Table1[[#This Row],[Seconds of Use]]=0,0,Table1[[#This Row],[Customer Value]]/Table1[[#This Row],[Seconds of Use]]*100)</f>
        <v>22.140277777777779</v>
      </c>
    </row>
    <row r="1487" spans="1:18" x14ac:dyDescent="0.35">
      <c r="A1487" s="3" t="s">
        <v>1508</v>
      </c>
      <c r="B1487">
        <v>0</v>
      </c>
      <c r="C1487">
        <v>0</v>
      </c>
      <c r="D1487">
        <v>31</v>
      </c>
      <c r="E1487">
        <v>0</v>
      </c>
      <c r="F1487">
        <v>3233</v>
      </c>
      <c r="G1487">
        <v>68</v>
      </c>
      <c r="H1487">
        <v>0</v>
      </c>
      <c r="I1487">
        <v>21</v>
      </c>
      <c r="J1487">
        <v>2</v>
      </c>
      <c r="K1487">
        <v>1</v>
      </c>
      <c r="L1487">
        <v>1</v>
      </c>
      <c r="M1487">
        <v>25</v>
      </c>
      <c r="N1487">
        <v>148.54499999999999</v>
      </c>
      <c r="O1487">
        <v>0</v>
      </c>
      <c r="P14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7" t="str">
        <f>IF(Table1[[#This Row],[Fraud_Score]]&gt;=6, "High Risk",IF(Table1[[#This Row],[Fraud_Score]]&gt;=3, "Medium Risk", "Low Risk"))</f>
        <v>Low Risk</v>
      </c>
      <c r="R1487">
        <f>IF(Table1[[#This Row],[Seconds of Use]]=0,0,Table1[[#This Row],[Customer Value]]/Table1[[#This Row],[Seconds of Use]]*100)</f>
        <v>4.5946489328796778</v>
      </c>
    </row>
    <row r="1488" spans="1:18" x14ac:dyDescent="0.35">
      <c r="A1488" s="3" t="s">
        <v>1509</v>
      </c>
      <c r="B1488">
        <v>0</v>
      </c>
      <c r="C1488">
        <v>0</v>
      </c>
      <c r="D1488">
        <v>30</v>
      </c>
      <c r="E1488">
        <v>0</v>
      </c>
      <c r="F1488">
        <v>1180</v>
      </c>
      <c r="G1488">
        <v>30</v>
      </c>
      <c r="H1488">
        <v>20</v>
      </c>
      <c r="I1488">
        <v>13</v>
      </c>
      <c r="J1488">
        <v>3</v>
      </c>
      <c r="K1488">
        <v>1</v>
      </c>
      <c r="L1488">
        <v>2</v>
      </c>
      <c r="M1488">
        <v>30</v>
      </c>
      <c r="N1488">
        <v>128.4</v>
      </c>
      <c r="O1488">
        <v>0</v>
      </c>
      <c r="P14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8" t="str">
        <f>IF(Table1[[#This Row],[Fraud_Score]]&gt;=6, "High Risk",IF(Table1[[#This Row],[Fraud_Score]]&gt;=3, "Medium Risk", "Low Risk"))</f>
        <v>Low Risk</v>
      </c>
      <c r="R1488">
        <f>IF(Table1[[#This Row],[Seconds of Use]]=0,0,Table1[[#This Row],[Customer Value]]/Table1[[#This Row],[Seconds of Use]]*100)</f>
        <v>10.881355932203391</v>
      </c>
    </row>
    <row r="1489" spans="1:18" x14ac:dyDescent="0.35">
      <c r="A1489" s="3" t="s">
        <v>1510</v>
      </c>
      <c r="B1489">
        <v>0</v>
      </c>
      <c r="C1489">
        <v>0</v>
      </c>
      <c r="D1489">
        <v>31</v>
      </c>
      <c r="E1489">
        <v>0</v>
      </c>
      <c r="F1489">
        <v>2295</v>
      </c>
      <c r="G1489">
        <v>39</v>
      </c>
      <c r="H1489">
        <v>157</v>
      </c>
      <c r="I1489">
        <v>16</v>
      </c>
      <c r="J1489">
        <v>2</v>
      </c>
      <c r="K1489">
        <v>1</v>
      </c>
      <c r="L1489">
        <v>1</v>
      </c>
      <c r="M1489">
        <v>25</v>
      </c>
      <c r="N1489">
        <v>811.53</v>
      </c>
      <c r="O1489">
        <v>0</v>
      </c>
      <c r="P14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89" t="str">
        <f>IF(Table1[[#This Row],[Fraud_Score]]&gt;=6, "High Risk",IF(Table1[[#This Row],[Fraud_Score]]&gt;=3, "Medium Risk", "Low Risk"))</f>
        <v>Low Risk</v>
      </c>
      <c r="R1489">
        <f>IF(Table1[[#This Row],[Seconds of Use]]=0,0,Table1[[#This Row],[Customer Value]]/Table1[[#This Row],[Seconds of Use]]*100)</f>
        <v>35.360784313725489</v>
      </c>
    </row>
    <row r="1490" spans="1:18" x14ac:dyDescent="0.35">
      <c r="A1490" s="3" t="s">
        <v>1511</v>
      </c>
      <c r="B1490">
        <v>0</v>
      </c>
      <c r="C1490">
        <v>0</v>
      </c>
      <c r="D1490">
        <v>22</v>
      </c>
      <c r="E1490">
        <v>0</v>
      </c>
      <c r="F1490">
        <v>830</v>
      </c>
      <c r="G1490">
        <v>22</v>
      </c>
      <c r="H1490">
        <v>175</v>
      </c>
      <c r="I1490">
        <v>4</v>
      </c>
      <c r="J1490">
        <v>2</v>
      </c>
      <c r="K1490">
        <v>2</v>
      </c>
      <c r="L1490">
        <v>1</v>
      </c>
      <c r="M1490">
        <v>25</v>
      </c>
      <c r="N1490">
        <v>825.84</v>
      </c>
      <c r="O1490">
        <v>0</v>
      </c>
      <c r="P14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90" t="str">
        <f>IF(Table1[[#This Row],[Fraud_Score]]&gt;=6, "High Risk",IF(Table1[[#This Row],[Fraud_Score]]&gt;=3, "Medium Risk", "Low Risk"))</f>
        <v>Low Risk</v>
      </c>
      <c r="R1490">
        <f>IF(Table1[[#This Row],[Seconds of Use]]=0,0,Table1[[#This Row],[Customer Value]]/Table1[[#This Row],[Seconds of Use]]*100)</f>
        <v>99.498795180722894</v>
      </c>
    </row>
    <row r="1491" spans="1:18" x14ac:dyDescent="0.35">
      <c r="A1491" s="3" t="s">
        <v>1512</v>
      </c>
      <c r="B1491">
        <v>0</v>
      </c>
      <c r="C1491">
        <v>0</v>
      </c>
      <c r="D1491">
        <v>21</v>
      </c>
      <c r="E1491">
        <v>0</v>
      </c>
      <c r="F1491">
        <v>1083</v>
      </c>
      <c r="G1491">
        <v>25</v>
      </c>
      <c r="H1491">
        <v>12</v>
      </c>
      <c r="I1491">
        <v>61</v>
      </c>
      <c r="J1491">
        <v>4</v>
      </c>
      <c r="K1491">
        <v>1</v>
      </c>
      <c r="L1491">
        <v>1</v>
      </c>
      <c r="M1491">
        <v>45</v>
      </c>
      <c r="N1491">
        <v>57.7</v>
      </c>
      <c r="O1491">
        <v>0</v>
      </c>
      <c r="P14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491" t="str">
        <f>IF(Table1[[#This Row],[Fraud_Score]]&gt;=6, "High Risk",IF(Table1[[#This Row],[Fraud_Score]]&gt;=3, "Medium Risk", "Low Risk"))</f>
        <v>Low Risk</v>
      </c>
      <c r="R1491">
        <f>IF(Table1[[#This Row],[Seconds of Use]]=0,0,Table1[[#This Row],[Customer Value]]/Table1[[#This Row],[Seconds of Use]]*100)</f>
        <v>5.3277931671283474</v>
      </c>
    </row>
    <row r="1492" spans="1:18" x14ac:dyDescent="0.35">
      <c r="A1492" s="3" t="s">
        <v>1513</v>
      </c>
      <c r="B1492">
        <v>4</v>
      </c>
      <c r="C1492">
        <v>0</v>
      </c>
      <c r="D1492">
        <v>22</v>
      </c>
      <c r="E1492">
        <v>0</v>
      </c>
      <c r="F1492">
        <v>215</v>
      </c>
      <c r="G1492">
        <v>11</v>
      </c>
      <c r="H1492">
        <v>0</v>
      </c>
      <c r="I1492">
        <v>3</v>
      </c>
      <c r="J1492">
        <v>2</v>
      </c>
      <c r="K1492">
        <v>1</v>
      </c>
      <c r="L1492">
        <v>2</v>
      </c>
      <c r="M1492">
        <v>25</v>
      </c>
      <c r="N1492">
        <v>10.17</v>
      </c>
      <c r="O1492">
        <v>0</v>
      </c>
      <c r="P14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92" t="str">
        <f>IF(Table1[[#This Row],[Fraud_Score]]&gt;=6, "High Risk",IF(Table1[[#This Row],[Fraud_Score]]&gt;=3, "Medium Risk", "Low Risk"))</f>
        <v>Low Risk</v>
      </c>
      <c r="R1492">
        <f>IF(Table1[[#This Row],[Seconds of Use]]=0,0,Table1[[#This Row],[Customer Value]]/Table1[[#This Row],[Seconds of Use]]*100)</f>
        <v>4.7302325581395346</v>
      </c>
    </row>
    <row r="1493" spans="1:18" x14ac:dyDescent="0.35">
      <c r="A1493" s="3" t="s">
        <v>1514</v>
      </c>
      <c r="B1493">
        <v>0</v>
      </c>
      <c r="C1493">
        <v>0</v>
      </c>
      <c r="D1493">
        <v>21</v>
      </c>
      <c r="E1493">
        <v>0</v>
      </c>
      <c r="F1493">
        <v>0</v>
      </c>
      <c r="G1493">
        <v>0</v>
      </c>
      <c r="H1493">
        <v>3</v>
      </c>
      <c r="I1493">
        <v>0</v>
      </c>
      <c r="J1493">
        <v>4</v>
      </c>
      <c r="K1493">
        <v>1</v>
      </c>
      <c r="L1493">
        <v>2</v>
      </c>
      <c r="M1493">
        <v>45</v>
      </c>
      <c r="N1493">
        <v>7.5</v>
      </c>
      <c r="O1493">
        <v>0</v>
      </c>
      <c r="P14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93" t="str">
        <f>IF(Table1[[#This Row],[Fraud_Score]]&gt;=6, "High Risk",IF(Table1[[#This Row],[Fraud_Score]]&gt;=3, "Medium Risk", "Low Risk"))</f>
        <v>Low Risk</v>
      </c>
      <c r="R1493">
        <f>IF(Table1[[#This Row],[Seconds of Use]]=0,0,Table1[[#This Row],[Customer Value]]/Table1[[#This Row],[Seconds of Use]]*100)</f>
        <v>0</v>
      </c>
    </row>
    <row r="1494" spans="1:18" x14ac:dyDescent="0.35">
      <c r="A1494" s="3" t="s">
        <v>1515</v>
      </c>
      <c r="B1494">
        <v>3</v>
      </c>
      <c r="C1494">
        <v>0</v>
      </c>
      <c r="D1494">
        <v>20</v>
      </c>
      <c r="E1494">
        <v>0</v>
      </c>
      <c r="F1494">
        <v>740</v>
      </c>
      <c r="G1494">
        <v>18</v>
      </c>
      <c r="H1494">
        <v>1</v>
      </c>
      <c r="I1494">
        <v>6</v>
      </c>
      <c r="J1494">
        <v>2</v>
      </c>
      <c r="K1494">
        <v>1</v>
      </c>
      <c r="L1494">
        <v>1</v>
      </c>
      <c r="M1494">
        <v>25</v>
      </c>
      <c r="N1494">
        <v>38.61</v>
      </c>
      <c r="O1494">
        <v>0</v>
      </c>
      <c r="P14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94" t="str">
        <f>IF(Table1[[#This Row],[Fraud_Score]]&gt;=6, "High Risk",IF(Table1[[#This Row],[Fraud_Score]]&gt;=3, "Medium Risk", "Low Risk"))</f>
        <v>Low Risk</v>
      </c>
      <c r="R1494">
        <f>IF(Table1[[#This Row],[Seconds of Use]]=0,0,Table1[[#This Row],[Customer Value]]/Table1[[#This Row],[Seconds of Use]]*100)</f>
        <v>5.217567567567567</v>
      </c>
    </row>
    <row r="1495" spans="1:18" x14ac:dyDescent="0.35">
      <c r="A1495" s="3" t="s">
        <v>1516</v>
      </c>
      <c r="B1495">
        <v>0</v>
      </c>
      <c r="C1495">
        <v>0</v>
      </c>
      <c r="D1495">
        <v>20</v>
      </c>
      <c r="E1495">
        <v>0</v>
      </c>
      <c r="F1495">
        <v>2740</v>
      </c>
      <c r="G1495">
        <v>47</v>
      </c>
      <c r="H1495">
        <v>0</v>
      </c>
      <c r="I1495">
        <v>16</v>
      </c>
      <c r="J1495">
        <v>3</v>
      </c>
      <c r="K1495">
        <v>1</v>
      </c>
      <c r="L1495">
        <v>1</v>
      </c>
      <c r="M1495">
        <v>30</v>
      </c>
      <c r="N1495">
        <v>111.48</v>
      </c>
      <c r="O1495">
        <v>0</v>
      </c>
      <c r="P14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95" t="str">
        <f>IF(Table1[[#This Row],[Fraud_Score]]&gt;=6, "High Risk",IF(Table1[[#This Row],[Fraud_Score]]&gt;=3, "Medium Risk", "Low Risk"))</f>
        <v>Low Risk</v>
      </c>
      <c r="R1495">
        <f>IF(Table1[[#This Row],[Seconds of Use]]=0,0,Table1[[#This Row],[Customer Value]]/Table1[[#This Row],[Seconds of Use]]*100)</f>
        <v>4.0686131386861311</v>
      </c>
    </row>
    <row r="1496" spans="1:18" x14ac:dyDescent="0.35">
      <c r="A1496" s="3" t="s">
        <v>1517</v>
      </c>
      <c r="B1496">
        <v>0</v>
      </c>
      <c r="C1496">
        <v>0</v>
      </c>
      <c r="D1496">
        <v>13</v>
      </c>
      <c r="E1496">
        <v>0</v>
      </c>
      <c r="F1496">
        <v>1210</v>
      </c>
      <c r="G1496">
        <v>12</v>
      </c>
      <c r="H1496">
        <v>10</v>
      </c>
      <c r="I1496">
        <v>7</v>
      </c>
      <c r="J1496">
        <v>2</v>
      </c>
      <c r="K1496">
        <v>1</v>
      </c>
      <c r="L1496">
        <v>1</v>
      </c>
      <c r="M1496">
        <v>25</v>
      </c>
      <c r="N1496">
        <v>99.99</v>
      </c>
      <c r="O1496">
        <v>0</v>
      </c>
      <c r="P14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96" t="str">
        <f>IF(Table1[[#This Row],[Fraud_Score]]&gt;=6, "High Risk",IF(Table1[[#This Row],[Fraud_Score]]&gt;=3, "Medium Risk", "Low Risk"))</f>
        <v>Low Risk</v>
      </c>
      <c r="R1496">
        <f>IF(Table1[[#This Row],[Seconds of Use]]=0,0,Table1[[#This Row],[Customer Value]]/Table1[[#This Row],[Seconds of Use]]*100)</f>
        <v>8.2636363636363637</v>
      </c>
    </row>
    <row r="1497" spans="1:18" x14ac:dyDescent="0.35">
      <c r="A1497" s="3" t="s">
        <v>1518</v>
      </c>
      <c r="B1497">
        <v>9</v>
      </c>
      <c r="C1497">
        <v>0</v>
      </c>
      <c r="D1497">
        <v>12</v>
      </c>
      <c r="E1497">
        <v>0</v>
      </c>
      <c r="F1497">
        <v>5908</v>
      </c>
      <c r="G1497">
        <v>127</v>
      </c>
      <c r="H1497">
        <v>67</v>
      </c>
      <c r="I1497">
        <v>35</v>
      </c>
      <c r="J1497">
        <v>1</v>
      </c>
      <c r="K1497">
        <v>2</v>
      </c>
      <c r="L1497">
        <v>1</v>
      </c>
      <c r="M1497">
        <v>15</v>
      </c>
      <c r="N1497">
        <v>700.42499999999995</v>
      </c>
      <c r="O1497">
        <v>0</v>
      </c>
      <c r="P14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497" t="str">
        <f>IF(Table1[[#This Row],[Fraud_Score]]&gt;=6, "High Risk",IF(Table1[[#This Row],[Fraud_Score]]&gt;=3, "Medium Risk", "Low Risk"))</f>
        <v>Low Risk</v>
      </c>
      <c r="R1497">
        <f>IF(Table1[[#This Row],[Seconds of Use]]=0,0,Table1[[#This Row],[Customer Value]]/Table1[[#This Row],[Seconds of Use]]*100)</f>
        <v>11.855534867975626</v>
      </c>
    </row>
    <row r="1498" spans="1:18" x14ac:dyDescent="0.35">
      <c r="A1498" s="3" t="s">
        <v>1519</v>
      </c>
      <c r="B1498">
        <v>5</v>
      </c>
      <c r="C1498">
        <v>0</v>
      </c>
      <c r="D1498">
        <v>10</v>
      </c>
      <c r="E1498">
        <v>0</v>
      </c>
      <c r="F1498">
        <v>8448</v>
      </c>
      <c r="G1498">
        <v>157</v>
      </c>
      <c r="H1498">
        <v>55</v>
      </c>
      <c r="I1498">
        <v>33</v>
      </c>
      <c r="J1498">
        <v>4</v>
      </c>
      <c r="K1498">
        <v>1</v>
      </c>
      <c r="L1498">
        <v>1</v>
      </c>
      <c r="M1498">
        <v>45</v>
      </c>
      <c r="N1498">
        <v>352.625</v>
      </c>
      <c r="O1498">
        <v>0</v>
      </c>
      <c r="P14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498" t="str">
        <f>IF(Table1[[#This Row],[Fraud_Score]]&gt;=6, "High Risk",IF(Table1[[#This Row],[Fraud_Score]]&gt;=3, "Medium Risk", "Low Risk"))</f>
        <v>Medium Risk</v>
      </c>
      <c r="R1498">
        <f>IF(Table1[[#This Row],[Seconds of Use]]=0,0,Table1[[#This Row],[Customer Value]]/Table1[[#This Row],[Seconds of Use]]*100)</f>
        <v>4.1740648674242422</v>
      </c>
    </row>
    <row r="1499" spans="1:18" x14ac:dyDescent="0.35">
      <c r="A1499" s="3" t="s">
        <v>1520</v>
      </c>
      <c r="B1499">
        <v>1</v>
      </c>
      <c r="C1499">
        <v>0</v>
      </c>
      <c r="D1499">
        <v>11</v>
      </c>
      <c r="E1499">
        <v>2</v>
      </c>
      <c r="F1499">
        <v>2368</v>
      </c>
      <c r="G1499">
        <v>31</v>
      </c>
      <c r="H1499">
        <v>13</v>
      </c>
      <c r="I1499">
        <v>12</v>
      </c>
      <c r="J1499">
        <v>3</v>
      </c>
      <c r="K1499">
        <v>1</v>
      </c>
      <c r="L1499">
        <v>1</v>
      </c>
      <c r="M1499">
        <v>30</v>
      </c>
      <c r="N1499">
        <v>147.96</v>
      </c>
      <c r="O1499">
        <v>0</v>
      </c>
      <c r="P14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499" t="str">
        <f>IF(Table1[[#This Row],[Fraud_Score]]&gt;=6, "High Risk",IF(Table1[[#This Row],[Fraud_Score]]&gt;=3, "Medium Risk", "Low Risk"))</f>
        <v>Low Risk</v>
      </c>
      <c r="R1499">
        <f>IF(Table1[[#This Row],[Seconds of Use]]=0,0,Table1[[#This Row],[Customer Value]]/Table1[[#This Row],[Seconds of Use]]*100)</f>
        <v>6.2483108108108105</v>
      </c>
    </row>
    <row r="1500" spans="1:18" x14ac:dyDescent="0.35">
      <c r="A1500" s="3" t="s">
        <v>1521</v>
      </c>
      <c r="B1500">
        <v>0</v>
      </c>
      <c r="C1500">
        <v>0</v>
      </c>
      <c r="D1500">
        <v>4</v>
      </c>
      <c r="E1500">
        <v>0</v>
      </c>
      <c r="F1500">
        <v>3905</v>
      </c>
      <c r="G1500">
        <v>26</v>
      </c>
      <c r="H1500">
        <v>197</v>
      </c>
      <c r="I1500">
        <v>3</v>
      </c>
      <c r="J1500">
        <v>3</v>
      </c>
      <c r="K1500">
        <v>1</v>
      </c>
      <c r="L1500">
        <v>1</v>
      </c>
      <c r="M1500">
        <v>30</v>
      </c>
      <c r="N1500">
        <v>945.24</v>
      </c>
      <c r="O1500">
        <v>0</v>
      </c>
      <c r="P15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00" t="str">
        <f>IF(Table1[[#This Row],[Fraud_Score]]&gt;=6, "High Risk",IF(Table1[[#This Row],[Fraud_Score]]&gt;=3, "Medium Risk", "Low Risk"))</f>
        <v>Low Risk</v>
      </c>
      <c r="R1500">
        <f>IF(Table1[[#This Row],[Seconds of Use]]=0,0,Table1[[#This Row],[Customer Value]]/Table1[[#This Row],[Seconds of Use]]*100)</f>
        <v>24.205889884763124</v>
      </c>
    </row>
    <row r="1501" spans="1:18" x14ac:dyDescent="0.35">
      <c r="A1501" s="3" t="s">
        <v>1522</v>
      </c>
      <c r="B1501">
        <v>0</v>
      </c>
      <c r="C1501">
        <v>0</v>
      </c>
      <c r="D1501">
        <v>4</v>
      </c>
      <c r="E1501">
        <v>0</v>
      </c>
      <c r="F1501">
        <v>1003</v>
      </c>
      <c r="G1501">
        <v>5</v>
      </c>
      <c r="H1501">
        <v>0</v>
      </c>
      <c r="I1501">
        <v>4</v>
      </c>
      <c r="J1501">
        <v>2</v>
      </c>
      <c r="K1501">
        <v>1</v>
      </c>
      <c r="L1501">
        <v>1</v>
      </c>
      <c r="M1501">
        <v>25</v>
      </c>
      <c r="N1501">
        <v>45.36</v>
      </c>
      <c r="O1501">
        <v>1</v>
      </c>
      <c r="P15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01" t="str">
        <f>IF(Table1[[#This Row],[Fraud_Score]]&gt;=6, "High Risk",IF(Table1[[#This Row],[Fraud_Score]]&gt;=3, "Medium Risk", "Low Risk"))</f>
        <v>Low Risk</v>
      </c>
      <c r="R1501">
        <f>IF(Table1[[#This Row],[Seconds of Use]]=0,0,Table1[[#This Row],[Customer Value]]/Table1[[#This Row],[Seconds of Use]]*100)</f>
        <v>4.5224327018943171</v>
      </c>
    </row>
    <row r="1502" spans="1:18" x14ac:dyDescent="0.35">
      <c r="A1502" s="3" t="s">
        <v>1523</v>
      </c>
      <c r="B1502">
        <v>7</v>
      </c>
      <c r="C1502">
        <v>0</v>
      </c>
      <c r="D1502">
        <v>36</v>
      </c>
      <c r="E1502">
        <v>1</v>
      </c>
      <c r="F1502">
        <v>4665</v>
      </c>
      <c r="G1502">
        <v>75</v>
      </c>
      <c r="H1502">
        <v>19</v>
      </c>
      <c r="I1502">
        <v>30</v>
      </c>
      <c r="J1502">
        <v>2</v>
      </c>
      <c r="K1502">
        <v>1</v>
      </c>
      <c r="L1502">
        <v>1</v>
      </c>
      <c r="M1502">
        <v>25</v>
      </c>
      <c r="N1502">
        <v>298.8</v>
      </c>
      <c r="O1502">
        <v>0</v>
      </c>
      <c r="P15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02" t="str">
        <f>IF(Table1[[#This Row],[Fraud_Score]]&gt;=6, "High Risk",IF(Table1[[#This Row],[Fraud_Score]]&gt;=3, "Medium Risk", "Low Risk"))</f>
        <v>Low Risk</v>
      </c>
      <c r="R1502">
        <f>IF(Table1[[#This Row],[Seconds of Use]]=0,0,Table1[[#This Row],[Customer Value]]/Table1[[#This Row],[Seconds of Use]]*100)</f>
        <v>6.4051446945337629</v>
      </c>
    </row>
    <row r="1503" spans="1:18" x14ac:dyDescent="0.35">
      <c r="A1503" s="3" t="s">
        <v>1524</v>
      </c>
      <c r="B1503">
        <v>0</v>
      </c>
      <c r="C1503">
        <v>0</v>
      </c>
      <c r="D1503">
        <v>37</v>
      </c>
      <c r="E1503">
        <v>0</v>
      </c>
      <c r="F1503">
        <v>613</v>
      </c>
      <c r="G1503">
        <v>9</v>
      </c>
      <c r="H1503">
        <v>21</v>
      </c>
      <c r="I1503">
        <v>17</v>
      </c>
      <c r="J1503">
        <v>2</v>
      </c>
      <c r="K1503">
        <v>1</v>
      </c>
      <c r="L1503">
        <v>2</v>
      </c>
      <c r="M1503">
        <v>25</v>
      </c>
      <c r="N1503">
        <v>122.49</v>
      </c>
      <c r="O1503">
        <v>0</v>
      </c>
      <c r="P15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03" t="str">
        <f>IF(Table1[[#This Row],[Fraud_Score]]&gt;=6, "High Risk",IF(Table1[[#This Row],[Fraud_Score]]&gt;=3, "Medium Risk", "Low Risk"))</f>
        <v>Low Risk</v>
      </c>
      <c r="R1503">
        <f>IF(Table1[[#This Row],[Seconds of Use]]=0,0,Table1[[#This Row],[Customer Value]]/Table1[[#This Row],[Seconds of Use]]*100)</f>
        <v>19.982055464926589</v>
      </c>
    </row>
    <row r="1504" spans="1:18" x14ac:dyDescent="0.35">
      <c r="A1504" s="3" t="s">
        <v>1525</v>
      </c>
      <c r="B1504">
        <v>9</v>
      </c>
      <c r="C1504">
        <v>0</v>
      </c>
      <c r="D1504">
        <v>35</v>
      </c>
      <c r="E1504">
        <v>1</v>
      </c>
      <c r="F1504">
        <v>2748</v>
      </c>
      <c r="G1504">
        <v>64</v>
      </c>
      <c r="H1504">
        <v>373</v>
      </c>
      <c r="I1504">
        <v>37</v>
      </c>
      <c r="J1504">
        <v>2</v>
      </c>
      <c r="K1504">
        <v>1</v>
      </c>
      <c r="L1504">
        <v>1</v>
      </c>
      <c r="M1504">
        <v>25</v>
      </c>
      <c r="N1504">
        <v>1805.04</v>
      </c>
      <c r="O1504">
        <v>0</v>
      </c>
      <c r="P15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04" t="str">
        <f>IF(Table1[[#This Row],[Fraud_Score]]&gt;=6, "High Risk",IF(Table1[[#This Row],[Fraud_Score]]&gt;=3, "Medium Risk", "Low Risk"))</f>
        <v>Low Risk</v>
      </c>
      <c r="R1504">
        <f>IF(Table1[[#This Row],[Seconds of Use]]=0,0,Table1[[#This Row],[Customer Value]]/Table1[[#This Row],[Seconds of Use]]*100)</f>
        <v>65.685589519650662</v>
      </c>
    </row>
    <row r="1505" spans="1:18" x14ac:dyDescent="0.35">
      <c r="A1505" s="3" t="s">
        <v>1526</v>
      </c>
      <c r="B1505">
        <v>9</v>
      </c>
      <c r="C1505">
        <v>0</v>
      </c>
      <c r="D1505">
        <v>36</v>
      </c>
      <c r="E1505">
        <v>1</v>
      </c>
      <c r="F1505">
        <v>4493</v>
      </c>
      <c r="G1505">
        <v>70</v>
      </c>
      <c r="H1505">
        <v>15</v>
      </c>
      <c r="I1505">
        <v>48</v>
      </c>
      <c r="J1505">
        <v>1</v>
      </c>
      <c r="K1505">
        <v>1</v>
      </c>
      <c r="L1505">
        <v>1</v>
      </c>
      <c r="M1505">
        <v>15</v>
      </c>
      <c r="N1505">
        <v>333.46499999999997</v>
      </c>
      <c r="O1505">
        <v>0</v>
      </c>
      <c r="P15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05" t="str">
        <f>IF(Table1[[#This Row],[Fraud_Score]]&gt;=6, "High Risk",IF(Table1[[#This Row],[Fraud_Score]]&gt;=3, "Medium Risk", "Low Risk"))</f>
        <v>Low Risk</v>
      </c>
      <c r="R1505">
        <f>IF(Table1[[#This Row],[Seconds of Use]]=0,0,Table1[[#This Row],[Customer Value]]/Table1[[#This Row],[Seconds of Use]]*100)</f>
        <v>7.4218784776318714</v>
      </c>
    </row>
    <row r="1506" spans="1:18" x14ac:dyDescent="0.35">
      <c r="A1506" s="3" t="s">
        <v>1527</v>
      </c>
      <c r="B1506">
        <v>2</v>
      </c>
      <c r="C1506">
        <v>0</v>
      </c>
      <c r="D1506">
        <v>36</v>
      </c>
      <c r="E1506">
        <v>1</v>
      </c>
      <c r="F1506">
        <v>2688</v>
      </c>
      <c r="G1506">
        <v>62</v>
      </c>
      <c r="H1506">
        <v>16</v>
      </c>
      <c r="I1506">
        <v>46</v>
      </c>
      <c r="J1506">
        <v>1</v>
      </c>
      <c r="K1506">
        <v>1</v>
      </c>
      <c r="L1506">
        <v>1</v>
      </c>
      <c r="M1506">
        <v>15</v>
      </c>
      <c r="N1506">
        <v>239.25</v>
      </c>
      <c r="O1506">
        <v>0</v>
      </c>
      <c r="P15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06" t="str">
        <f>IF(Table1[[#This Row],[Fraud_Score]]&gt;=6, "High Risk",IF(Table1[[#This Row],[Fraud_Score]]&gt;=3, "Medium Risk", "Low Risk"))</f>
        <v>Low Risk</v>
      </c>
      <c r="R1506">
        <f>IF(Table1[[#This Row],[Seconds of Use]]=0,0,Table1[[#This Row],[Customer Value]]/Table1[[#This Row],[Seconds of Use]]*100)</f>
        <v>8.9006696428571423</v>
      </c>
    </row>
    <row r="1507" spans="1:18" x14ac:dyDescent="0.35">
      <c r="A1507" s="3" t="s">
        <v>1528</v>
      </c>
      <c r="B1507">
        <v>10</v>
      </c>
      <c r="C1507">
        <v>0</v>
      </c>
      <c r="D1507">
        <v>36</v>
      </c>
      <c r="E1507">
        <v>2</v>
      </c>
      <c r="F1507">
        <v>4070</v>
      </c>
      <c r="G1507">
        <v>86</v>
      </c>
      <c r="H1507">
        <v>46</v>
      </c>
      <c r="I1507">
        <v>41</v>
      </c>
      <c r="J1507">
        <v>3</v>
      </c>
      <c r="K1507">
        <v>1</v>
      </c>
      <c r="L1507">
        <v>1</v>
      </c>
      <c r="M1507">
        <v>30</v>
      </c>
      <c r="N1507">
        <v>350.24</v>
      </c>
      <c r="O1507">
        <v>0</v>
      </c>
      <c r="P15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07" t="str">
        <f>IF(Table1[[#This Row],[Fraud_Score]]&gt;=6, "High Risk",IF(Table1[[#This Row],[Fraud_Score]]&gt;=3, "Medium Risk", "Low Risk"))</f>
        <v>Low Risk</v>
      </c>
      <c r="R1507">
        <f>IF(Table1[[#This Row],[Seconds of Use]]=0,0,Table1[[#This Row],[Customer Value]]/Table1[[#This Row],[Seconds of Use]]*100)</f>
        <v>8.6054054054054063</v>
      </c>
    </row>
    <row r="1508" spans="1:18" x14ac:dyDescent="0.35">
      <c r="A1508" s="3" t="s">
        <v>1529</v>
      </c>
      <c r="B1508">
        <v>3</v>
      </c>
      <c r="C1508">
        <v>0</v>
      </c>
      <c r="D1508">
        <v>36</v>
      </c>
      <c r="E1508">
        <v>1</v>
      </c>
      <c r="F1508">
        <v>2655</v>
      </c>
      <c r="G1508">
        <v>43</v>
      </c>
      <c r="H1508">
        <v>299</v>
      </c>
      <c r="I1508">
        <v>31</v>
      </c>
      <c r="J1508">
        <v>3</v>
      </c>
      <c r="K1508">
        <v>1</v>
      </c>
      <c r="L1508">
        <v>1</v>
      </c>
      <c r="M1508">
        <v>30</v>
      </c>
      <c r="N1508">
        <v>1303.92</v>
      </c>
      <c r="O1508">
        <v>0</v>
      </c>
      <c r="P15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08" t="str">
        <f>IF(Table1[[#This Row],[Fraud_Score]]&gt;=6, "High Risk",IF(Table1[[#This Row],[Fraud_Score]]&gt;=3, "Medium Risk", "Low Risk"))</f>
        <v>Low Risk</v>
      </c>
      <c r="R1508">
        <f>IF(Table1[[#This Row],[Seconds of Use]]=0,0,Table1[[#This Row],[Customer Value]]/Table1[[#This Row],[Seconds of Use]]*100)</f>
        <v>49.111864406779667</v>
      </c>
    </row>
    <row r="1509" spans="1:18" x14ac:dyDescent="0.35">
      <c r="A1509" s="3" t="s">
        <v>1530</v>
      </c>
      <c r="B1509">
        <v>12</v>
      </c>
      <c r="C1509">
        <v>0</v>
      </c>
      <c r="D1509">
        <v>35</v>
      </c>
      <c r="E1509">
        <v>3</v>
      </c>
      <c r="F1509">
        <v>9410</v>
      </c>
      <c r="G1509">
        <v>125</v>
      </c>
      <c r="H1509">
        <v>158</v>
      </c>
      <c r="I1509">
        <v>56</v>
      </c>
      <c r="J1509">
        <v>3</v>
      </c>
      <c r="K1509">
        <v>1</v>
      </c>
      <c r="L1509">
        <v>1</v>
      </c>
      <c r="M1509">
        <v>30</v>
      </c>
      <c r="N1509">
        <v>1013.4</v>
      </c>
      <c r="O1509">
        <v>0</v>
      </c>
      <c r="P15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09" t="str">
        <f>IF(Table1[[#This Row],[Fraud_Score]]&gt;=6, "High Risk",IF(Table1[[#This Row],[Fraud_Score]]&gt;=3, "Medium Risk", "Low Risk"))</f>
        <v>Medium Risk</v>
      </c>
      <c r="R1509">
        <f>IF(Table1[[#This Row],[Seconds of Use]]=0,0,Table1[[#This Row],[Customer Value]]/Table1[[#This Row],[Seconds of Use]]*100)</f>
        <v>10.769394261424017</v>
      </c>
    </row>
    <row r="1510" spans="1:18" x14ac:dyDescent="0.35">
      <c r="A1510" s="3" t="s">
        <v>1531</v>
      </c>
      <c r="B1510">
        <v>6</v>
      </c>
      <c r="C1510">
        <v>0</v>
      </c>
      <c r="D1510">
        <v>36</v>
      </c>
      <c r="E1510">
        <v>1</v>
      </c>
      <c r="F1510">
        <v>14068</v>
      </c>
      <c r="G1510">
        <v>173</v>
      </c>
      <c r="H1510">
        <v>14</v>
      </c>
      <c r="I1510">
        <v>57</v>
      </c>
      <c r="J1510">
        <v>3</v>
      </c>
      <c r="K1510">
        <v>1</v>
      </c>
      <c r="L1510">
        <v>1</v>
      </c>
      <c r="M1510">
        <v>30</v>
      </c>
      <c r="N1510">
        <v>625.64</v>
      </c>
      <c r="O1510">
        <v>0</v>
      </c>
      <c r="P15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10" t="str">
        <f>IF(Table1[[#This Row],[Fraud_Score]]&gt;=6, "High Risk",IF(Table1[[#This Row],[Fraud_Score]]&gt;=3, "Medium Risk", "Low Risk"))</f>
        <v>Medium Risk</v>
      </c>
      <c r="R1510">
        <f>IF(Table1[[#This Row],[Seconds of Use]]=0,0,Table1[[#This Row],[Customer Value]]/Table1[[#This Row],[Seconds of Use]]*100)</f>
        <v>4.447256184247939</v>
      </c>
    </row>
    <row r="1511" spans="1:18" x14ac:dyDescent="0.35">
      <c r="A1511" s="3" t="s">
        <v>1532</v>
      </c>
      <c r="B1511">
        <v>6</v>
      </c>
      <c r="C1511">
        <v>0</v>
      </c>
      <c r="D1511">
        <v>36</v>
      </c>
      <c r="E1511">
        <v>2</v>
      </c>
      <c r="F1511">
        <v>4810</v>
      </c>
      <c r="G1511">
        <v>87</v>
      </c>
      <c r="H1511">
        <v>16</v>
      </c>
      <c r="I1511">
        <v>38</v>
      </c>
      <c r="J1511">
        <v>3</v>
      </c>
      <c r="K1511">
        <v>1</v>
      </c>
      <c r="L1511">
        <v>1</v>
      </c>
      <c r="M1511">
        <v>30</v>
      </c>
      <c r="N1511">
        <v>259.88</v>
      </c>
      <c r="O1511">
        <v>0</v>
      </c>
      <c r="P15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11" t="str">
        <f>IF(Table1[[#This Row],[Fraud_Score]]&gt;=6, "High Risk",IF(Table1[[#This Row],[Fraud_Score]]&gt;=3, "Medium Risk", "Low Risk"))</f>
        <v>Low Risk</v>
      </c>
      <c r="R1511">
        <f>IF(Table1[[#This Row],[Seconds of Use]]=0,0,Table1[[#This Row],[Customer Value]]/Table1[[#This Row],[Seconds of Use]]*100)</f>
        <v>5.4029106029106027</v>
      </c>
    </row>
    <row r="1512" spans="1:18" x14ac:dyDescent="0.35">
      <c r="A1512" s="3" t="s">
        <v>1533</v>
      </c>
      <c r="B1512">
        <v>5</v>
      </c>
      <c r="C1512">
        <v>0</v>
      </c>
      <c r="D1512">
        <v>36</v>
      </c>
      <c r="E1512">
        <v>1</v>
      </c>
      <c r="F1512">
        <v>6213</v>
      </c>
      <c r="G1512">
        <v>99</v>
      </c>
      <c r="H1512">
        <v>21</v>
      </c>
      <c r="I1512">
        <v>25</v>
      </c>
      <c r="J1512">
        <v>2</v>
      </c>
      <c r="K1512">
        <v>1</v>
      </c>
      <c r="L1512">
        <v>1</v>
      </c>
      <c r="M1512">
        <v>25</v>
      </c>
      <c r="N1512">
        <v>378.54</v>
      </c>
      <c r="O1512">
        <v>0</v>
      </c>
      <c r="P15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12" t="str">
        <f>IF(Table1[[#This Row],[Fraud_Score]]&gt;=6, "High Risk",IF(Table1[[#This Row],[Fraud_Score]]&gt;=3, "Medium Risk", "Low Risk"))</f>
        <v>Low Risk</v>
      </c>
      <c r="R1512">
        <f>IF(Table1[[#This Row],[Seconds of Use]]=0,0,Table1[[#This Row],[Customer Value]]/Table1[[#This Row],[Seconds of Use]]*100)</f>
        <v>6.0927088363109609</v>
      </c>
    </row>
    <row r="1513" spans="1:18" x14ac:dyDescent="0.35">
      <c r="A1513" s="3" t="s">
        <v>1534</v>
      </c>
      <c r="B1513">
        <v>8</v>
      </c>
      <c r="C1513">
        <v>0</v>
      </c>
      <c r="D1513">
        <v>36</v>
      </c>
      <c r="E1513">
        <v>0</v>
      </c>
      <c r="F1513">
        <v>2533</v>
      </c>
      <c r="G1513">
        <v>58</v>
      </c>
      <c r="H1513">
        <v>22</v>
      </c>
      <c r="I1513">
        <v>30</v>
      </c>
      <c r="J1513">
        <v>3</v>
      </c>
      <c r="K1513">
        <v>1</v>
      </c>
      <c r="L1513">
        <v>2</v>
      </c>
      <c r="M1513">
        <v>30</v>
      </c>
      <c r="N1513">
        <v>191.64</v>
      </c>
      <c r="O1513">
        <v>0</v>
      </c>
      <c r="P15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13" t="str">
        <f>IF(Table1[[#This Row],[Fraud_Score]]&gt;=6, "High Risk",IF(Table1[[#This Row],[Fraud_Score]]&gt;=3, "Medium Risk", "Low Risk"))</f>
        <v>Low Risk</v>
      </c>
      <c r="R1513">
        <f>IF(Table1[[#This Row],[Seconds of Use]]=0,0,Table1[[#This Row],[Customer Value]]/Table1[[#This Row],[Seconds of Use]]*100)</f>
        <v>7.565732333201737</v>
      </c>
    </row>
    <row r="1514" spans="1:18" x14ac:dyDescent="0.35">
      <c r="A1514" s="3" t="s">
        <v>1535</v>
      </c>
      <c r="B1514">
        <v>24</v>
      </c>
      <c r="C1514">
        <v>0</v>
      </c>
      <c r="D1514">
        <v>36</v>
      </c>
      <c r="E1514">
        <v>4</v>
      </c>
      <c r="F1514">
        <v>15435</v>
      </c>
      <c r="G1514">
        <v>229</v>
      </c>
      <c r="H1514">
        <v>68</v>
      </c>
      <c r="I1514">
        <v>45</v>
      </c>
      <c r="J1514">
        <v>3</v>
      </c>
      <c r="K1514">
        <v>2</v>
      </c>
      <c r="L1514">
        <v>1</v>
      </c>
      <c r="M1514">
        <v>30</v>
      </c>
      <c r="N1514">
        <v>898.56</v>
      </c>
      <c r="O1514">
        <v>0</v>
      </c>
      <c r="P15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514" t="str">
        <f>IF(Table1[[#This Row],[Fraud_Score]]&gt;=6, "High Risk",IF(Table1[[#This Row],[Fraud_Score]]&gt;=3, "Medium Risk", "Low Risk"))</f>
        <v>Medium Risk</v>
      </c>
      <c r="R1514">
        <f>IF(Table1[[#This Row],[Seconds of Use]]=0,0,Table1[[#This Row],[Customer Value]]/Table1[[#This Row],[Seconds of Use]]*100)</f>
        <v>5.8215743440233236</v>
      </c>
    </row>
    <row r="1515" spans="1:18" x14ac:dyDescent="0.35">
      <c r="A1515" s="3" t="s">
        <v>1536</v>
      </c>
      <c r="B1515">
        <v>3</v>
      </c>
      <c r="C1515">
        <v>0</v>
      </c>
      <c r="D1515">
        <v>36</v>
      </c>
      <c r="E1515">
        <v>2</v>
      </c>
      <c r="F1515">
        <v>3390</v>
      </c>
      <c r="G1515">
        <v>31</v>
      </c>
      <c r="H1515">
        <v>497</v>
      </c>
      <c r="I1515">
        <v>21</v>
      </c>
      <c r="J1515">
        <v>3</v>
      </c>
      <c r="K1515">
        <v>1</v>
      </c>
      <c r="L1515">
        <v>1</v>
      </c>
      <c r="M1515">
        <v>30</v>
      </c>
      <c r="N1515">
        <v>2124.84</v>
      </c>
      <c r="O1515">
        <v>0</v>
      </c>
      <c r="P15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15" t="str">
        <f>IF(Table1[[#This Row],[Fraud_Score]]&gt;=6, "High Risk",IF(Table1[[#This Row],[Fraud_Score]]&gt;=3, "Medium Risk", "Low Risk"))</f>
        <v>Low Risk</v>
      </c>
      <c r="R1515">
        <f>IF(Table1[[#This Row],[Seconds of Use]]=0,0,Table1[[#This Row],[Customer Value]]/Table1[[#This Row],[Seconds of Use]]*100)</f>
        <v>62.67964601769912</v>
      </c>
    </row>
    <row r="1516" spans="1:18" x14ac:dyDescent="0.35">
      <c r="A1516" s="3" t="s">
        <v>1537</v>
      </c>
      <c r="B1516">
        <v>8</v>
      </c>
      <c r="C1516">
        <v>0</v>
      </c>
      <c r="D1516">
        <v>35</v>
      </c>
      <c r="E1516">
        <v>1</v>
      </c>
      <c r="F1516">
        <v>15780</v>
      </c>
      <c r="G1516">
        <v>186</v>
      </c>
      <c r="H1516">
        <v>164</v>
      </c>
      <c r="I1516">
        <v>43</v>
      </c>
      <c r="J1516">
        <v>2</v>
      </c>
      <c r="K1516">
        <v>1</v>
      </c>
      <c r="L1516">
        <v>1</v>
      </c>
      <c r="M1516">
        <v>25</v>
      </c>
      <c r="N1516">
        <v>1456.47</v>
      </c>
      <c r="O1516">
        <v>0</v>
      </c>
      <c r="P15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16" t="str">
        <f>IF(Table1[[#This Row],[Fraud_Score]]&gt;=6, "High Risk",IF(Table1[[#This Row],[Fraud_Score]]&gt;=3, "Medium Risk", "Low Risk"))</f>
        <v>Low Risk</v>
      </c>
      <c r="R1516">
        <f>IF(Table1[[#This Row],[Seconds of Use]]=0,0,Table1[[#This Row],[Customer Value]]/Table1[[#This Row],[Seconds of Use]]*100)</f>
        <v>9.2298479087452474</v>
      </c>
    </row>
    <row r="1517" spans="1:18" x14ac:dyDescent="0.35">
      <c r="A1517" s="3" t="s">
        <v>1538</v>
      </c>
      <c r="B1517">
        <v>2</v>
      </c>
      <c r="C1517">
        <v>0</v>
      </c>
      <c r="D1517">
        <v>35</v>
      </c>
      <c r="E1517">
        <v>2</v>
      </c>
      <c r="F1517">
        <v>6795</v>
      </c>
      <c r="G1517">
        <v>90</v>
      </c>
      <c r="H1517">
        <v>200</v>
      </c>
      <c r="I1517">
        <v>39</v>
      </c>
      <c r="J1517">
        <v>3</v>
      </c>
      <c r="K1517">
        <v>1</v>
      </c>
      <c r="L1517">
        <v>1</v>
      </c>
      <c r="M1517">
        <v>30</v>
      </c>
      <c r="N1517">
        <v>1075.4000000000001</v>
      </c>
      <c r="O1517">
        <v>0</v>
      </c>
      <c r="P15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17" t="str">
        <f>IF(Table1[[#This Row],[Fraud_Score]]&gt;=6, "High Risk",IF(Table1[[#This Row],[Fraud_Score]]&gt;=3, "Medium Risk", "Low Risk"))</f>
        <v>Low Risk</v>
      </c>
      <c r="R1517">
        <f>IF(Table1[[#This Row],[Seconds of Use]]=0,0,Table1[[#This Row],[Customer Value]]/Table1[[#This Row],[Seconds of Use]]*100)</f>
        <v>15.826342899190582</v>
      </c>
    </row>
    <row r="1518" spans="1:18" x14ac:dyDescent="0.35">
      <c r="A1518" s="3" t="s">
        <v>1539</v>
      </c>
      <c r="B1518">
        <v>0</v>
      </c>
      <c r="C1518">
        <v>0</v>
      </c>
      <c r="D1518">
        <v>35</v>
      </c>
      <c r="E1518">
        <v>0</v>
      </c>
      <c r="F1518">
        <v>1170</v>
      </c>
      <c r="G1518">
        <v>18</v>
      </c>
      <c r="H1518">
        <v>14</v>
      </c>
      <c r="I1518">
        <v>24</v>
      </c>
      <c r="J1518">
        <v>2</v>
      </c>
      <c r="K1518">
        <v>1</v>
      </c>
      <c r="L1518">
        <v>2</v>
      </c>
      <c r="M1518">
        <v>25</v>
      </c>
      <c r="N1518">
        <v>116.46</v>
      </c>
      <c r="O1518">
        <v>0</v>
      </c>
      <c r="P15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18" t="str">
        <f>IF(Table1[[#This Row],[Fraud_Score]]&gt;=6, "High Risk",IF(Table1[[#This Row],[Fraud_Score]]&gt;=3, "Medium Risk", "Low Risk"))</f>
        <v>Low Risk</v>
      </c>
      <c r="R1518">
        <f>IF(Table1[[#This Row],[Seconds of Use]]=0,0,Table1[[#This Row],[Customer Value]]/Table1[[#This Row],[Seconds of Use]]*100)</f>
        <v>9.953846153846154</v>
      </c>
    </row>
    <row r="1519" spans="1:18" x14ac:dyDescent="0.35">
      <c r="A1519" s="3" t="s">
        <v>1540</v>
      </c>
      <c r="B1519">
        <v>1</v>
      </c>
      <c r="C1519">
        <v>0</v>
      </c>
      <c r="D1519">
        <v>36</v>
      </c>
      <c r="E1519">
        <v>0</v>
      </c>
      <c r="F1519">
        <v>1005</v>
      </c>
      <c r="G1519">
        <v>18</v>
      </c>
      <c r="H1519">
        <v>27</v>
      </c>
      <c r="I1519">
        <v>21</v>
      </c>
      <c r="J1519">
        <v>2</v>
      </c>
      <c r="K1519">
        <v>1</v>
      </c>
      <c r="L1519">
        <v>2</v>
      </c>
      <c r="M1519">
        <v>25</v>
      </c>
      <c r="N1519">
        <v>167.535</v>
      </c>
      <c r="O1519">
        <v>0</v>
      </c>
      <c r="P15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19" t="str">
        <f>IF(Table1[[#This Row],[Fraud_Score]]&gt;=6, "High Risk",IF(Table1[[#This Row],[Fraud_Score]]&gt;=3, "Medium Risk", "Low Risk"))</f>
        <v>Low Risk</v>
      </c>
      <c r="R1519">
        <f>IF(Table1[[#This Row],[Seconds of Use]]=0,0,Table1[[#This Row],[Customer Value]]/Table1[[#This Row],[Seconds of Use]]*100)</f>
        <v>16.670149253731342</v>
      </c>
    </row>
    <row r="1520" spans="1:18" x14ac:dyDescent="0.35">
      <c r="A1520" s="3" t="s">
        <v>1541</v>
      </c>
      <c r="B1520">
        <v>0</v>
      </c>
      <c r="C1520">
        <v>1</v>
      </c>
      <c r="D1520">
        <v>35</v>
      </c>
      <c r="E1520">
        <v>0</v>
      </c>
      <c r="F1520">
        <v>295</v>
      </c>
      <c r="G1520">
        <v>4</v>
      </c>
      <c r="H1520">
        <v>14</v>
      </c>
      <c r="I1520">
        <v>13</v>
      </c>
      <c r="J1520">
        <v>2</v>
      </c>
      <c r="K1520">
        <v>1</v>
      </c>
      <c r="L1520">
        <v>2</v>
      </c>
      <c r="M1520">
        <v>25</v>
      </c>
      <c r="N1520">
        <v>76.454999999999998</v>
      </c>
      <c r="O1520">
        <v>1</v>
      </c>
      <c r="P15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20" t="str">
        <f>IF(Table1[[#This Row],[Fraud_Score]]&gt;=6, "High Risk",IF(Table1[[#This Row],[Fraud_Score]]&gt;=3, "Medium Risk", "Low Risk"))</f>
        <v>Medium Risk</v>
      </c>
      <c r="R1520">
        <f>IF(Table1[[#This Row],[Seconds of Use]]=0,0,Table1[[#This Row],[Customer Value]]/Table1[[#This Row],[Seconds of Use]]*100)</f>
        <v>25.916949152542372</v>
      </c>
    </row>
    <row r="1521" spans="1:18" x14ac:dyDescent="0.35">
      <c r="A1521" s="3" t="s">
        <v>1542</v>
      </c>
      <c r="B1521">
        <v>2</v>
      </c>
      <c r="C1521">
        <v>0</v>
      </c>
      <c r="D1521">
        <v>35</v>
      </c>
      <c r="E1521">
        <v>1</v>
      </c>
      <c r="F1521">
        <v>7803</v>
      </c>
      <c r="G1521">
        <v>131</v>
      </c>
      <c r="H1521">
        <v>398</v>
      </c>
      <c r="I1521">
        <v>56</v>
      </c>
      <c r="J1521">
        <v>2</v>
      </c>
      <c r="K1521">
        <v>1</v>
      </c>
      <c r="L1521">
        <v>1</v>
      </c>
      <c r="M1521">
        <v>25</v>
      </c>
      <c r="N1521">
        <v>2148.0300000000002</v>
      </c>
      <c r="O1521">
        <v>0</v>
      </c>
      <c r="P15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21" t="str">
        <f>IF(Table1[[#This Row],[Fraud_Score]]&gt;=6, "High Risk",IF(Table1[[#This Row],[Fraud_Score]]&gt;=3, "Medium Risk", "Low Risk"))</f>
        <v>Low Risk</v>
      </c>
      <c r="R1521">
        <f>IF(Table1[[#This Row],[Seconds of Use]]=0,0,Table1[[#This Row],[Customer Value]]/Table1[[#This Row],[Seconds of Use]]*100)</f>
        <v>27.528258362168401</v>
      </c>
    </row>
    <row r="1522" spans="1:18" x14ac:dyDescent="0.35">
      <c r="A1522" s="3" t="s">
        <v>1543</v>
      </c>
      <c r="B1522">
        <v>6</v>
      </c>
      <c r="C1522">
        <v>0</v>
      </c>
      <c r="D1522">
        <v>35</v>
      </c>
      <c r="E1522">
        <v>2</v>
      </c>
      <c r="F1522">
        <v>11760</v>
      </c>
      <c r="G1522">
        <v>158</v>
      </c>
      <c r="H1522">
        <v>25</v>
      </c>
      <c r="I1522">
        <v>60</v>
      </c>
      <c r="J1522">
        <v>3</v>
      </c>
      <c r="K1522">
        <v>1</v>
      </c>
      <c r="L1522">
        <v>1</v>
      </c>
      <c r="M1522">
        <v>30</v>
      </c>
      <c r="N1522">
        <v>576.72</v>
      </c>
      <c r="O1522">
        <v>0</v>
      </c>
      <c r="P15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22" t="str">
        <f>IF(Table1[[#This Row],[Fraud_Score]]&gt;=6, "High Risk",IF(Table1[[#This Row],[Fraud_Score]]&gt;=3, "Medium Risk", "Low Risk"))</f>
        <v>Medium Risk</v>
      </c>
      <c r="R1522">
        <f>IF(Table1[[#This Row],[Seconds of Use]]=0,0,Table1[[#This Row],[Customer Value]]/Table1[[#This Row],[Seconds of Use]]*100)</f>
        <v>4.9040816326530612</v>
      </c>
    </row>
    <row r="1523" spans="1:18" x14ac:dyDescent="0.35">
      <c r="A1523" s="3" t="s">
        <v>1544</v>
      </c>
      <c r="B1523">
        <v>7</v>
      </c>
      <c r="C1523">
        <v>0</v>
      </c>
      <c r="D1523">
        <v>35</v>
      </c>
      <c r="E1523">
        <v>2</v>
      </c>
      <c r="F1523">
        <v>7013</v>
      </c>
      <c r="G1523">
        <v>79</v>
      </c>
      <c r="H1523">
        <v>122</v>
      </c>
      <c r="I1523">
        <v>50</v>
      </c>
      <c r="J1523">
        <v>2</v>
      </c>
      <c r="K1523">
        <v>1</v>
      </c>
      <c r="L1523">
        <v>1</v>
      </c>
      <c r="M1523">
        <v>25</v>
      </c>
      <c r="N1523">
        <v>868.14</v>
      </c>
      <c r="O1523">
        <v>0</v>
      </c>
      <c r="P15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23" t="str">
        <f>IF(Table1[[#This Row],[Fraud_Score]]&gt;=6, "High Risk",IF(Table1[[#This Row],[Fraud_Score]]&gt;=3, "Medium Risk", "Low Risk"))</f>
        <v>Low Risk</v>
      </c>
      <c r="R1523">
        <f>IF(Table1[[#This Row],[Seconds of Use]]=0,0,Table1[[#This Row],[Customer Value]]/Table1[[#This Row],[Seconds of Use]]*100)</f>
        <v>12.379010409239982</v>
      </c>
    </row>
    <row r="1524" spans="1:18" x14ac:dyDescent="0.35">
      <c r="A1524" s="3" t="s">
        <v>1545</v>
      </c>
      <c r="B1524">
        <v>22</v>
      </c>
      <c r="C1524">
        <v>0</v>
      </c>
      <c r="D1524">
        <v>31</v>
      </c>
      <c r="E1524">
        <v>0</v>
      </c>
      <c r="F1524">
        <v>1250</v>
      </c>
      <c r="G1524">
        <v>51</v>
      </c>
      <c r="H1524">
        <v>30</v>
      </c>
      <c r="I1524">
        <v>30</v>
      </c>
      <c r="J1524">
        <v>2</v>
      </c>
      <c r="K1524">
        <v>1</v>
      </c>
      <c r="L1524">
        <v>2</v>
      </c>
      <c r="M1524">
        <v>25</v>
      </c>
      <c r="N1524">
        <v>193.54499999999999</v>
      </c>
      <c r="O1524">
        <v>1</v>
      </c>
      <c r="P15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24" t="str">
        <f>IF(Table1[[#This Row],[Fraud_Score]]&gt;=6, "High Risk",IF(Table1[[#This Row],[Fraud_Score]]&gt;=3, "Medium Risk", "Low Risk"))</f>
        <v>Medium Risk</v>
      </c>
      <c r="R1524">
        <f>IF(Table1[[#This Row],[Seconds of Use]]=0,0,Table1[[#This Row],[Customer Value]]/Table1[[#This Row],[Seconds of Use]]*100)</f>
        <v>15.483600000000001</v>
      </c>
    </row>
    <row r="1525" spans="1:18" x14ac:dyDescent="0.35">
      <c r="A1525" s="3" t="s">
        <v>1546</v>
      </c>
      <c r="B1525">
        <v>20</v>
      </c>
      <c r="C1525">
        <v>0</v>
      </c>
      <c r="D1525">
        <v>34</v>
      </c>
      <c r="E1525">
        <v>9</v>
      </c>
      <c r="F1525">
        <v>10730</v>
      </c>
      <c r="G1525">
        <v>97</v>
      </c>
      <c r="H1525">
        <v>15</v>
      </c>
      <c r="I1525">
        <v>55</v>
      </c>
      <c r="J1525">
        <v>4</v>
      </c>
      <c r="K1525">
        <v>1</v>
      </c>
      <c r="L1525">
        <v>1</v>
      </c>
      <c r="M1525">
        <v>45</v>
      </c>
      <c r="N1525">
        <v>308.17500000000001</v>
      </c>
      <c r="O1525">
        <v>0</v>
      </c>
      <c r="P15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25" t="str">
        <f>IF(Table1[[#This Row],[Fraud_Score]]&gt;=6, "High Risk",IF(Table1[[#This Row],[Fraud_Score]]&gt;=3, "Medium Risk", "Low Risk"))</f>
        <v>Medium Risk</v>
      </c>
      <c r="R1525">
        <f>IF(Table1[[#This Row],[Seconds of Use]]=0,0,Table1[[#This Row],[Customer Value]]/Table1[[#This Row],[Seconds of Use]]*100)</f>
        <v>2.8720876048462256</v>
      </c>
    </row>
    <row r="1526" spans="1:18" x14ac:dyDescent="0.35">
      <c r="A1526" s="3" t="s">
        <v>1547</v>
      </c>
      <c r="B1526">
        <v>12</v>
      </c>
      <c r="C1526">
        <v>0</v>
      </c>
      <c r="D1526">
        <v>34</v>
      </c>
      <c r="E1526">
        <v>2</v>
      </c>
      <c r="F1526">
        <v>6113</v>
      </c>
      <c r="G1526">
        <v>102</v>
      </c>
      <c r="H1526">
        <v>40</v>
      </c>
      <c r="I1526">
        <v>37</v>
      </c>
      <c r="J1526">
        <v>2</v>
      </c>
      <c r="K1526">
        <v>1</v>
      </c>
      <c r="L1526">
        <v>1</v>
      </c>
      <c r="M1526">
        <v>25</v>
      </c>
      <c r="N1526">
        <v>459.67500000000001</v>
      </c>
      <c r="O1526">
        <v>0</v>
      </c>
      <c r="P15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26" t="str">
        <f>IF(Table1[[#This Row],[Fraud_Score]]&gt;=6, "High Risk",IF(Table1[[#This Row],[Fraud_Score]]&gt;=3, "Medium Risk", "Low Risk"))</f>
        <v>Low Risk</v>
      </c>
      <c r="R1526">
        <f>IF(Table1[[#This Row],[Seconds of Use]]=0,0,Table1[[#This Row],[Customer Value]]/Table1[[#This Row],[Seconds of Use]]*100)</f>
        <v>7.5196302960902992</v>
      </c>
    </row>
    <row r="1527" spans="1:18" x14ac:dyDescent="0.35">
      <c r="A1527" s="3" t="s">
        <v>1548</v>
      </c>
      <c r="B1527">
        <v>0</v>
      </c>
      <c r="C1527">
        <v>0</v>
      </c>
      <c r="D1527">
        <v>32</v>
      </c>
      <c r="E1527">
        <v>1</v>
      </c>
      <c r="F1527">
        <v>3135</v>
      </c>
      <c r="G1527">
        <v>26</v>
      </c>
      <c r="H1527">
        <v>14</v>
      </c>
      <c r="I1527">
        <v>27</v>
      </c>
      <c r="J1527">
        <v>3</v>
      </c>
      <c r="K1527">
        <v>1</v>
      </c>
      <c r="L1527">
        <v>1</v>
      </c>
      <c r="M1527">
        <v>30</v>
      </c>
      <c r="N1527">
        <v>182.44</v>
      </c>
      <c r="O1527">
        <v>0</v>
      </c>
      <c r="P15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27" t="str">
        <f>IF(Table1[[#This Row],[Fraud_Score]]&gt;=6, "High Risk",IF(Table1[[#This Row],[Fraud_Score]]&gt;=3, "Medium Risk", "Low Risk"))</f>
        <v>Low Risk</v>
      </c>
      <c r="R1527">
        <f>IF(Table1[[#This Row],[Seconds of Use]]=0,0,Table1[[#This Row],[Customer Value]]/Table1[[#This Row],[Seconds of Use]]*100)</f>
        <v>5.8194577352472088</v>
      </c>
    </row>
    <row r="1528" spans="1:18" x14ac:dyDescent="0.35">
      <c r="A1528" s="3" t="s">
        <v>1549</v>
      </c>
      <c r="B1528">
        <v>8</v>
      </c>
      <c r="C1528">
        <v>0</v>
      </c>
      <c r="D1528">
        <v>33</v>
      </c>
      <c r="E1528">
        <v>0</v>
      </c>
      <c r="F1528">
        <v>3285</v>
      </c>
      <c r="G1528">
        <v>45</v>
      </c>
      <c r="H1528">
        <v>23</v>
      </c>
      <c r="I1528">
        <v>29</v>
      </c>
      <c r="J1528">
        <v>2</v>
      </c>
      <c r="K1528">
        <v>1</v>
      </c>
      <c r="L1528">
        <v>2</v>
      </c>
      <c r="M1528">
        <v>25</v>
      </c>
      <c r="N1528">
        <v>253.35</v>
      </c>
      <c r="O1528">
        <v>1</v>
      </c>
      <c r="P15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28" t="str">
        <f>IF(Table1[[#This Row],[Fraud_Score]]&gt;=6, "High Risk",IF(Table1[[#This Row],[Fraud_Score]]&gt;=3, "Medium Risk", "Low Risk"))</f>
        <v>Low Risk</v>
      </c>
      <c r="R1528">
        <f>IF(Table1[[#This Row],[Seconds of Use]]=0,0,Table1[[#This Row],[Customer Value]]/Table1[[#This Row],[Seconds of Use]]*100)</f>
        <v>7.712328767123287</v>
      </c>
    </row>
    <row r="1529" spans="1:18" x14ac:dyDescent="0.35">
      <c r="A1529" s="3" t="s">
        <v>1550</v>
      </c>
      <c r="B1529">
        <v>8</v>
      </c>
      <c r="C1529">
        <v>1</v>
      </c>
      <c r="D1529">
        <v>34</v>
      </c>
      <c r="E1529">
        <v>0</v>
      </c>
      <c r="F1529">
        <v>2563</v>
      </c>
      <c r="G1529">
        <v>48</v>
      </c>
      <c r="H1529">
        <v>48</v>
      </c>
      <c r="I1529">
        <v>44</v>
      </c>
      <c r="J1529">
        <v>3</v>
      </c>
      <c r="K1529">
        <v>1</v>
      </c>
      <c r="L1529">
        <v>2</v>
      </c>
      <c r="M1529">
        <v>30</v>
      </c>
      <c r="N1529">
        <v>296.44</v>
      </c>
      <c r="O1529">
        <v>1</v>
      </c>
      <c r="P15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29" t="str">
        <f>IF(Table1[[#This Row],[Fraud_Score]]&gt;=6, "High Risk",IF(Table1[[#This Row],[Fraud_Score]]&gt;=3, "Medium Risk", "Low Risk"))</f>
        <v>Medium Risk</v>
      </c>
      <c r="R1529">
        <f>IF(Table1[[#This Row],[Seconds of Use]]=0,0,Table1[[#This Row],[Customer Value]]/Table1[[#This Row],[Seconds of Use]]*100)</f>
        <v>11.566133437378072</v>
      </c>
    </row>
    <row r="1530" spans="1:18" x14ac:dyDescent="0.35">
      <c r="A1530" s="3" t="s">
        <v>1551</v>
      </c>
      <c r="B1530">
        <v>0</v>
      </c>
      <c r="C1530">
        <v>0</v>
      </c>
      <c r="D1530">
        <v>34</v>
      </c>
      <c r="E1530">
        <v>0</v>
      </c>
      <c r="F1530">
        <v>428</v>
      </c>
      <c r="G1530">
        <v>6</v>
      </c>
      <c r="H1530">
        <v>14</v>
      </c>
      <c r="I1530">
        <v>15</v>
      </c>
      <c r="J1530">
        <v>3</v>
      </c>
      <c r="K1530">
        <v>1</v>
      </c>
      <c r="L1530">
        <v>2</v>
      </c>
      <c r="M1530">
        <v>30</v>
      </c>
      <c r="N1530">
        <v>73.36</v>
      </c>
      <c r="O1530">
        <v>1</v>
      </c>
      <c r="P15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30" t="str">
        <f>IF(Table1[[#This Row],[Fraud_Score]]&gt;=6, "High Risk",IF(Table1[[#This Row],[Fraud_Score]]&gt;=3, "Medium Risk", "Low Risk"))</f>
        <v>Low Risk</v>
      </c>
      <c r="R1530">
        <f>IF(Table1[[#This Row],[Seconds of Use]]=0,0,Table1[[#This Row],[Customer Value]]/Table1[[#This Row],[Seconds of Use]]*100)</f>
        <v>17.140186915887849</v>
      </c>
    </row>
    <row r="1531" spans="1:18" x14ac:dyDescent="0.35">
      <c r="A1531" s="3" t="s">
        <v>1552</v>
      </c>
      <c r="B1531">
        <v>0</v>
      </c>
      <c r="C1531">
        <v>0</v>
      </c>
      <c r="D1531">
        <v>34</v>
      </c>
      <c r="E1531">
        <v>1</v>
      </c>
      <c r="F1531">
        <v>1963</v>
      </c>
      <c r="G1531">
        <v>29</v>
      </c>
      <c r="H1531">
        <v>14</v>
      </c>
      <c r="I1531">
        <v>19</v>
      </c>
      <c r="J1531">
        <v>3</v>
      </c>
      <c r="K1531">
        <v>1</v>
      </c>
      <c r="L1531">
        <v>1</v>
      </c>
      <c r="M1531">
        <v>30</v>
      </c>
      <c r="N1531">
        <v>135.68</v>
      </c>
      <c r="O1531">
        <v>0</v>
      </c>
      <c r="P15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31" t="str">
        <f>IF(Table1[[#This Row],[Fraud_Score]]&gt;=6, "High Risk",IF(Table1[[#This Row],[Fraud_Score]]&gt;=3, "Medium Risk", "Low Risk"))</f>
        <v>Low Risk</v>
      </c>
      <c r="R1531">
        <f>IF(Table1[[#This Row],[Seconds of Use]]=0,0,Table1[[#This Row],[Customer Value]]/Table1[[#This Row],[Seconds of Use]]*100)</f>
        <v>6.9118695873662759</v>
      </c>
    </row>
    <row r="1532" spans="1:18" x14ac:dyDescent="0.35">
      <c r="A1532" s="3" t="s">
        <v>1553</v>
      </c>
      <c r="B1532">
        <v>2</v>
      </c>
      <c r="C1532">
        <v>0</v>
      </c>
      <c r="D1532">
        <v>31</v>
      </c>
      <c r="E1532">
        <v>2</v>
      </c>
      <c r="F1532">
        <v>7080</v>
      </c>
      <c r="G1532">
        <v>101</v>
      </c>
      <c r="H1532">
        <v>28</v>
      </c>
      <c r="I1532">
        <v>35</v>
      </c>
      <c r="J1532">
        <v>4</v>
      </c>
      <c r="K1532">
        <v>1</v>
      </c>
      <c r="L1532">
        <v>1</v>
      </c>
      <c r="M1532">
        <v>45</v>
      </c>
      <c r="N1532">
        <v>249.52500000000001</v>
      </c>
      <c r="O1532">
        <v>0</v>
      </c>
      <c r="P15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32" t="str">
        <f>IF(Table1[[#This Row],[Fraud_Score]]&gt;=6, "High Risk",IF(Table1[[#This Row],[Fraud_Score]]&gt;=3, "Medium Risk", "Low Risk"))</f>
        <v>Low Risk</v>
      </c>
      <c r="R1532">
        <f>IF(Table1[[#This Row],[Seconds of Use]]=0,0,Table1[[#This Row],[Customer Value]]/Table1[[#This Row],[Seconds of Use]]*100)</f>
        <v>3.5243644067796613</v>
      </c>
    </row>
    <row r="1533" spans="1:18" x14ac:dyDescent="0.35">
      <c r="A1533" s="3" t="s">
        <v>1554</v>
      </c>
      <c r="B1533">
        <v>0</v>
      </c>
      <c r="C1533">
        <v>0</v>
      </c>
      <c r="D1533">
        <v>34</v>
      </c>
      <c r="E1533">
        <v>0</v>
      </c>
      <c r="F1533">
        <v>923</v>
      </c>
      <c r="G1533">
        <v>11</v>
      </c>
      <c r="H1533">
        <v>23</v>
      </c>
      <c r="I1533">
        <v>17</v>
      </c>
      <c r="J1533">
        <v>4</v>
      </c>
      <c r="K1533">
        <v>1</v>
      </c>
      <c r="L1533">
        <v>2</v>
      </c>
      <c r="M1533">
        <v>45</v>
      </c>
      <c r="N1533">
        <v>80.849999999999994</v>
      </c>
      <c r="O1533">
        <v>1</v>
      </c>
      <c r="P15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33" t="str">
        <f>IF(Table1[[#This Row],[Fraud_Score]]&gt;=6, "High Risk",IF(Table1[[#This Row],[Fraud_Score]]&gt;=3, "Medium Risk", "Low Risk"))</f>
        <v>Low Risk</v>
      </c>
      <c r="R1533">
        <f>IF(Table1[[#This Row],[Seconds of Use]]=0,0,Table1[[#This Row],[Customer Value]]/Table1[[#This Row],[Seconds of Use]]*100)</f>
        <v>8.7594799566630552</v>
      </c>
    </row>
    <row r="1534" spans="1:18" x14ac:dyDescent="0.35">
      <c r="A1534" s="3" t="s">
        <v>1555</v>
      </c>
      <c r="B1534">
        <v>0</v>
      </c>
      <c r="C1534">
        <v>0</v>
      </c>
      <c r="D1534">
        <v>34</v>
      </c>
      <c r="E1534">
        <v>2</v>
      </c>
      <c r="F1534">
        <v>633</v>
      </c>
      <c r="G1534">
        <v>8</v>
      </c>
      <c r="H1534">
        <v>18</v>
      </c>
      <c r="I1534">
        <v>15</v>
      </c>
      <c r="J1534">
        <v>5</v>
      </c>
      <c r="K1534">
        <v>1</v>
      </c>
      <c r="L1534">
        <v>1</v>
      </c>
      <c r="M1534">
        <v>55</v>
      </c>
      <c r="N1534">
        <v>36.615000000000002</v>
      </c>
      <c r="O1534">
        <v>0</v>
      </c>
      <c r="P15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34" t="str">
        <f>IF(Table1[[#This Row],[Fraud_Score]]&gt;=6, "High Risk",IF(Table1[[#This Row],[Fraud_Score]]&gt;=3, "Medium Risk", "Low Risk"))</f>
        <v>Low Risk</v>
      </c>
      <c r="R1534">
        <f>IF(Table1[[#This Row],[Seconds of Use]]=0,0,Table1[[#This Row],[Customer Value]]/Table1[[#This Row],[Seconds of Use]]*100)</f>
        <v>5.7843601895734595</v>
      </c>
    </row>
    <row r="1535" spans="1:18" x14ac:dyDescent="0.35">
      <c r="A1535" s="3" t="s">
        <v>1556</v>
      </c>
      <c r="B1535">
        <v>24</v>
      </c>
      <c r="C1535">
        <v>0</v>
      </c>
      <c r="D1535">
        <v>29</v>
      </c>
      <c r="E1535">
        <v>4</v>
      </c>
      <c r="F1535">
        <v>16370</v>
      </c>
      <c r="G1535">
        <v>242</v>
      </c>
      <c r="H1535">
        <v>14</v>
      </c>
      <c r="I1535">
        <v>93</v>
      </c>
      <c r="J1535">
        <v>2</v>
      </c>
      <c r="K1535">
        <v>1</v>
      </c>
      <c r="L1535">
        <v>1</v>
      </c>
      <c r="M1535">
        <v>25</v>
      </c>
      <c r="N1535">
        <v>810.54</v>
      </c>
      <c r="O1535">
        <v>0</v>
      </c>
      <c r="P15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535" t="str">
        <f>IF(Table1[[#This Row],[Fraud_Score]]&gt;=6, "High Risk",IF(Table1[[#This Row],[Fraud_Score]]&gt;=3, "Medium Risk", "Low Risk"))</f>
        <v>Medium Risk</v>
      </c>
      <c r="R1535">
        <f>IF(Table1[[#This Row],[Seconds of Use]]=0,0,Table1[[#This Row],[Customer Value]]/Table1[[#This Row],[Seconds of Use]]*100)</f>
        <v>4.9513744654856442</v>
      </c>
    </row>
    <row r="1536" spans="1:18" x14ac:dyDescent="0.35">
      <c r="A1536" s="3" t="s">
        <v>1557</v>
      </c>
      <c r="B1536">
        <v>5</v>
      </c>
      <c r="C1536">
        <v>0</v>
      </c>
      <c r="D1536">
        <v>32</v>
      </c>
      <c r="E1536">
        <v>4</v>
      </c>
      <c r="F1536">
        <v>7260</v>
      </c>
      <c r="G1536">
        <v>120</v>
      </c>
      <c r="H1536">
        <v>285</v>
      </c>
      <c r="I1536">
        <v>46</v>
      </c>
      <c r="J1536">
        <v>2</v>
      </c>
      <c r="K1536">
        <v>2</v>
      </c>
      <c r="L1536">
        <v>1</v>
      </c>
      <c r="M1536">
        <v>25</v>
      </c>
      <c r="N1536">
        <v>1614.6</v>
      </c>
      <c r="O1536">
        <v>0</v>
      </c>
      <c r="P15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36" t="str">
        <f>IF(Table1[[#This Row],[Fraud_Score]]&gt;=6, "High Risk",IF(Table1[[#This Row],[Fraud_Score]]&gt;=3, "Medium Risk", "Low Risk"))</f>
        <v>Low Risk</v>
      </c>
      <c r="R1536">
        <f>IF(Table1[[#This Row],[Seconds of Use]]=0,0,Table1[[#This Row],[Customer Value]]/Table1[[#This Row],[Seconds of Use]]*100)</f>
        <v>22.239669421487601</v>
      </c>
    </row>
    <row r="1537" spans="1:18" x14ac:dyDescent="0.35">
      <c r="A1537" s="3" t="s">
        <v>1558</v>
      </c>
      <c r="B1537">
        <v>1</v>
      </c>
      <c r="C1537">
        <v>0</v>
      </c>
      <c r="D1537">
        <v>34</v>
      </c>
      <c r="E1537">
        <v>1</v>
      </c>
      <c r="F1537">
        <v>4013</v>
      </c>
      <c r="G1537">
        <v>86</v>
      </c>
      <c r="H1537">
        <v>16</v>
      </c>
      <c r="I1537">
        <v>41</v>
      </c>
      <c r="J1537">
        <v>2</v>
      </c>
      <c r="K1537">
        <v>1</v>
      </c>
      <c r="L1537">
        <v>1</v>
      </c>
      <c r="M1537">
        <v>25</v>
      </c>
      <c r="N1537">
        <v>256.45499999999998</v>
      </c>
      <c r="O1537">
        <v>0</v>
      </c>
      <c r="P15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37" t="str">
        <f>IF(Table1[[#This Row],[Fraud_Score]]&gt;=6, "High Risk",IF(Table1[[#This Row],[Fraud_Score]]&gt;=3, "Medium Risk", "Low Risk"))</f>
        <v>Low Risk</v>
      </c>
      <c r="R1537">
        <f>IF(Table1[[#This Row],[Seconds of Use]]=0,0,Table1[[#This Row],[Customer Value]]/Table1[[#This Row],[Seconds of Use]]*100)</f>
        <v>6.3906055320209321</v>
      </c>
    </row>
    <row r="1538" spans="1:18" x14ac:dyDescent="0.35">
      <c r="A1538" s="3" t="s">
        <v>1559</v>
      </c>
      <c r="B1538">
        <v>2</v>
      </c>
      <c r="C1538">
        <v>1</v>
      </c>
      <c r="D1538">
        <v>33</v>
      </c>
      <c r="E1538">
        <v>0</v>
      </c>
      <c r="F1538">
        <v>1960</v>
      </c>
      <c r="G1538">
        <v>48</v>
      </c>
      <c r="H1538">
        <v>52</v>
      </c>
      <c r="I1538">
        <v>33</v>
      </c>
      <c r="J1538">
        <v>3</v>
      </c>
      <c r="K1538">
        <v>1</v>
      </c>
      <c r="L1538">
        <v>2</v>
      </c>
      <c r="M1538">
        <v>30</v>
      </c>
      <c r="N1538">
        <v>288.32</v>
      </c>
      <c r="O1538">
        <v>1</v>
      </c>
      <c r="P15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38" t="str">
        <f>IF(Table1[[#This Row],[Fraud_Score]]&gt;=6, "High Risk",IF(Table1[[#This Row],[Fraud_Score]]&gt;=3, "Medium Risk", "Low Risk"))</f>
        <v>Medium Risk</v>
      </c>
      <c r="R1538">
        <f>IF(Table1[[#This Row],[Seconds of Use]]=0,0,Table1[[#This Row],[Customer Value]]/Table1[[#This Row],[Seconds of Use]]*100)</f>
        <v>14.710204081632652</v>
      </c>
    </row>
    <row r="1539" spans="1:18" x14ac:dyDescent="0.35">
      <c r="A1539" s="3" t="s">
        <v>1560</v>
      </c>
      <c r="B1539">
        <v>5</v>
      </c>
      <c r="C1539">
        <v>0</v>
      </c>
      <c r="D1539">
        <v>34</v>
      </c>
      <c r="E1539">
        <v>1</v>
      </c>
      <c r="F1539">
        <v>3075</v>
      </c>
      <c r="G1539">
        <v>57</v>
      </c>
      <c r="H1539">
        <v>189</v>
      </c>
      <c r="I1539">
        <v>36</v>
      </c>
      <c r="J1539">
        <v>2</v>
      </c>
      <c r="K1539">
        <v>1</v>
      </c>
      <c r="L1539">
        <v>1</v>
      </c>
      <c r="M1539">
        <v>25</v>
      </c>
      <c r="N1539">
        <v>991.44</v>
      </c>
      <c r="O1539">
        <v>0</v>
      </c>
      <c r="P15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39" t="str">
        <f>IF(Table1[[#This Row],[Fraud_Score]]&gt;=6, "High Risk",IF(Table1[[#This Row],[Fraud_Score]]&gt;=3, "Medium Risk", "Low Risk"))</f>
        <v>Low Risk</v>
      </c>
      <c r="R1539">
        <f>IF(Table1[[#This Row],[Seconds of Use]]=0,0,Table1[[#This Row],[Customer Value]]/Table1[[#This Row],[Seconds of Use]]*100)</f>
        <v>32.241951219512202</v>
      </c>
    </row>
    <row r="1540" spans="1:18" x14ac:dyDescent="0.35">
      <c r="A1540" s="3" t="s">
        <v>1561</v>
      </c>
      <c r="B1540">
        <v>3</v>
      </c>
      <c r="C1540">
        <v>0</v>
      </c>
      <c r="D1540">
        <v>25</v>
      </c>
      <c r="E1540">
        <v>2</v>
      </c>
      <c r="F1540">
        <v>1610</v>
      </c>
      <c r="G1540">
        <v>40</v>
      </c>
      <c r="H1540">
        <v>207</v>
      </c>
      <c r="I1540">
        <v>24</v>
      </c>
      <c r="J1540">
        <v>2</v>
      </c>
      <c r="K1540">
        <v>2</v>
      </c>
      <c r="L1540">
        <v>1</v>
      </c>
      <c r="M1540">
        <v>25</v>
      </c>
      <c r="N1540">
        <v>1005.75</v>
      </c>
      <c r="O1540">
        <v>0</v>
      </c>
      <c r="P15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40" t="str">
        <f>IF(Table1[[#This Row],[Fraud_Score]]&gt;=6, "High Risk",IF(Table1[[#This Row],[Fraud_Score]]&gt;=3, "Medium Risk", "Low Risk"))</f>
        <v>Low Risk</v>
      </c>
      <c r="R1540">
        <f>IF(Table1[[#This Row],[Seconds of Use]]=0,0,Table1[[#This Row],[Customer Value]]/Table1[[#This Row],[Seconds of Use]]*100)</f>
        <v>62.468944099378888</v>
      </c>
    </row>
    <row r="1541" spans="1:18" x14ac:dyDescent="0.35">
      <c r="A1541" s="3" t="s">
        <v>1562</v>
      </c>
      <c r="B1541">
        <v>3</v>
      </c>
      <c r="C1541">
        <v>0</v>
      </c>
      <c r="D1541">
        <v>24</v>
      </c>
      <c r="E1541">
        <v>1</v>
      </c>
      <c r="F1541">
        <v>1863</v>
      </c>
      <c r="G1541">
        <v>43</v>
      </c>
      <c r="H1541">
        <v>44</v>
      </c>
      <c r="I1541">
        <v>81</v>
      </c>
      <c r="J1541">
        <v>4</v>
      </c>
      <c r="K1541">
        <v>1</v>
      </c>
      <c r="L1541">
        <v>1</v>
      </c>
      <c r="M1541">
        <v>45</v>
      </c>
      <c r="N1541">
        <v>157.65</v>
      </c>
      <c r="O1541">
        <v>0</v>
      </c>
      <c r="P15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41" t="str">
        <f>IF(Table1[[#This Row],[Fraud_Score]]&gt;=6, "High Risk",IF(Table1[[#This Row],[Fraud_Score]]&gt;=3, "Medium Risk", "Low Risk"))</f>
        <v>Low Risk</v>
      </c>
      <c r="R1541">
        <f>IF(Table1[[#This Row],[Seconds of Use]]=0,0,Table1[[#This Row],[Customer Value]]/Table1[[#This Row],[Seconds of Use]]*100)</f>
        <v>8.4621578099838981</v>
      </c>
    </row>
    <row r="1542" spans="1:18" x14ac:dyDescent="0.35">
      <c r="A1542" s="3" t="s">
        <v>1563</v>
      </c>
      <c r="B1542">
        <v>10</v>
      </c>
      <c r="C1542">
        <v>0</v>
      </c>
      <c r="D1542">
        <v>25</v>
      </c>
      <c r="E1542">
        <v>0</v>
      </c>
      <c r="F1542">
        <v>995</v>
      </c>
      <c r="G1542">
        <v>29</v>
      </c>
      <c r="H1542">
        <v>24</v>
      </c>
      <c r="I1542">
        <v>20</v>
      </c>
      <c r="J1542">
        <v>2</v>
      </c>
      <c r="K1542">
        <v>1</v>
      </c>
      <c r="L1542">
        <v>2</v>
      </c>
      <c r="M1542">
        <v>25</v>
      </c>
      <c r="N1542">
        <v>154.08000000000001</v>
      </c>
      <c r="O1542">
        <v>0</v>
      </c>
      <c r="P15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42" t="str">
        <f>IF(Table1[[#This Row],[Fraud_Score]]&gt;=6, "High Risk",IF(Table1[[#This Row],[Fraud_Score]]&gt;=3, "Medium Risk", "Low Risk"))</f>
        <v>Low Risk</v>
      </c>
      <c r="R1542">
        <f>IF(Table1[[#This Row],[Seconds of Use]]=0,0,Table1[[#This Row],[Customer Value]]/Table1[[#This Row],[Seconds of Use]]*100)</f>
        <v>15.485427135678393</v>
      </c>
    </row>
    <row r="1543" spans="1:18" x14ac:dyDescent="0.35">
      <c r="A1543" s="3" t="s">
        <v>1564</v>
      </c>
      <c r="B1543">
        <v>0</v>
      </c>
      <c r="C1543">
        <v>0</v>
      </c>
      <c r="D1543">
        <v>24</v>
      </c>
      <c r="E1543">
        <v>0</v>
      </c>
      <c r="F1543">
        <v>1120</v>
      </c>
      <c r="G1543">
        <v>14</v>
      </c>
      <c r="H1543">
        <v>35</v>
      </c>
      <c r="I1543">
        <v>16</v>
      </c>
      <c r="J1543">
        <v>4</v>
      </c>
      <c r="K1543">
        <v>1</v>
      </c>
      <c r="L1543">
        <v>2</v>
      </c>
      <c r="M1543">
        <v>45</v>
      </c>
      <c r="N1543">
        <v>115.85</v>
      </c>
      <c r="O1543">
        <v>0</v>
      </c>
      <c r="P15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43" t="str">
        <f>IF(Table1[[#This Row],[Fraud_Score]]&gt;=6, "High Risk",IF(Table1[[#This Row],[Fraud_Score]]&gt;=3, "Medium Risk", "Low Risk"))</f>
        <v>Low Risk</v>
      </c>
      <c r="R1543">
        <f>IF(Table1[[#This Row],[Seconds of Use]]=0,0,Table1[[#This Row],[Customer Value]]/Table1[[#This Row],[Seconds of Use]]*100)</f>
        <v>10.34375</v>
      </c>
    </row>
    <row r="1544" spans="1:18" x14ac:dyDescent="0.35">
      <c r="A1544" s="3" t="s">
        <v>1565</v>
      </c>
      <c r="B1544">
        <v>9</v>
      </c>
      <c r="C1544">
        <v>0</v>
      </c>
      <c r="D1544">
        <v>23</v>
      </c>
      <c r="E1544">
        <v>1</v>
      </c>
      <c r="F1544">
        <v>1520</v>
      </c>
      <c r="G1544">
        <v>36</v>
      </c>
      <c r="H1544">
        <v>33</v>
      </c>
      <c r="I1544">
        <v>26</v>
      </c>
      <c r="J1544">
        <v>2</v>
      </c>
      <c r="K1544">
        <v>1</v>
      </c>
      <c r="L1544">
        <v>1</v>
      </c>
      <c r="M1544">
        <v>25</v>
      </c>
      <c r="N1544">
        <v>218.52</v>
      </c>
      <c r="O1544">
        <v>0</v>
      </c>
      <c r="P15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44" t="str">
        <f>IF(Table1[[#This Row],[Fraud_Score]]&gt;=6, "High Risk",IF(Table1[[#This Row],[Fraud_Score]]&gt;=3, "Medium Risk", "Low Risk"))</f>
        <v>Low Risk</v>
      </c>
      <c r="R1544">
        <f>IF(Table1[[#This Row],[Seconds of Use]]=0,0,Table1[[#This Row],[Customer Value]]/Table1[[#This Row],[Seconds of Use]]*100)</f>
        <v>14.376315789473685</v>
      </c>
    </row>
    <row r="1545" spans="1:18" x14ac:dyDescent="0.35">
      <c r="A1545" s="3" t="s">
        <v>1566</v>
      </c>
      <c r="B1545">
        <v>1</v>
      </c>
      <c r="C1545">
        <v>0</v>
      </c>
      <c r="D1545">
        <v>23</v>
      </c>
      <c r="E1545">
        <v>1</v>
      </c>
      <c r="F1545">
        <v>3520</v>
      </c>
      <c r="G1545">
        <v>65</v>
      </c>
      <c r="H1545">
        <v>22</v>
      </c>
      <c r="I1545">
        <v>36</v>
      </c>
      <c r="J1545">
        <v>3</v>
      </c>
      <c r="K1545">
        <v>1</v>
      </c>
      <c r="L1545">
        <v>1</v>
      </c>
      <c r="M1545">
        <v>30</v>
      </c>
      <c r="N1545">
        <v>231.4</v>
      </c>
      <c r="O1545">
        <v>0</v>
      </c>
      <c r="P15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45" t="str">
        <f>IF(Table1[[#This Row],[Fraud_Score]]&gt;=6, "High Risk",IF(Table1[[#This Row],[Fraud_Score]]&gt;=3, "Medium Risk", "Low Risk"))</f>
        <v>Low Risk</v>
      </c>
      <c r="R1545">
        <f>IF(Table1[[#This Row],[Seconds of Use]]=0,0,Table1[[#This Row],[Customer Value]]/Table1[[#This Row],[Seconds of Use]]*100)</f>
        <v>6.5738636363636358</v>
      </c>
    </row>
    <row r="1546" spans="1:18" x14ac:dyDescent="0.35">
      <c r="A1546" s="3" t="s">
        <v>1567</v>
      </c>
      <c r="B1546">
        <v>1</v>
      </c>
      <c r="C1546">
        <v>0</v>
      </c>
      <c r="D1546">
        <v>16</v>
      </c>
      <c r="E1546">
        <v>1</v>
      </c>
      <c r="F1546">
        <v>1990</v>
      </c>
      <c r="G1546">
        <v>30</v>
      </c>
      <c r="H1546">
        <v>42</v>
      </c>
      <c r="I1546">
        <v>27</v>
      </c>
      <c r="J1546">
        <v>2</v>
      </c>
      <c r="K1546">
        <v>1</v>
      </c>
      <c r="L1546">
        <v>1</v>
      </c>
      <c r="M1546">
        <v>25</v>
      </c>
      <c r="N1546">
        <v>279.89999999999998</v>
      </c>
      <c r="O1546">
        <v>0</v>
      </c>
      <c r="P15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46" t="str">
        <f>IF(Table1[[#This Row],[Fraud_Score]]&gt;=6, "High Risk",IF(Table1[[#This Row],[Fraud_Score]]&gt;=3, "Medium Risk", "Low Risk"))</f>
        <v>Low Risk</v>
      </c>
      <c r="R1546">
        <f>IF(Table1[[#This Row],[Seconds of Use]]=0,0,Table1[[#This Row],[Customer Value]]/Table1[[#This Row],[Seconds of Use]]*100)</f>
        <v>14.065326633165828</v>
      </c>
    </row>
    <row r="1547" spans="1:18" x14ac:dyDescent="0.35">
      <c r="A1547" s="3" t="s">
        <v>1568</v>
      </c>
      <c r="B1547">
        <v>15</v>
      </c>
      <c r="C1547">
        <v>0</v>
      </c>
      <c r="D1547">
        <v>15</v>
      </c>
      <c r="E1547">
        <v>2</v>
      </c>
      <c r="F1547">
        <v>6688</v>
      </c>
      <c r="G1547">
        <v>145</v>
      </c>
      <c r="H1547">
        <v>99</v>
      </c>
      <c r="I1547">
        <v>55</v>
      </c>
      <c r="J1547">
        <v>1</v>
      </c>
      <c r="K1547">
        <v>2</v>
      </c>
      <c r="L1547">
        <v>1</v>
      </c>
      <c r="M1547">
        <v>15</v>
      </c>
      <c r="N1547">
        <v>920.31500000000005</v>
      </c>
      <c r="O1547">
        <v>0</v>
      </c>
      <c r="P15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547" t="str">
        <f>IF(Table1[[#This Row],[Fraud_Score]]&gt;=6, "High Risk",IF(Table1[[#This Row],[Fraud_Score]]&gt;=3, "Medium Risk", "Low Risk"))</f>
        <v>Medium Risk</v>
      </c>
      <c r="R1547">
        <f>IF(Table1[[#This Row],[Seconds of Use]]=0,0,Table1[[#This Row],[Customer Value]]/Table1[[#This Row],[Seconds of Use]]*100)</f>
        <v>13.760690789473685</v>
      </c>
    </row>
    <row r="1548" spans="1:18" x14ac:dyDescent="0.35">
      <c r="A1548" s="3" t="s">
        <v>1569</v>
      </c>
      <c r="B1548">
        <v>11</v>
      </c>
      <c r="C1548">
        <v>0</v>
      </c>
      <c r="D1548">
        <v>13</v>
      </c>
      <c r="E1548">
        <v>1</v>
      </c>
      <c r="F1548">
        <v>9228</v>
      </c>
      <c r="G1548">
        <v>175</v>
      </c>
      <c r="H1548">
        <v>87</v>
      </c>
      <c r="I1548">
        <v>53</v>
      </c>
      <c r="J1548">
        <v>4</v>
      </c>
      <c r="K1548">
        <v>1</v>
      </c>
      <c r="L1548">
        <v>1</v>
      </c>
      <c r="M1548">
        <v>45</v>
      </c>
      <c r="N1548">
        <v>452.57499999999999</v>
      </c>
      <c r="O1548">
        <v>0</v>
      </c>
      <c r="P15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548" t="str">
        <f>IF(Table1[[#This Row],[Fraud_Score]]&gt;=6, "High Risk",IF(Table1[[#This Row],[Fraud_Score]]&gt;=3, "Medium Risk", "Low Risk"))</f>
        <v>Medium Risk</v>
      </c>
      <c r="R1548">
        <f>IF(Table1[[#This Row],[Seconds of Use]]=0,0,Table1[[#This Row],[Customer Value]]/Table1[[#This Row],[Seconds of Use]]*100)</f>
        <v>4.9043671434763763</v>
      </c>
    </row>
    <row r="1549" spans="1:18" x14ac:dyDescent="0.35">
      <c r="A1549" s="3" t="s">
        <v>1570</v>
      </c>
      <c r="B1549">
        <v>7</v>
      </c>
      <c r="C1549">
        <v>0</v>
      </c>
      <c r="D1549">
        <v>14</v>
      </c>
      <c r="E1549">
        <v>4</v>
      </c>
      <c r="F1549">
        <v>3148</v>
      </c>
      <c r="G1549">
        <v>49</v>
      </c>
      <c r="H1549">
        <v>45</v>
      </c>
      <c r="I1549">
        <v>32</v>
      </c>
      <c r="J1549">
        <v>3</v>
      </c>
      <c r="K1549">
        <v>1</v>
      </c>
      <c r="L1549">
        <v>1</v>
      </c>
      <c r="M1549">
        <v>30</v>
      </c>
      <c r="N1549">
        <v>307.88</v>
      </c>
      <c r="O1549">
        <v>0</v>
      </c>
      <c r="P15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49" t="str">
        <f>IF(Table1[[#This Row],[Fraud_Score]]&gt;=6, "High Risk",IF(Table1[[#This Row],[Fraud_Score]]&gt;=3, "Medium Risk", "Low Risk"))</f>
        <v>Low Risk</v>
      </c>
      <c r="R1549">
        <f>IF(Table1[[#This Row],[Seconds of Use]]=0,0,Table1[[#This Row],[Customer Value]]/Table1[[#This Row],[Seconds of Use]]*100)</f>
        <v>9.7801778907242696</v>
      </c>
    </row>
    <row r="1550" spans="1:18" x14ac:dyDescent="0.35">
      <c r="A1550" s="3" t="s">
        <v>1571</v>
      </c>
      <c r="B1550">
        <v>1</v>
      </c>
      <c r="C1550">
        <v>0</v>
      </c>
      <c r="D1550">
        <v>7</v>
      </c>
      <c r="E1550">
        <v>2</v>
      </c>
      <c r="F1550">
        <v>4685</v>
      </c>
      <c r="G1550">
        <v>44</v>
      </c>
      <c r="H1550">
        <v>229</v>
      </c>
      <c r="I1550">
        <v>23</v>
      </c>
      <c r="J1550">
        <v>3</v>
      </c>
      <c r="K1550">
        <v>1</v>
      </c>
      <c r="L1550">
        <v>1</v>
      </c>
      <c r="M1550">
        <v>30</v>
      </c>
      <c r="N1550">
        <v>1105.1600000000001</v>
      </c>
      <c r="O1550">
        <v>0</v>
      </c>
      <c r="P15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550" t="str">
        <f>IF(Table1[[#This Row],[Fraud_Score]]&gt;=6, "High Risk",IF(Table1[[#This Row],[Fraud_Score]]&gt;=3, "Medium Risk", "Low Risk"))</f>
        <v>Low Risk</v>
      </c>
      <c r="R1550">
        <f>IF(Table1[[#This Row],[Seconds of Use]]=0,0,Table1[[#This Row],[Customer Value]]/Table1[[#This Row],[Seconds of Use]]*100)</f>
        <v>23.589327641408751</v>
      </c>
    </row>
    <row r="1551" spans="1:18" x14ac:dyDescent="0.35">
      <c r="A1551" s="3" t="s">
        <v>1572</v>
      </c>
      <c r="B1551">
        <v>2</v>
      </c>
      <c r="C1551">
        <v>1</v>
      </c>
      <c r="D1551">
        <v>7</v>
      </c>
      <c r="E1551">
        <v>2</v>
      </c>
      <c r="F1551">
        <v>1783</v>
      </c>
      <c r="G1551">
        <v>23</v>
      </c>
      <c r="H1551">
        <v>14</v>
      </c>
      <c r="I1551">
        <v>20</v>
      </c>
      <c r="J1551">
        <v>3</v>
      </c>
      <c r="K1551">
        <v>1</v>
      </c>
      <c r="L1551">
        <v>1</v>
      </c>
      <c r="M1551">
        <v>30</v>
      </c>
      <c r="N1551">
        <v>128.24</v>
      </c>
      <c r="O1551">
        <v>1</v>
      </c>
      <c r="P15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51" t="str">
        <f>IF(Table1[[#This Row],[Fraud_Score]]&gt;=6, "High Risk",IF(Table1[[#This Row],[Fraud_Score]]&gt;=3, "Medium Risk", "Low Risk"))</f>
        <v>Low Risk</v>
      </c>
      <c r="R1551">
        <f>IF(Table1[[#This Row],[Seconds of Use]]=0,0,Table1[[#This Row],[Customer Value]]/Table1[[#This Row],[Seconds of Use]]*100)</f>
        <v>7.1923724060572072</v>
      </c>
    </row>
    <row r="1552" spans="1:18" x14ac:dyDescent="0.35">
      <c r="A1552" s="3" t="s">
        <v>1573</v>
      </c>
      <c r="B1552">
        <v>0</v>
      </c>
      <c r="C1552">
        <v>0</v>
      </c>
      <c r="D1552">
        <v>36</v>
      </c>
      <c r="E1552">
        <v>0</v>
      </c>
      <c r="F1552">
        <v>3465</v>
      </c>
      <c r="G1552">
        <v>55</v>
      </c>
      <c r="H1552">
        <v>0</v>
      </c>
      <c r="I1552">
        <v>10</v>
      </c>
      <c r="J1552">
        <v>2</v>
      </c>
      <c r="K1552">
        <v>1</v>
      </c>
      <c r="L1552">
        <v>1</v>
      </c>
      <c r="M1552">
        <v>25</v>
      </c>
      <c r="N1552">
        <v>158.4</v>
      </c>
      <c r="O1552">
        <v>0</v>
      </c>
      <c r="P15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2" t="str">
        <f>IF(Table1[[#This Row],[Fraud_Score]]&gt;=6, "High Risk",IF(Table1[[#This Row],[Fraud_Score]]&gt;=3, "Medium Risk", "Low Risk"))</f>
        <v>Low Risk</v>
      </c>
      <c r="R1552">
        <f>IF(Table1[[#This Row],[Seconds of Use]]=0,0,Table1[[#This Row],[Customer Value]]/Table1[[#This Row],[Seconds of Use]]*100)</f>
        <v>4.5714285714285712</v>
      </c>
    </row>
    <row r="1553" spans="1:18" x14ac:dyDescent="0.35">
      <c r="A1553" s="3" t="s">
        <v>1574</v>
      </c>
      <c r="B1553">
        <v>0</v>
      </c>
      <c r="C1553">
        <v>0</v>
      </c>
      <c r="D1553">
        <v>37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2</v>
      </c>
      <c r="K1553">
        <v>1</v>
      </c>
      <c r="L1553">
        <v>2</v>
      </c>
      <c r="M1553">
        <v>25</v>
      </c>
      <c r="N1553">
        <v>0</v>
      </c>
      <c r="O1553">
        <v>0</v>
      </c>
      <c r="P15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3" t="str">
        <f>IF(Table1[[#This Row],[Fraud_Score]]&gt;=6, "High Risk",IF(Table1[[#This Row],[Fraud_Score]]&gt;=3, "Medium Risk", "Low Risk"))</f>
        <v>Low Risk</v>
      </c>
      <c r="R1553">
        <f>IF(Table1[[#This Row],[Seconds of Use]]=0,0,Table1[[#This Row],[Customer Value]]/Table1[[#This Row],[Seconds of Use]]*100)</f>
        <v>0</v>
      </c>
    </row>
    <row r="1554" spans="1:18" x14ac:dyDescent="0.35">
      <c r="A1554" s="3" t="s">
        <v>1575</v>
      </c>
      <c r="B1554">
        <v>1</v>
      </c>
      <c r="C1554">
        <v>0</v>
      </c>
      <c r="D1554">
        <v>35</v>
      </c>
      <c r="E1554">
        <v>0</v>
      </c>
      <c r="F1554">
        <v>1548</v>
      </c>
      <c r="G1554">
        <v>44</v>
      </c>
      <c r="H1554">
        <v>331</v>
      </c>
      <c r="I1554">
        <v>7</v>
      </c>
      <c r="J1554">
        <v>2</v>
      </c>
      <c r="K1554">
        <v>1</v>
      </c>
      <c r="L1554">
        <v>1</v>
      </c>
      <c r="M1554">
        <v>25</v>
      </c>
      <c r="N1554">
        <v>1561.14</v>
      </c>
      <c r="O1554">
        <v>0</v>
      </c>
      <c r="P15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4" t="str">
        <f>IF(Table1[[#This Row],[Fraud_Score]]&gt;=6, "High Risk",IF(Table1[[#This Row],[Fraud_Score]]&gt;=3, "Medium Risk", "Low Risk"))</f>
        <v>Low Risk</v>
      </c>
      <c r="R1554">
        <f>IF(Table1[[#This Row],[Seconds of Use]]=0,0,Table1[[#This Row],[Customer Value]]/Table1[[#This Row],[Seconds of Use]]*100)</f>
        <v>100.84883720930233</v>
      </c>
    </row>
    <row r="1555" spans="1:18" x14ac:dyDescent="0.35">
      <c r="A1555" s="3" t="s">
        <v>1576</v>
      </c>
      <c r="B1555">
        <v>1</v>
      </c>
      <c r="C1555">
        <v>0</v>
      </c>
      <c r="D1555">
        <v>36</v>
      </c>
      <c r="E1555">
        <v>0</v>
      </c>
      <c r="F1555">
        <v>3293</v>
      </c>
      <c r="G1555">
        <v>50</v>
      </c>
      <c r="H1555">
        <v>0</v>
      </c>
      <c r="I1555">
        <v>18</v>
      </c>
      <c r="J1555">
        <v>1</v>
      </c>
      <c r="K1555">
        <v>1</v>
      </c>
      <c r="L1555">
        <v>1</v>
      </c>
      <c r="M1555">
        <v>15</v>
      </c>
      <c r="N1555">
        <v>183.86500000000001</v>
      </c>
      <c r="O1555">
        <v>0</v>
      </c>
      <c r="P15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5" t="str">
        <f>IF(Table1[[#This Row],[Fraud_Score]]&gt;=6, "High Risk",IF(Table1[[#This Row],[Fraud_Score]]&gt;=3, "Medium Risk", "Low Risk"))</f>
        <v>Low Risk</v>
      </c>
      <c r="R1555">
        <f>IF(Table1[[#This Row],[Seconds of Use]]=0,0,Table1[[#This Row],[Customer Value]]/Table1[[#This Row],[Seconds of Use]]*100)</f>
        <v>5.5835104767689039</v>
      </c>
    </row>
    <row r="1556" spans="1:18" x14ac:dyDescent="0.35">
      <c r="A1556" s="3" t="s">
        <v>1577</v>
      </c>
      <c r="B1556">
        <v>0</v>
      </c>
      <c r="C1556">
        <v>0</v>
      </c>
      <c r="D1556">
        <v>36</v>
      </c>
      <c r="E1556">
        <v>0</v>
      </c>
      <c r="F1556">
        <v>1488</v>
      </c>
      <c r="G1556">
        <v>42</v>
      </c>
      <c r="H1556">
        <v>0</v>
      </c>
      <c r="I1556">
        <v>16</v>
      </c>
      <c r="J1556">
        <v>1</v>
      </c>
      <c r="K1556">
        <v>1</v>
      </c>
      <c r="L1556">
        <v>1</v>
      </c>
      <c r="M1556">
        <v>15</v>
      </c>
      <c r="N1556">
        <v>84.15</v>
      </c>
      <c r="O1556">
        <v>0</v>
      </c>
      <c r="P15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6" t="str">
        <f>IF(Table1[[#This Row],[Fraud_Score]]&gt;=6, "High Risk",IF(Table1[[#This Row],[Fraud_Score]]&gt;=3, "Medium Risk", "Low Risk"))</f>
        <v>Low Risk</v>
      </c>
      <c r="R1556">
        <f>IF(Table1[[#This Row],[Seconds of Use]]=0,0,Table1[[#This Row],[Customer Value]]/Table1[[#This Row],[Seconds of Use]]*100)</f>
        <v>5.655241935483871</v>
      </c>
    </row>
    <row r="1557" spans="1:18" x14ac:dyDescent="0.35">
      <c r="A1557" s="3" t="s">
        <v>1578</v>
      </c>
      <c r="B1557">
        <v>2</v>
      </c>
      <c r="C1557">
        <v>0</v>
      </c>
      <c r="D1557">
        <v>36</v>
      </c>
      <c r="E1557">
        <v>0</v>
      </c>
      <c r="F1557">
        <v>2870</v>
      </c>
      <c r="G1557">
        <v>66</v>
      </c>
      <c r="H1557">
        <v>4</v>
      </c>
      <c r="I1557">
        <v>11</v>
      </c>
      <c r="J1557">
        <v>2</v>
      </c>
      <c r="K1557">
        <v>1</v>
      </c>
      <c r="L1557">
        <v>1</v>
      </c>
      <c r="M1557">
        <v>25</v>
      </c>
      <c r="N1557">
        <v>150.12</v>
      </c>
      <c r="O1557">
        <v>0</v>
      </c>
      <c r="P15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7" t="str">
        <f>IF(Table1[[#This Row],[Fraud_Score]]&gt;=6, "High Risk",IF(Table1[[#This Row],[Fraud_Score]]&gt;=3, "Medium Risk", "Low Risk"))</f>
        <v>Low Risk</v>
      </c>
      <c r="R1557">
        <f>IF(Table1[[#This Row],[Seconds of Use]]=0,0,Table1[[#This Row],[Customer Value]]/Table1[[#This Row],[Seconds of Use]]*100)</f>
        <v>5.2306620209059229</v>
      </c>
    </row>
    <row r="1558" spans="1:18" x14ac:dyDescent="0.35">
      <c r="A1558" s="3" t="s">
        <v>1579</v>
      </c>
      <c r="B1558">
        <v>0</v>
      </c>
      <c r="C1558">
        <v>0</v>
      </c>
      <c r="D1558">
        <v>36</v>
      </c>
      <c r="E1558">
        <v>0</v>
      </c>
      <c r="F1558">
        <v>1455</v>
      </c>
      <c r="G1558">
        <v>23</v>
      </c>
      <c r="H1558">
        <v>257</v>
      </c>
      <c r="I1558">
        <v>1</v>
      </c>
      <c r="J1558">
        <v>3</v>
      </c>
      <c r="K1558">
        <v>1</v>
      </c>
      <c r="L1558">
        <v>1</v>
      </c>
      <c r="M1558">
        <v>30</v>
      </c>
      <c r="N1558">
        <v>1087.1199999999999</v>
      </c>
      <c r="O1558">
        <v>0</v>
      </c>
      <c r="P15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8" t="str">
        <f>IF(Table1[[#This Row],[Fraud_Score]]&gt;=6, "High Risk",IF(Table1[[#This Row],[Fraud_Score]]&gt;=3, "Medium Risk", "Low Risk"))</f>
        <v>Low Risk</v>
      </c>
      <c r="R1558">
        <f>IF(Table1[[#This Row],[Seconds of Use]]=0,0,Table1[[#This Row],[Customer Value]]/Table1[[#This Row],[Seconds of Use]]*100)</f>
        <v>74.716151202749131</v>
      </c>
    </row>
    <row r="1559" spans="1:18" x14ac:dyDescent="0.35">
      <c r="A1559" s="3" t="s">
        <v>1580</v>
      </c>
      <c r="B1559">
        <v>4</v>
      </c>
      <c r="C1559">
        <v>0</v>
      </c>
      <c r="D1559">
        <v>35</v>
      </c>
      <c r="E1559">
        <v>0</v>
      </c>
      <c r="F1559">
        <v>8210</v>
      </c>
      <c r="G1559">
        <v>105</v>
      </c>
      <c r="H1559">
        <v>116</v>
      </c>
      <c r="I1559">
        <v>26</v>
      </c>
      <c r="J1559">
        <v>3</v>
      </c>
      <c r="K1559">
        <v>1</v>
      </c>
      <c r="L1559">
        <v>1</v>
      </c>
      <c r="M1559">
        <v>30</v>
      </c>
      <c r="N1559">
        <v>796.6</v>
      </c>
      <c r="O1559">
        <v>0</v>
      </c>
      <c r="P15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59" t="str">
        <f>IF(Table1[[#This Row],[Fraud_Score]]&gt;=6, "High Risk",IF(Table1[[#This Row],[Fraud_Score]]&gt;=3, "Medium Risk", "Low Risk"))</f>
        <v>Low Risk</v>
      </c>
      <c r="R1559">
        <f>IF(Table1[[#This Row],[Seconds of Use]]=0,0,Table1[[#This Row],[Customer Value]]/Table1[[#This Row],[Seconds of Use]]*100)</f>
        <v>9.7028014616321556</v>
      </c>
    </row>
    <row r="1560" spans="1:18" x14ac:dyDescent="0.35">
      <c r="A1560" s="3" t="s">
        <v>1581</v>
      </c>
      <c r="B1560">
        <v>0</v>
      </c>
      <c r="C1560">
        <v>0</v>
      </c>
      <c r="D1560">
        <v>36</v>
      </c>
      <c r="E1560">
        <v>0</v>
      </c>
      <c r="F1560">
        <v>12868</v>
      </c>
      <c r="G1560">
        <v>153</v>
      </c>
      <c r="H1560">
        <v>0</v>
      </c>
      <c r="I1560">
        <v>27</v>
      </c>
      <c r="J1560">
        <v>3</v>
      </c>
      <c r="K1560">
        <v>1</v>
      </c>
      <c r="L1560">
        <v>1</v>
      </c>
      <c r="M1560">
        <v>30</v>
      </c>
      <c r="N1560">
        <v>520.84</v>
      </c>
      <c r="O1560">
        <v>0</v>
      </c>
      <c r="P15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60" t="str">
        <f>IF(Table1[[#This Row],[Fraud_Score]]&gt;=6, "High Risk",IF(Table1[[#This Row],[Fraud_Score]]&gt;=3, "Medium Risk", "Low Risk"))</f>
        <v>Medium Risk</v>
      </c>
      <c r="R1560">
        <f>IF(Table1[[#This Row],[Seconds of Use]]=0,0,Table1[[#This Row],[Customer Value]]/Table1[[#This Row],[Seconds of Use]]*100)</f>
        <v>4.0475598383587199</v>
      </c>
    </row>
    <row r="1561" spans="1:18" x14ac:dyDescent="0.35">
      <c r="A1561" s="3" t="s">
        <v>1582</v>
      </c>
      <c r="B1561">
        <v>0</v>
      </c>
      <c r="C1561">
        <v>0</v>
      </c>
      <c r="D1561">
        <v>36</v>
      </c>
      <c r="E1561">
        <v>0</v>
      </c>
      <c r="F1561">
        <v>3610</v>
      </c>
      <c r="G1561">
        <v>67</v>
      </c>
      <c r="H1561">
        <v>0</v>
      </c>
      <c r="I1561">
        <v>8</v>
      </c>
      <c r="J1561">
        <v>3</v>
      </c>
      <c r="K1561">
        <v>1</v>
      </c>
      <c r="L1561">
        <v>1</v>
      </c>
      <c r="M1561">
        <v>30</v>
      </c>
      <c r="N1561">
        <v>147.08000000000001</v>
      </c>
      <c r="O1561">
        <v>0</v>
      </c>
      <c r="P15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61" t="str">
        <f>IF(Table1[[#This Row],[Fraud_Score]]&gt;=6, "High Risk",IF(Table1[[#This Row],[Fraud_Score]]&gt;=3, "Medium Risk", "Low Risk"))</f>
        <v>Low Risk</v>
      </c>
      <c r="R1561">
        <f>IF(Table1[[#This Row],[Seconds of Use]]=0,0,Table1[[#This Row],[Customer Value]]/Table1[[#This Row],[Seconds of Use]]*100)</f>
        <v>4.0742382271468145</v>
      </c>
    </row>
    <row r="1562" spans="1:18" x14ac:dyDescent="0.35">
      <c r="A1562" s="3" t="s">
        <v>1583</v>
      </c>
      <c r="B1562">
        <v>0</v>
      </c>
      <c r="C1562">
        <v>0</v>
      </c>
      <c r="D1562">
        <v>36</v>
      </c>
      <c r="E1562">
        <v>0</v>
      </c>
      <c r="F1562">
        <v>5013</v>
      </c>
      <c r="G1562">
        <v>79</v>
      </c>
      <c r="H1562">
        <v>0</v>
      </c>
      <c r="I1562">
        <v>13</v>
      </c>
      <c r="J1562">
        <v>2</v>
      </c>
      <c r="K1562">
        <v>1</v>
      </c>
      <c r="L1562">
        <v>1</v>
      </c>
      <c r="M1562">
        <v>25</v>
      </c>
      <c r="N1562">
        <v>229.14</v>
      </c>
      <c r="O1562">
        <v>0</v>
      </c>
      <c r="P15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62" t="str">
        <f>IF(Table1[[#This Row],[Fraud_Score]]&gt;=6, "High Risk",IF(Table1[[#This Row],[Fraud_Score]]&gt;=3, "Medium Risk", "Low Risk"))</f>
        <v>Low Risk</v>
      </c>
      <c r="R1562">
        <f>IF(Table1[[#This Row],[Seconds of Use]]=0,0,Table1[[#This Row],[Customer Value]]/Table1[[#This Row],[Seconds of Use]]*100)</f>
        <v>4.5709156193895861</v>
      </c>
    </row>
    <row r="1563" spans="1:18" x14ac:dyDescent="0.35">
      <c r="A1563" s="3" t="s">
        <v>1584</v>
      </c>
      <c r="B1563">
        <v>0</v>
      </c>
      <c r="C1563">
        <v>0</v>
      </c>
      <c r="D1563">
        <v>36</v>
      </c>
      <c r="E1563">
        <v>0</v>
      </c>
      <c r="F1563">
        <v>1333</v>
      </c>
      <c r="G1563">
        <v>38</v>
      </c>
      <c r="H1563">
        <v>0</v>
      </c>
      <c r="I1563">
        <v>4</v>
      </c>
      <c r="J1563">
        <v>3</v>
      </c>
      <c r="K1563">
        <v>1</v>
      </c>
      <c r="L1563">
        <v>2</v>
      </c>
      <c r="M1563">
        <v>30</v>
      </c>
      <c r="N1563">
        <v>54.84</v>
      </c>
      <c r="O1563">
        <v>0</v>
      </c>
      <c r="P15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63" t="str">
        <f>IF(Table1[[#This Row],[Fraud_Score]]&gt;=6, "High Risk",IF(Table1[[#This Row],[Fraud_Score]]&gt;=3, "Medium Risk", "Low Risk"))</f>
        <v>Low Risk</v>
      </c>
      <c r="R1563">
        <f>IF(Table1[[#This Row],[Seconds of Use]]=0,0,Table1[[#This Row],[Customer Value]]/Table1[[#This Row],[Seconds of Use]]*100)</f>
        <v>4.1140285071267817</v>
      </c>
    </row>
    <row r="1564" spans="1:18" x14ac:dyDescent="0.35">
      <c r="A1564" s="3" t="s">
        <v>1585</v>
      </c>
      <c r="B1564">
        <v>16</v>
      </c>
      <c r="C1564">
        <v>0</v>
      </c>
      <c r="D1564">
        <v>36</v>
      </c>
      <c r="E1564">
        <v>0</v>
      </c>
      <c r="F1564">
        <v>14235</v>
      </c>
      <c r="G1564">
        <v>209</v>
      </c>
      <c r="H1564">
        <v>26</v>
      </c>
      <c r="I1564">
        <v>15</v>
      </c>
      <c r="J1564">
        <v>3</v>
      </c>
      <c r="K1564">
        <v>1</v>
      </c>
      <c r="L1564">
        <v>1</v>
      </c>
      <c r="M1564">
        <v>30</v>
      </c>
      <c r="N1564">
        <v>681.76</v>
      </c>
      <c r="O1564">
        <v>0</v>
      </c>
      <c r="P15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564" t="str">
        <f>IF(Table1[[#This Row],[Fraud_Score]]&gt;=6, "High Risk",IF(Table1[[#This Row],[Fraud_Score]]&gt;=3, "Medium Risk", "Low Risk"))</f>
        <v>Medium Risk</v>
      </c>
      <c r="R1564">
        <f>IF(Table1[[#This Row],[Seconds of Use]]=0,0,Table1[[#This Row],[Customer Value]]/Table1[[#This Row],[Seconds of Use]]*100)</f>
        <v>4.7893220934316822</v>
      </c>
    </row>
    <row r="1565" spans="1:18" x14ac:dyDescent="0.35">
      <c r="A1565" s="3" t="s">
        <v>1586</v>
      </c>
      <c r="B1565">
        <v>0</v>
      </c>
      <c r="C1565">
        <v>0</v>
      </c>
      <c r="D1565">
        <v>36</v>
      </c>
      <c r="E1565">
        <v>0</v>
      </c>
      <c r="F1565">
        <v>2190</v>
      </c>
      <c r="G1565">
        <v>11</v>
      </c>
      <c r="H1565">
        <v>455</v>
      </c>
      <c r="I1565">
        <v>5</v>
      </c>
      <c r="J1565">
        <v>3</v>
      </c>
      <c r="K1565">
        <v>1</v>
      </c>
      <c r="L1565">
        <v>1</v>
      </c>
      <c r="M1565">
        <v>30</v>
      </c>
      <c r="N1565">
        <v>1908.04</v>
      </c>
      <c r="O1565">
        <v>0</v>
      </c>
      <c r="P15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65" t="str">
        <f>IF(Table1[[#This Row],[Fraud_Score]]&gt;=6, "High Risk",IF(Table1[[#This Row],[Fraud_Score]]&gt;=3, "Medium Risk", "Low Risk"))</f>
        <v>Low Risk</v>
      </c>
      <c r="R1565">
        <f>IF(Table1[[#This Row],[Seconds of Use]]=0,0,Table1[[#This Row],[Customer Value]]/Table1[[#This Row],[Seconds of Use]]*100)</f>
        <v>87.12511415525114</v>
      </c>
    </row>
    <row r="1566" spans="1:18" x14ac:dyDescent="0.35">
      <c r="A1566" s="3" t="s">
        <v>1587</v>
      </c>
      <c r="B1566">
        <v>0</v>
      </c>
      <c r="C1566">
        <v>0</v>
      </c>
      <c r="D1566">
        <v>35</v>
      </c>
      <c r="E1566">
        <v>0</v>
      </c>
      <c r="F1566">
        <v>14580</v>
      </c>
      <c r="G1566">
        <v>166</v>
      </c>
      <c r="H1566">
        <v>122</v>
      </c>
      <c r="I1566">
        <v>13</v>
      </c>
      <c r="J1566">
        <v>2</v>
      </c>
      <c r="K1566">
        <v>1</v>
      </c>
      <c r="L1566">
        <v>1</v>
      </c>
      <c r="M1566">
        <v>25</v>
      </c>
      <c r="N1566">
        <v>1212.57</v>
      </c>
      <c r="O1566">
        <v>0</v>
      </c>
      <c r="P15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66" t="str">
        <f>IF(Table1[[#This Row],[Fraud_Score]]&gt;=6, "High Risk",IF(Table1[[#This Row],[Fraud_Score]]&gt;=3, "Medium Risk", "Low Risk"))</f>
        <v>Medium Risk</v>
      </c>
      <c r="R1566">
        <f>IF(Table1[[#This Row],[Seconds of Use]]=0,0,Table1[[#This Row],[Customer Value]]/Table1[[#This Row],[Seconds of Use]]*100)</f>
        <v>8.3166666666666664</v>
      </c>
    </row>
    <row r="1567" spans="1:18" x14ac:dyDescent="0.35">
      <c r="A1567" s="3" t="s">
        <v>1588</v>
      </c>
      <c r="B1567">
        <v>0</v>
      </c>
      <c r="C1567">
        <v>0</v>
      </c>
      <c r="D1567">
        <v>35</v>
      </c>
      <c r="E1567">
        <v>0</v>
      </c>
      <c r="F1567">
        <v>5595</v>
      </c>
      <c r="G1567">
        <v>70</v>
      </c>
      <c r="H1567">
        <v>158</v>
      </c>
      <c r="I1567">
        <v>9</v>
      </c>
      <c r="J1567">
        <v>3</v>
      </c>
      <c r="K1567">
        <v>1</v>
      </c>
      <c r="L1567">
        <v>1</v>
      </c>
      <c r="M1567">
        <v>30</v>
      </c>
      <c r="N1567">
        <v>858.6</v>
      </c>
      <c r="O1567">
        <v>0</v>
      </c>
      <c r="P15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67" t="str">
        <f>IF(Table1[[#This Row],[Fraud_Score]]&gt;=6, "High Risk",IF(Table1[[#This Row],[Fraud_Score]]&gt;=3, "Medium Risk", "Low Risk"))</f>
        <v>Low Risk</v>
      </c>
      <c r="R1567">
        <f>IF(Table1[[#This Row],[Seconds of Use]]=0,0,Table1[[#This Row],[Customer Value]]/Table1[[#This Row],[Seconds of Use]]*100)</f>
        <v>15.345844504021446</v>
      </c>
    </row>
    <row r="1568" spans="1:18" x14ac:dyDescent="0.35">
      <c r="A1568" s="3" t="s">
        <v>1589</v>
      </c>
      <c r="B1568">
        <v>0</v>
      </c>
      <c r="C1568">
        <v>0</v>
      </c>
      <c r="D1568">
        <v>35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2</v>
      </c>
      <c r="K1568">
        <v>1</v>
      </c>
      <c r="L1568">
        <v>2</v>
      </c>
      <c r="M1568">
        <v>25</v>
      </c>
      <c r="N1568">
        <v>0</v>
      </c>
      <c r="O1568">
        <v>0</v>
      </c>
      <c r="P15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68" t="str">
        <f>IF(Table1[[#This Row],[Fraud_Score]]&gt;=6, "High Risk",IF(Table1[[#This Row],[Fraud_Score]]&gt;=3, "Medium Risk", "Low Risk"))</f>
        <v>Low Risk</v>
      </c>
      <c r="R1568">
        <f>IF(Table1[[#This Row],[Seconds of Use]]=0,0,Table1[[#This Row],[Customer Value]]/Table1[[#This Row],[Seconds of Use]]*100)</f>
        <v>0</v>
      </c>
    </row>
    <row r="1569" spans="1:18" x14ac:dyDescent="0.35">
      <c r="A1569" s="3" t="s">
        <v>1590</v>
      </c>
      <c r="B1569">
        <v>0</v>
      </c>
      <c r="C1569">
        <v>0</v>
      </c>
      <c r="D1569">
        <v>36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2</v>
      </c>
      <c r="K1569">
        <v>1</v>
      </c>
      <c r="L1569">
        <v>2</v>
      </c>
      <c r="M1569">
        <v>25</v>
      </c>
      <c r="N1569">
        <v>0</v>
      </c>
      <c r="O1569">
        <v>0</v>
      </c>
      <c r="P15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69" t="str">
        <f>IF(Table1[[#This Row],[Fraud_Score]]&gt;=6, "High Risk",IF(Table1[[#This Row],[Fraud_Score]]&gt;=3, "Medium Risk", "Low Risk"))</f>
        <v>Low Risk</v>
      </c>
      <c r="R1569">
        <f>IF(Table1[[#This Row],[Seconds of Use]]=0,0,Table1[[#This Row],[Customer Value]]/Table1[[#This Row],[Seconds of Use]]*100)</f>
        <v>0</v>
      </c>
    </row>
    <row r="1570" spans="1:18" x14ac:dyDescent="0.35">
      <c r="A1570" s="3" t="s">
        <v>1591</v>
      </c>
      <c r="B1570">
        <v>0</v>
      </c>
      <c r="C1570">
        <v>0</v>
      </c>
      <c r="D1570">
        <v>35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2</v>
      </c>
      <c r="K1570">
        <v>1</v>
      </c>
      <c r="L1570">
        <v>2</v>
      </c>
      <c r="M1570">
        <v>25</v>
      </c>
      <c r="N1570">
        <v>0</v>
      </c>
      <c r="O1570">
        <v>1</v>
      </c>
      <c r="P15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0" t="str">
        <f>IF(Table1[[#This Row],[Fraud_Score]]&gt;=6, "High Risk",IF(Table1[[#This Row],[Fraud_Score]]&gt;=3, "Medium Risk", "Low Risk"))</f>
        <v>Low Risk</v>
      </c>
      <c r="R1570">
        <f>IF(Table1[[#This Row],[Seconds of Use]]=0,0,Table1[[#This Row],[Customer Value]]/Table1[[#This Row],[Seconds of Use]]*100)</f>
        <v>0</v>
      </c>
    </row>
    <row r="1571" spans="1:18" x14ac:dyDescent="0.35">
      <c r="A1571" s="3" t="s">
        <v>1592</v>
      </c>
      <c r="B1571">
        <v>0</v>
      </c>
      <c r="C1571">
        <v>0</v>
      </c>
      <c r="D1571">
        <v>35</v>
      </c>
      <c r="E1571">
        <v>0</v>
      </c>
      <c r="F1571">
        <v>6603</v>
      </c>
      <c r="G1571">
        <v>111</v>
      </c>
      <c r="H1571">
        <v>356</v>
      </c>
      <c r="I1571">
        <v>26</v>
      </c>
      <c r="J1571">
        <v>2</v>
      </c>
      <c r="K1571">
        <v>1</v>
      </c>
      <c r="L1571">
        <v>1</v>
      </c>
      <c r="M1571">
        <v>25</v>
      </c>
      <c r="N1571">
        <v>1904.13</v>
      </c>
      <c r="O1571">
        <v>0</v>
      </c>
      <c r="P15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1" t="str">
        <f>IF(Table1[[#This Row],[Fraud_Score]]&gt;=6, "High Risk",IF(Table1[[#This Row],[Fraud_Score]]&gt;=3, "Medium Risk", "Low Risk"))</f>
        <v>Low Risk</v>
      </c>
      <c r="R1571">
        <f>IF(Table1[[#This Row],[Seconds of Use]]=0,0,Table1[[#This Row],[Customer Value]]/Table1[[#This Row],[Seconds of Use]]*100)</f>
        <v>28.837346660608816</v>
      </c>
    </row>
    <row r="1572" spans="1:18" x14ac:dyDescent="0.35">
      <c r="A1572" s="3" t="s">
        <v>1593</v>
      </c>
      <c r="B1572">
        <v>0</v>
      </c>
      <c r="C1572">
        <v>0</v>
      </c>
      <c r="D1572">
        <v>35</v>
      </c>
      <c r="E1572">
        <v>0</v>
      </c>
      <c r="F1572">
        <v>10560</v>
      </c>
      <c r="G1572">
        <v>138</v>
      </c>
      <c r="H1572">
        <v>0</v>
      </c>
      <c r="I1572">
        <v>30</v>
      </c>
      <c r="J1572">
        <v>3</v>
      </c>
      <c r="K1572">
        <v>1</v>
      </c>
      <c r="L1572">
        <v>1</v>
      </c>
      <c r="M1572">
        <v>30</v>
      </c>
      <c r="N1572">
        <v>427.92</v>
      </c>
      <c r="O1572">
        <v>0</v>
      </c>
      <c r="P15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2" t="str">
        <f>IF(Table1[[#This Row],[Fraud_Score]]&gt;=6, "High Risk",IF(Table1[[#This Row],[Fraud_Score]]&gt;=3, "Medium Risk", "Low Risk"))</f>
        <v>Low Risk</v>
      </c>
      <c r="R1572">
        <f>IF(Table1[[#This Row],[Seconds of Use]]=0,0,Table1[[#This Row],[Customer Value]]/Table1[[#This Row],[Seconds of Use]]*100)</f>
        <v>4.0522727272727277</v>
      </c>
    </row>
    <row r="1573" spans="1:18" x14ac:dyDescent="0.35">
      <c r="A1573" s="3" t="s">
        <v>1594</v>
      </c>
      <c r="B1573">
        <v>0</v>
      </c>
      <c r="C1573">
        <v>0</v>
      </c>
      <c r="D1573">
        <v>35</v>
      </c>
      <c r="E1573">
        <v>0</v>
      </c>
      <c r="F1573">
        <v>5813</v>
      </c>
      <c r="G1573">
        <v>59</v>
      </c>
      <c r="H1573">
        <v>80</v>
      </c>
      <c r="I1573">
        <v>20</v>
      </c>
      <c r="J1573">
        <v>2</v>
      </c>
      <c r="K1573">
        <v>1</v>
      </c>
      <c r="L1573">
        <v>1</v>
      </c>
      <c r="M1573">
        <v>25</v>
      </c>
      <c r="N1573">
        <v>624.24</v>
      </c>
      <c r="O1573">
        <v>0</v>
      </c>
      <c r="P15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3" t="str">
        <f>IF(Table1[[#This Row],[Fraud_Score]]&gt;=6, "High Risk",IF(Table1[[#This Row],[Fraud_Score]]&gt;=3, "Medium Risk", "Low Risk"))</f>
        <v>Low Risk</v>
      </c>
      <c r="R1573">
        <f>IF(Table1[[#This Row],[Seconds of Use]]=0,0,Table1[[#This Row],[Customer Value]]/Table1[[#This Row],[Seconds of Use]]*100)</f>
        <v>10.738689145019784</v>
      </c>
    </row>
    <row r="1574" spans="1:18" x14ac:dyDescent="0.35">
      <c r="A1574" s="3" t="s">
        <v>1595</v>
      </c>
      <c r="B1574">
        <v>7</v>
      </c>
      <c r="C1574">
        <v>0</v>
      </c>
      <c r="D1574">
        <v>31</v>
      </c>
      <c r="E1574">
        <v>0</v>
      </c>
      <c r="F1574">
        <v>50</v>
      </c>
      <c r="G1574">
        <v>2</v>
      </c>
      <c r="H1574">
        <v>0</v>
      </c>
      <c r="I1574">
        <v>1</v>
      </c>
      <c r="J1574">
        <v>2</v>
      </c>
      <c r="K1574">
        <v>1</v>
      </c>
      <c r="L1574">
        <v>2</v>
      </c>
      <c r="M1574">
        <v>25</v>
      </c>
      <c r="N1574">
        <v>2.34</v>
      </c>
      <c r="O1574">
        <v>1</v>
      </c>
      <c r="P15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4" t="str">
        <f>IF(Table1[[#This Row],[Fraud_Score]]&gt;=6, "High Risk",IF(Table1[[#This Row],[Fraud_Score]]&gt;=3, "Medium Risk", "Low Risk"))</f>
        <v>Low Risk</v>
      </c>
      <c r="R1574">
        <f>IF(Table1[[#This Row],[Seconds of Use]]=0,0,Table1[[#This Row],[Customer Value]]/Table1[[#This Row],[Seconds of Use]]*100)</f>
        <v>4.68</v>
      </c>
    </row>
    <row r="1575" spans="1:18" x14ac:dyDescent="0.35">
      <c r="A1575" s="3" t="s">
        <v>1596</v>
      </c>
      <c r="B1575">
        <v>12</v>
      </c>
      <c r="C1575">
        <v>0</v>
      </c>
      <c r="D1575">
        <v>34</v>
      </c>
      <c r="E1575">
        <v>5</v>
      </c>
      <c r="F1575">
        <v>9530</v>
      </c>
      <c r="G1575">
        <v>77</v>
      </c>
      <c r="H1575">
        <v>0</v>
      </c>
      <c r="I1575">
        <v>25</v>
      </c>
      <c r="J1575">
        <v>4</v>
      </c>
      <c r="K1575">
        <v>1</v>
      </c>
      <c r="L1575">
        <v>1</v>
      </c>
      <c r="M1575">
        <v>45</v>
      </c>
      <c r="N1575">
        <v>240.17500000000001</v>
      </c>
      <c r="O1575">
        <v>0</v>
      </c>
      <c r="P15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75" t="str">
        <f>IF(Table1[[#This Row],[Fraud_Score]]&gt;=6, "High Risk",IF(Table1[[#This Row],[Fraud_Score]]&gt;=3, "Medium Risk", "Low Risk"))</f>
        <v>Low Risk</v>
      </c>
      <c r="R1575">
        <f>IF(Table1[[#This Row],[Seconds of Use]]=0,0,Table1[[#This Row],[Customer Value]]/Table1[[#This Row],[Seconds of Use]]*100)</f>
        <v>2.5201993704092343</v>
      </c>
    </row>
    <row r="1576" spans="1:18" x14ac:dyDescent="0.35">
      <c r="A1576" s="3" t="s">
        <v>1597</v>
      </c>
      <c r="B1576">
        <v>4</v>
      </c>
      <c r="C1576">
        <v>0</v>
      </c>
      <c r="D1576">
        <v>34</v>
      </c>
      <c r="E1576">
        <v>0</v>
      </c>
      <c r="F1576">
        <v>4913</v>
      </c>
      <c r="G1576">
        <v>82</v>
      </c>
      <c r="H1576">
        <v>0</v>
      </c>
      <c r="I1576">
        <v>7</v>
      </c>
      <c r="J1576">
        <v>2</v>
      </c>
      <c r="K1576">
        <v>1</v>
      </c>
      <c r="L1576">
        <v>1</v>
      </c>
      <c r="M1576">
        <v>25</v>
      </c>
      <c r="N1576">
        <v>224.77500000000001</v>
      </c>
      <c r="O1576">
        <v>1</v>
      </c>
      <c r="P15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6" t="str">
        <f>IF(Table1[[#This Row],[Fraud_Score]]&gt;=6, "High Risk",IF(Table1[[#This Row],[Fraud_Score]]&gt;=3, "Medium Risk", "Low Risk"))</f>
        <v>Low Risk</v>
      </c>
      <c r="R1576">
        <f>IF(Table1[[#This Row],[Seconds of Use]]=0,0,Table1[[#This Row],[Customer Value]]/Table1[[#This Row],[Seconds of Use]]*100)</f>
        <v>4.5751068593527382</v>
      </c>
    </row>
    <row r="1577" spans="1:18" x14ac:dyDescent="0.35">
      <c r="A1577" s="3" t="s">
        <v>1598</v>
      </c>
      <c r="B1577">
        <v>0</v>
      </c>
      <c r="C1577">
        <v>0</v>
      </c>
      <c r="D1577">
        <v>32</v>
      </c>
      <c r="E1577">
        <v>0</v>
      </c>
      <c r="F1577">
        <v>1935</v>
      </c>
      <c r="G1577">
        <v>6</v>
      </c>
      <c r="H1577">
        <v>0</v>
      </c>
      <c r="I1577">
        <v>2</v>
      </c>
      <c r="J1577">
        <v>3</v>
      </c>
      <c r="K1577">
        <v>1</v>
      </c>
      <c r="L1577">
        <v>1</v>
      </c>
      <c r="M1577">
        <v>30</v>
      </c>
      <c r="N1577">
        <v>77.64</v>
      </c>
      <c r="O1577">
        <v>0</v>
      </c>
      <c r="P15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7" t="str">
        <f>IF(Table1[[#This Row],[Fraud_Score]]&gt;=6, "High Risk",IF(Table1[[#This Row],[Fraud_Score]]&gt;=3, "Medium Risk", "Low Risk"))</f>
        <v>Low Risk</v>
      </c>
      <c r="R1577">
        <f>IF(Table1[[#This Row],[Seconds of Use]]=0,0,Table1[[#This Row],[Customer Value]]/Table1[[#This Row],[Seconds of Use]]*100)</f>
        <v>4.0124031007751935</v>
      </c>
    </row>
    <row r="1578" spans="1:18" x14ac:dyDescent="0.35">
      <c r="A1578" s="3" t="s">
        <v>1599</v>
      </c>
      <c r="B1578">
        <v>0</v>
      </c>
      <c r="C1578">
        <v>0</v>
      </c>
      <c r="D1578">
        <v>33</v>
      </c>
      <c r="E1578">
        <v>0</v>
      </c>
      <c r="F1578">
        <v>2085</v>
      </c>
      <c r="G1578">
        <v>25</v>
      </c>
      <c r="H1578">
        <v>0</v>
      </c>
      <c r="I1578">
        <v>9</v>
      </c>
      <c r="J1578">
        <v>2</v>
      </c>
      <c r="K1578">
        <v>1</v>
      </c>
      <c r="L1578">
        <v>2</v>
      </c>
      <c r="M1578">
        <v>25</v>
      </c>
      <c r="N1578">
        <v>94.95</v>
      </c>
      <c r="O1578">
        <v>1</v>
      </c>
      <c r="P15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78" t="str">
        <f>IF(Table1[[#This Row],[Fraud_Score]]&gt;=6, "High Risk",IF(Table1[[#This Row],[Fraud_Score]]&gt;=3, "Medium Risk", "Low Risk"))</f>
        <v>Low Risk</v>
      </c>
      <c r="R1578">
        <f>IF(Table1[[#This Row],[Seconds of Use]]=0,0,Table1[[#This Row],[Customer Value]]/Table1[[#This Row],[Seconds of Use]]*100)</f>
        <v>4.5539568345323742</v>
      </c>
    </row>
    <row r="1579" spans="1:18" x14ac:dyDescent="0.35">
      <c r="A1579" s="3" t="s">
        <v>1600</v>
      </c>
      <c r="B1579">
        <v>0</v>
      </c>
      <c r="C1579">
        <v>1</v>
      </c>
      <c r="D1579">
        <v>34</v>
      </c>
      <c r="E1579">
        <v>0</v>
      </c>
      <c r="F1579">
        <v>1363</v>
      </c>
      <c r="G1579">
        <v>28</v>
      </c>
      <c r="H1579">
        <v>6</v>
      </c>
      <c r="I1579">
        <v>14</v>
      </c>
      <c r="J1579">
        <v>3</v>
      </c>
      <c r="K1579">
        <v>1</v>
      </c>
      <c r="L1579">
        <v>2</v>
      </c>
      <c r="M1579">
        <v>30</v>
      </c>
      <c r="N1579">
        <v>79.64</v>
      </c>
      <c r="O1579">
        <v>1</v>
      </c>
      <c r="P15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79" t="str">
        <f>IF(Table1[[#This Row],[Fraud_Score]]&gt;=6, "High Risk",IF(Table1[[#This Row],[Fraud_Score]]&gt;=3, "Medium Risk", "Low Risk"))</f>
        <v>Medium Risk</v>
      </c>
      <c r="R1579">
        <f>IF(Table1[[#This Row],[Seconds of Use]]=0,0,Table1[[#This Row],[Customer Value]]/Table1[[#This Row],[Seconds of Use]]*100)</f>
        <v>5.8429933969185619</v>
      </c>
    </row>
    <row r="1580" spans="1:18" x14ac:dyDescent="0.35">
      <c r="A1580" s="3" t="s">
        <v>1601</v>
      </c>
      <c r="B1580">
        <v>0</v>
      </c>
      <c r="C1580">
        <v>0</v>
      </c>
      <c r="D1580">
        <v>34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2</v>
      </c>
      <c r="K1580">
        <v>1</v>
      </c>
      <c r="L1580">
        <v>2</v>
      </c>
      <c r="M1580">
        <v>25</v>
      </c>
      <c r="N1580">
        <v>0</v>
      </c>
      <c r="O1580">
        <v>1</v>
      </c>
      <c r="P15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0" t="str">
        <f>IF(Table1[[#This Row],[Fraud_Score]]&gt;=6, "High Risk",IF(Table1[[#This Row],[Fraud_Score]]&gt;=3, "Medium Risk", "Low Risk"))</f>
        <v>Low Risk</v>
      </c>
      <c r="R1580">
        <f>IF(Table1[[#This Row],[Seconds of Use]]=0,0,Table1[[#This Row],[Customer Value]]/Table1[[#This Row],[Seconds of Use]]*100)</f>
        <v>0</v>
      </c>
    </row>
    <row r="1581" spans="1:18" x14ac:dyDescent="0.35">
      <c r="A1581" s="3" t="s">
        <v>1602</v>
      </c>
      <c r="B1581">
        <v>0</v>
      </c>
      <c r="C1581">
        <v>0</v>
      </c>
      <c r="D1581">
        <v>34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3</v>
      </c>
      <c r="K1581">
        <v>1</v>
      </c>
      <c r="L1581">
        <v>1</v>
      </c>
      <c r="M1581">
        <v>30</v>
      </c>
      <c r="N1581">
        <v>0</v>
      </c>
      <c r="O1581">
        <v>0</v>
      </c>
      <c r="P15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1" t="str">
        <f>IF(Table1[[#This Row],[Fraud_Score]]&gt;=6, "High Risk",IF(Table1[[#This Row],[Fraud_Score]]&gt;=3, "Medium Risk", "Low Risk"))</f>
        <v>Low Risk</v>
      </c>
      <c r="R1581">
        <f>IF(Table1[[#This Row],[Seconds of Use]]=0,0,Table1[[#This Row],[Customer Value]]/Table1[[#This Row],[Seconds of Use]]*100)</f>
        <v>0</v>
      </c>
    </row>
    <row r="1582" spans="1:18" x14ac:dyDescent="0.35">
      <c r="A1582" s="3" t="s">
        <v>1603</v>
      </c>
      <c r="B1582">
        <v>0</v>
      </c>
      <c r="C1582">
        <v>0</v>
      </c>
      <c r="D1582">
        <v>31</v>
      </c>
      <c r="E1582">
        <v>0</v>
      </c>
      <c r="F1582">
        <v>5880</v>
      </c>
      <c r="G1582">
        <v>81</v>
      </c>
      <c r="H1582">
        <v>0</v>
      </c>
      <c r="I1582">
        <v>5</v>
      </c>
      <c r="J1582">
        <v>4</v>
      </c>
      <c r="K1582">
        <v>1</v>
      </c>
      <c r="L1582">
        <v>1</v>
      </c>
      <c r="M1582">
        <v>45</v>
      </c>
      <c r="N1582">
        <v>149.02500000000001</v>
      </c>
      <c r="O1582">
        <v>0</v>
      </c>
      <c r="P15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2" t="str">
        <f>IF(Table1[[#This Row],[Fraud_Score]]&gt;=6, "High Risk",IF(Table1[[#This Row],[Fraud_Score]]&gt;=3, "Medium Risk", "Low Risk"))</f>
        <v>Low Risk</v>
      </c>
      <c r="R1582">
        <f>IF(Table1[[#This Row],[Seconds of Use]]=0,0,Table1[[#This Row],[Customer Value]]/Table1[[#This Row],[Seconds of Use]]*100)</f>
        <v>2.5344387755102042</v>
      </c>
    </row>
    <row r="1583" spans="1:18" x14ac:dyDescent="0.35">
      <c r="A1583" s="3" t="s">
        <v>1604</v>
      </c>
      <c r="B1583">
        <v>0</v>
      </c>
      <c r="C1583">
        <v>1</v>
      </c>
      <c r="D1583">
        <v>34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4</v>
      </c>
      <c r="K1583">
        <v>1</v>
      </c>
      <c r="L1583">
        <v>2</v>
      </c>
      <c r="M1583">
        <v>45</v>
      </c>
      <c r="N1583">
        <v>0</v>
      </c>
      <c r="O1583">
        <v>1</v>
      </c>
      <c r="P15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83" t="str">
        <f>IF(Table1[[#This Row],[Fraud_Score]]&gt;=6, "High Risk",IF(Table1[[#This Row],[Fraud_Score]]&gt;=3, "Medium Risk", "Low Risk"))</f>
        <v>Medium Risk</v>
      </c>
      <c r="R1583">
        <f>IF(Table1[[#This Row],[Seconds of Use]]=0,0,Table1[[#This Row],[Customer Value]]/Table1[[#This Row],[Seconds of Use]]*100)</f>
        <v>0</v>
      </c>
    </row>
    <row r="1584" spans="1:18" x14ac:dyDescent="0.35">
      <c r="A1584" s="3" t="s">
        <v>1605</v>
      </c>
      <c r="B1584">
        <v>0</v>
      </c>
      <c r="C1584">
        <v>0</v>
      </c>
      <c r="D1584">
        <v>34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4</v>
      </c>
      <c r="K1584">
        <v>1</v>
      </c>
      <c r="L1584">
        <v>1</v>
      </c>
      <c r="M1584">
        <v>45</v>
      </c>
      <c r="N1584">
        <v>0</v>
      </c>
      <c r="O1584">
        <v>0</v>
      </c>
      <c r="P15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4" t="str">
        <f>IF(Table1[[#This Row],[Fraud_Score]]&gt;=6, "High Risk",IF(Table1[[#This Row],[Fraud_Score]]&gt;=3, "Medium Risk", "Low Risk"))</f>
        <v>Low Risk</v>
      </c>
      <c r="R1584">
        <f>IF(Table1[[#This Row],[Seconds of Use]]=0,0,Table1[[#This Row],[Customer Value]]/Table1[[#This Row],[Seconds of Use]]*100)</f>
        <v>0</v>
      </c>
    </row>
    <row r="1585" spans="1:18" x14ac:dyDescent="0.35">
      <c r="A1585" s="3" t="s">
        <v>1606</v>
      </c>
      <c r="B1585">
        <v>16</v>
      </c>
      <c r="C1585">
        <v>0</v>
      </c>
      <c r="D1585">
        <v>29</v>
      </c>
      <c r="E1585">
        <v>0</v>
      </c>
      <c r="F1585">
        <v>15170</v>
      </c>
      <c r="G1585">
        <v>222</v>
      </c>
      <c r="H1585">
        <v>0</v>
      </c>
      <c r="I1585">
        <v>63</v>
      </c>
      <c r="J1585">
        <v>2</v>
      </c>
      <c r="K1585">
        <v>1</v>
      </c>
      <c r="L1585">
        <v>1</v>
      </c>
      <c r="M1585">
        <v>25</v>
      </c>
      <c r="N1585">
        <v>692.64</v>
      </c>
      <c r="O1585">
        <v>0</v>
      </c>
      <c r="P15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6</v>
      </c>
      <c r="Q1585" t="str">
        <f>IF(Table1[[#This Row],[Fraud_Score]]&gt;=6, "High Risk",IF(Table1[[#This Row],[Fraud_Score]]&gt;=3, "Medium Risk", "Low Risk"))</f>
        <v>High Risk</v>
      </c>
      <c r="R1585">
        <f>IF(Table1[[#This Row],[Seconds of Use]]=0,0,Table1[[#This Row],[Customer Value]]/Table1[[#This Row],[Seconds of Use]]*100)</f>
        <v>4.565853658536585</v>
      </c>
    </row>
    <row r="1586" spans="1:18" x14ac:dyDescent="0.35">
      <c r="A1586" s="3" t="s">
        <v>1607</v>
      </c>
      <c r="B1586">
        <v>0</v>
      </c>
      <c r="C1586">
        <v>0</v>
      </c>
      <c r="D1586">
        <v>32</v>
      </c>
      <c r="E1586">
        <v>0</v>
      </c>
      <c r="F1586">
        <v>6060</v>
      </c>
      <c r="G1586">
        <v>100</v>
      </c>
      <c r="H1586">
        <v>243</v>
      </c>
      <c r="I1586">
        <v>16</v>
      </c>
      <c r="J1586">
        <v>2</v>
      </c>
      <c r="K1586">
        <v>2</v>
      </c>
      <c r="L1586">
        <v>1</v>
      </c>
      <c r="M1586">
        <v>25</v>
      </c>
      <c r="N1586">
        <v>1370.7</v>
      </c>
      <c r="O1586">
        <v>0</v>
      </c>
      <c r="P15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6" t="str">
        <f>IF(Table1[[#This Row],[Fraud_Score]]&gt;=6, "High Risk",IF(Table1[[#This Row],[Fraud_Score]]&gt;=3, "Medium Risk", "Low Risk"))</f>
        <v>Low Risk</v>
      </c>
      <c r="R1586">
        <f>IF(Table1[[#This Row],[Seconds of Use]]=0,0,Table1[[#This Row],[Customer Value]]/Table1[[#This Row],[Seconds of Use]]*100)</f>
        <v>22.618811881188119</v>
      </c>
    </row>
    <row r="1587" spans="1:18" x14ac:dyDescent="0.35">
      <c r="A1587" s="3" t="s">
        <v>1608</v>
      </c>
      <c r="B1587">
        <v>0</v>
      </c>
      <c r="C1587">
        <v>0</v>
      </c>
      <c r="D1587">
        <v>34</v>
      </c>
      <c r="E1587">
        <v>0</v>
      </c>
      <c r="F1587">
        <v>2813</v>
      </c>
      <c r="G1587">
        <v>66</v>
      </c>
      <c r="H1587">
        <v>0</v>
      </c>
      <c r="I1587">
        <v>11</v>
      </c>
      <c r="J1587">
        <v>2</v>
      </c>
      <c r="K1587">
        <v>1</v>
      </c>
      <c r="L1587">
        <v>1</v>
      </c>
      <c r="M1587">
        <v>25</v>
      </c>
      <c r="N1587">
        <v>129.55500000000001</v>
      </c>
      <c r="O1587">
        <v>0</v>
      </c>
      <c r="P15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7" t="str">
        <f>IF(Table1[[#This Row],[Fraud_Score]]&gt;=6, "High Risk",IF(Table1[[#This Row],[Fraud_Score]]&gt;=3, "Medium Risk", "Low Risk"))</f>
        <v>Low Risk</v>
      </c>
      <c r="R1587">
        <f>IF(Table1[[#This Row],[Seconds of Use]]=0,0,Table1[[#This Row],[Customer Value]]/Table1[[#This Row],[Seconds of Use]]*100)</f>
        <v>4.6055812300035557</v>
      </c>
    </row>
    <row r="1588" spans="1:18" x14ac:dyDescent="0.35">
      <c r="A1588" s="3" t="s">
        <v>1609</v>
      </c>
      <c r="B1588">
        <v>0</v>
      </c>
      <c r="C1588">
        <v>0</v>
      </c>
      <c r="D1588">
        <v>33</v>
      </c>
      <c r="E1588">
        <v>0</v>
      </c>
      <c r="F1588">
        <v>760</v>
      </c>
      <c r="G1588">
        <v>28</v>
      </c>
      <c r="H1588">
        <v>10</v>
      </c>
      <c r="I1588">
        <v>3</v>
      </c>
      <c r="J1588">
        <v>3</v>
      </c>
      <c r="K1588">
        <v>1</v>
      </c>
      <c r="L1588">
        <v>2</v>
      </c>
      <c r="M1588">
        <v>30</v>
      </c>
      <c r="N1588">
        <v>71.52</v>
      </c>
      <c r="O1588">
        <v>0</v>
      </c>
      <c r="P15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8" t="str">
        <f>IF(Table1[[#This Row],[Fraud_Score]]&gt;=6, "High Risk",IF(Table1[[#This Row],[Fraud_Score]]&gt;=3, "Medium Risk", "Low Risk"))</f>
        <v>Low Risk</v>
      </c>
      <c r="R1588">
        <f>IF(Table1[[#This Row],[Seconds of Use]]=0,0,Table1[[#This Row],[Customer Value]]/Table1[[#This Row],[Seconds of Use]]*100)</f>
        <v>9.4105263157894736</v>
      </c>
    </row>
    <row r="1589" spans="1:18" x14ac:dyDescent="0.35">
      <c r="A1589" s="3" t="s">
        <v>1610</v>
      </c>
      <c r="B1589">
        <v>0</v>
      </c>
      <c r="C1589">
        <v>0</v>
      </c>
      <c r="D1589">
        <v>34</v>
      </c>
      <c r="E1589">
        <v>0</v>
      </c>
      <c r="F1589">
        <v>1875</v>
      </c>
      <c r="G1589">
        <v>37</v>
      </c>
      <c r="H1589">
        <v>147</v>
      </c>
      <c r="I1589">
        <v>6</v>
      </c>
      <c r="J1589">
        <v>2</v>
      </c>
      <c r="K1589">
        <v>1</v>
      </c>
      <c r="L1589">
        <v>1</v>
      </c>
      <c r="M1589">
        <v>25</v>
      </c>
      <c r="N1589">
        <v>747.54</v>
      </c>
      <c r="O1589">
        <v>0</v>
      </c>
      <c r="P15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89" t="str">
        <f>IF(Table1[[#This Row],[Fraud_Score]]&gt;=6, "High Risk",IF(Table1[[#This Row],[Fraud_Score]]&gt;=3, "Medium Risk", "Low Risk"))</f>
        <v>Low Risk</v>
      </c>
      <c r="R1589">
        <f>IF(Table1[[#This Row],[Seconds of Use]]=0,0,Table1[[#This Row],[Customer Value]]/Table1[[#This Row],[Seconds of Use]]*100)</f>
        <v>39.8688</v>
      </c>
    </row>
    <row r="1590" spans="1:18" x14ac:dyDescent="0.35">
      <c r="A1590" s="3" t="s">
        <v>1611</v>
      </c>
      <c r="B1590">
        <v>0</v>
      </c>
      <c r="C1590">
        <v>0</v>
      </c>
      <c r="D1590">
        <v>25</v>
      </c>
      <c r="E1590">
        <v>0</v>
      </c>
      <c r="F1590">
        <v>1903</v>
      </c>
      <c r="G1590">
        <v>20</v>
      </c>
      <c r="H1590">
        <v>165</v>
      </c>
      <c r="I1590">
        <v>8</v>
      </c>
      <c r="J1590">
        <v>2</v>
      </c>
      <c r="K1590">
        <v>2</v>
      </c>
      <c r="L1590">
        <v>1</v>
      </c>
      <c r="M1590">
        <v>25</v>
      </c>
      <c r="N1590">
        <v>829.03499999999997</v>
      </c>
      <c r="O1590">
        <v>0</v>
      </c>
      <c r="P15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0" t="str">
        <f>IF(Table1[[#This Row],[Fraud_Score]]&gt;=6, "High Risk",IF(Table1[[#This Row],[Fraud_Score]]&gt;=3, "Medium Risk", "Low Risk"))</f>
        <v>Low Risk</v>
      </c>
      <c r="R1590">
        <f>IF(Table1[[#This Row],[Seconds of Use]]=0,0,Table1[[#This Row],[Customer Value]]/Table1[[#This Row],[Seconds of Use]]*100)</f>
        <v>43.564634787178136</v>
      </c>
    </row>
    <row r="1591" spans="1:18" x14ac:dyDescent="0.35">
      <c r="A1591" s="3" t="s">
        <v>1612</v>
      </c>
      <c r="B1591">
        <v>0</v>
      </c>
      <c r="C1591">
        <v>0</v>
      </c>
      <c r="D1591">
        <v>24</v>
      </c>
      <c r="E1591">
        <v>0</v>
      </c>
      <c r="F1591">
        <v>663</v>
      </c>
      <c r="G1591">
        <v>23</v>
      </c>
      <c r="H1591">
        <v>2</v>
      </c>
      <c r="I1591">
        <v>51</v>
      </c>
      <c r="J1591">
        <v>4</v>
      </c>
      <c r="K1591">
        <v>1</v>
      </c>
      <c r="L1591">
        <v>1</v>
      </c>
      <c r="M1591">
        <v>45</v>
      </c>
      <c r="N1591">
        <v>22.15</v>
      </c>
      <c r="O1591">
        <v>0</v>
      </c>
      <c r="P15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591" t="str">
        <f>IF(Table1[[#This Row],[Fraud_Score]]&gt;=6, "High Risk",IF(Table1[[#This Row],[Fraud_Score]]&gt;=3, "Medium Risk", "Low Risk"))</f>
        <v>Low Risk</v>
      </c>
      <c r="R1591">
        <f>IF(Table1[[#This Row],[Seconds of Use]]=0,0,Table1[[#This Row],[Customer Value]]/Table1[[#This Row],[Seconds of Use]]*100)</f>
        <v>3.3408748114630469</v>
      </c>
    </row>
    <row r="1592" spans="1:18" x14ac:dyDescent="0.35">
      <c r="A1592" s="3" t="s">
        <v>1613</v>
      </c>
      <c r="B1592">
        <v>0</v>
      </c>
      <c r="C1592">
        <v>0</v>
      </c>
      <c r="D1592">
        <v>25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2</v>
      </c>
      <c r="K1592">
        <v>1</v>
      </c>
      <c r="L1592">
        <v>2</v>
      </c>
      <c r="M1592">
        <v>25</v>
      </c>
      <c r="N1592">
        <v>0</v>
      </c>
      <c r="O1592">
        <v>0</v>
      </c>
      <c r="P15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2" t="str">
        <f>IF(Table1[[#This Row],[Fraud_Score]]&gt;=6, "High Risk",IF(Table1[[#This Row],[Fraud_Score]]&gt;=3, "Medium Risk", "Low Risk"))</f>
        <v>Low Risk</v>
      </c>
      <c r="R1592">
        <f>IF(Table1[[#This Row],[Seconds of Use]]=0,0,Table1[[#This Row],[Customer Value]]/Table1[[#This Row],[Seconds of Use]]*100)</f>
        <v>0</v>
      </c>
    </row>
    <row r="1593" spans="1:18" x14ac:dyDescent="0.35">
      <c r="A1593" s="3" t="s">
        <v>1614</v>
      </c>
      <c r="B1593">
        <v>0</v>
      </c>
      <c r="C1593">
        <v>0</v>
      </c>
      <c r="D1593">
        <v>24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4</v>
      </c>
      <c r="K1593">
        <v>1</v>
      </c>
      <c r="L1593">
        <v>2</v>
      </c>
      <c r="M1593">
        <v>45</v>
      </c>
      <c r="N1593">
        <v>0</v>
      </c>
      <c r="O1593">
        <v>0</v>
      </c>
      <c r="P15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3" t="str">
        <f>IF(Table1[[#This Row],[Fraud_Score]]&gt;=6, "High Risk",IF(Table1[[#This Row],[Fraud_Score]]&gt;=3, "Medium Risk", "Low Risk"))</f>
        <v>Low Risk</v>
      </c>
      <c r="R1593">
        <f>IF(Table1[[#This Row],[Seconds of Use]]=0,0,Table1[[#This Row],[Customer Value]]/Table1[[#This Row],[Seconds of Use]]*100)</f>
        <v>0</v>
      </c>
    </row>
    <row r="1594" spans="1:18" x14ac:dyDescent="0.35">
      <c r="A1594" s="3" t="s">
        <v>1615</v>
      </c>
      <c r="B1594">
        <v>0</v>
      </c>
      <c r="C1594">
        <v>0</v>
      </c>
      <c r="D1594">
        <v>23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2</v>
      </c>
      <c r="K1594">
        <v>1</v>
      </c>
      <c r="L1594">
        <v>1</v>
      </c>
      <c r="M1594">
        <v>25</v>
      </c>
      <c r="N1594">
        <v>0</v>
      </c>
      <c r="O1594">
        <v>0</v>
      </c>
      <c r="P15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4" t="str">
        <f>IF(Table1[[#This Row],[Fraud_Score]]&gt;=6, "High Risk",IF(Table1[[#This Row],[Fraud_Score]]&gt;=3, "Medium Risk", "Low Risk"))</f>
        <v>Low Risk</v>
      </c>
      <c r="R1594">
        <f>IF(Table1[[#This Row],[Seconds of Use]]=0,0,Table1[[#This Row],[Customer Value]]/Table1[[#This Row],[Seconds of Use]]*100)</f>
        <v>0</v>
      </c>
    </row>
    <row r="1595" spans="1:18" x14ac:dyDescent="0.35">
      <c r="A1595" s="3" t="s">
        <v>1616</v>
      </c>
      <c r="B1595">
        <v>0</v>
      </c>
      <c r="C1595">
        <v>0</v>
      </c>
      <c r="D1595">
        <v>23</v>
      </c>
      <c r="E1595">
        <v>0</v>
      </c>
      <c r="F1595">
        <v>2320</v>
      </c>
      <c r="G1595">
        <v>45</v>
      </c>
      <c r="H1595">
        <v>0</v>
      </c>
      <c r="I1595">
        <v>6</v>
      </c>
      <c r="J1595">
        <v>3</v>
      </c>
      <c r="K1595">
        <v>1</v>
      </c>
      <c r="L1595">
        <v>1</v>
      </c>
      <c r="M1595">
        <v>30</v>
      </c>
      <c r="N1595">
        <v>94.6</v>
      </c>
      <c r="O1595">
        <v>0</v>
      </c>
      <c r="P15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5" t="str">
        <f>IF(Table1[[#This Row],[Fraud_Score]]&gt;=6, "High Risk",IF(Table1[[#This Row],[Fraud_Score]]&gt;=3, "Medium Risk", "Low Risk"))</f>
        <v>Low Risk</v>
      </c>
      <c r="R1595">
        <f>IF(Table1[[#This Row],[Seconds of Use]]=0,0,Table1[[#This Row],[Customer Value]]/Table1[[#This Row],[Seconds of Use]]*100)</f>
        <v>4.0775862068965516</v>
      </c>
    </row>
    <row r="1596" spans="1:18" x14ac:dyDescent="0.35">
      <c r="A1596" s="3" t="s">
        <v>1617</v>
      </c>
      <c r="B1596">
        <v>0</v>
      </c>
      <c r="C1596">
        <v>0</v>
      </c>
      <c r="D1596">
        <v>16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2</v>
      </c>
      <c r="K1596">
        <v>1</v>
      </c>
      <c r="L1596">
        <v>1</v>
      </c>
      <c r="M1596">
        <v>25</v>
      </c>
      <c r="N1596">
        <v>0</v>
      </c>
      <c r="O1596">
        <v>0</v>
      </c>
      <c r="P15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6" t="str">
        <f>IF(Table1[[#This Row],[Fraud_Score]]&gt;=6, "High Risk",IF(Table1[[#This Row],[Fraud_Score]]&gt;=3, "Medium Risk", "Low Risk"))</f>
        <v>Low Risk</v>
      </c>
      <c r="R1596">
        <f>IF(Table1[[#This Row],[Seconds of Use]]=0,0,Table1[[#This Row],[Customer Value]]/Table1[[#This Row],[Seconds of Use]]*100)</f>
        <v>0</v>
      </c>
    </row>
    <row r="1597" spans="1:18" x14ac:dyDescent="0.35">
      <c r="A1597" s="3" t="s">
        <v>1618</v>
      </c>
      <c r="B1597">
        <v>7</v>
      </c>
      <c r="C1597">
        <v>0</v>
      </c>
      <c r="D1597">
        <v>15</v>
      </c>
      <c r="E1597">
        <v>0</v>
      </c>
      <c r="F1597">
        <v>5488</v>
      </c>
      <c r="G1597">
        <v>125</v>
      </c>
      <c r="H1597">
        <v>57</v>
      </c>
      <c r="I1597">
        <v>25</v>
      </c>
      <c r="J1597">
        <v>1</v>
      </c>
      <c r="K1597">
        <v>2</v>
      </c>
      <c r="L1597">
        <v>1</v>
      </c>
      <c r="M1597">
        <v>15</v>
      </c>
      <c r="N1597">
        <v>622.21500000000003</v>
      </c>
      <c r="O1597">
        <v>0</v>
      </c>
      <c r="P15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7" t="str">
        <f>IF(Table1[[#This Row],[Fraud_Score]]&gt;=6, "High Risk",IF(Table1[[#This Row],[Fraud_Score]]&gt;=3, "Medium Risk", "Low Risk"))</f>
        <v>Low Risk</v>
      </c>
      <c r="R1597">
        <f>IF(Table1[[#This Row],[Seconds of Use]]=0,0,Table1[[#This Row],[Customer Value]]/Table1[[#This Row],[Seconds of Use]]*100)</f>
        <v>11.337736880466473</v>
      </c>
    </row>
    <row r="1598" spans="1:18" x14ac:dyDescent="0.35">
      <c r="A1598" s="3" t="s">
        <v>1619</v>
      </c>
      <c r="B1598">
        <v>3</v>
      </c>
      <c r="C1598">
        <v>0</v>
      </c>
      <c r="D1598">
        <v>13</v>
      </c>
      <c r="E1598">
        <v>0</v>
      </c>
      <c r="F1598">
        <v>8028</v>
      </c>
      <c r="G1598">
        <v>155</v>
      </c>
      <c r="H1598">
        <v>45</v>
      </c>
      <c r="I1598">
        <v>23</v>
      </c>
      <c r="J1598">
        <v>4</v>
      </c>
      <c r="K1598">
        <v>1</v>
      </c>
      <c r="L1598">
        <v>1</v>
      </c>
      <c r="M1598">
        <v>45</v>
      </c>
      <c r="N1598">
        <v>317.07499999999999</v>
      </c>
      <c r="O1598">
        <v>0</v>
      </c>
      <c r="P15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598" t="str">
        <f>IF(Table1[[#This Row],[Fraud_Score]]&gt;=6, "High Risk",IF(Table1[[#This Row],[Fraud_Score]]&gt;=3, "Medium Risk", "Low Risk"))</f>
        <v>Medium Risk</v>
      </c>
      <c r="R1598">
        <f>IF(Table1[[#This Row],[Seconds of Use]]=0,0,Table1[[#This Row],[Customer Value]]/Table1[[#This Row],[Seconds of Use]]*100)</f>
        <v>3.9496138515196808</v>
      </c>
    </row>
    <row r="1599" spans="1:18" x14ac:dyDescent="0.35">
      <c r="A1599" s="3" t="s">
        <v>1620</v>
      </c>
      <c r="B1599">
        <v>0</v>
      </c>
      <c r="C1599">
        <v>0</v>
      </c>
      <c r="D1599">
        <v>14</v>
      </c>
      <c r="E1599">
        <v>0</v>
      </c>
      <c r="F1599">
        <v>1948</v>
      </c>
      <c r="G1599">
        <v>29</v>
      </c>
      <c r="H1599">
        <v>3</v>
      </c>
      <c r="I1599">
        <v>2</v>
      </c>
      <c r="J1599">
        <v>3</v>
      </c>
      <c r="K1599">
        <v>1</v>
      </c>
      <c r="L1599">
        <v>1</v>
      </c>
      <c r="M1599">
        <v>30</v>
      </c>
      <c r="N1599">
        <v>91.08</v>
      </c>
      <c r="O1599">
        <v>0</v>
      </c>
      <c r="P15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599" t="str">
        <f>IF(Table1[[#This Row],[Fraud_Score]]&gt;=6, "High Risk",IF(Table1[[#This Row],[Fraud_Score]]&gt;=3, "Medium Risk", "Low Risk"))</f>
        <v>Low Risk</v>
      </c>
      <c r="R1599">
        <f>IF(Table1[[#This Row],[Seconds of Use]]=0,0,Table1[[#This Row],[Customer Value]]/Table1[[#This Row],[Seconds of Use]]*100)</f>
        <v>4.675564681724846</v>
      </c>
    </row>
    <row r="1600" spans="1:18" x14ac:dyDescent="0.35">
      <c r="A1600" s="3" t="s">
        <v>1621</v>
      </c>
      <c r="B1600">
        <v>0</v>
      </c>
      <c r="C1600">
        <v>0</v>
      </c>
      <c r="D1600">
        <v>7</v>
      </c>
      <c r="E1600">
        <v>0</v>
      </c>
      <c r="F1600">
        <v>3485</v>
      </c>
      <c r="G1600">
        <v>24</v>
      </c>
      <c r="H1600">
        <v>187</v>
      </c>
      <c r="I1600">
        <v>21</v>
      </c>
      <c r="J1600">
        <v>3</v>
      </c>
      <c r="K1600">
        <v>1</v>
      </c>
      <c r="L1600">
        <v>1</v>
      </c>
      <c r="M1600">
        <v>30</v>
      </c>
      <c r="N1600">
        <v>888.36</v>
      </c>
      <c r="O1600">
        <v>0</v>
      </c>
      <c r="P16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0" t="str">
        <f>IF(Table1[[#This Row],[Fraud_Score]]&gt;=6, "High Risk",IF(Table1[[#This Row],[Fraud_Score]]&gt;=3, "Medium Risk", "Low Risk"))</f>
        <v>Low Risk</v>
      </c>
      <c r="R1600">
        <f>IF(Table1[[#This Row],[Seconds of Use]]=0,0,Table1[[#This Row],[Customer Value]]/Table1[[#This Row],[Seconds of Use]]*100)</f>
        <v>25.490961262553803</v>
      </c>
    </row>
    <row r="1601" spans="1:18" x14ac:dyDescent="0.35">
      <c r="A1601" s="3" t="s">
        <v>1622</v>
      </c>
      <c r="B1601">
        <v>0</v>
      </c>
      <c r="C1601">
        <v>0</v>
      </c>
      <c r="D1601">
        <v>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2</v>
      </c>
      <c r="K1601">
        <v>1</v>
      </c>
      <c r="L1601">
        <v>1</v>
      </c>
      <c r="M1601">
        <v>25</v>
      </c>
      <c r="N1601">
        <v>0</v>
      </c>
      <c r="O1601">
        <v>1</v>
      </c>
      <c r="P16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1" t="str">
        <f>IF(Table1[[#This Row],[Fraud_Score]]&gt;=6, "High Risk",IF(Table1[[#This Row],[Fraud_Score]]&gt;=3, "Medium Risk", "Low Risk"))</f>
        <v>Low Risk</v>
      </c>
      <c r="R1601">
        <f>IF(Table1[[#This Row],[Seconds of Use]]=0,0,Table1[[#This Row],[Customer Value]]/Table1[[#This Row],[Seconds of Use]]*100)</f>
        <v>0</v>
      </c>
    </row>
    <row r="1602" spans="1:18" x14ac:dyDescent="0.35">
      <c r="A1602" s="3" t="s">
        <v>1623</v>
      </c>
      <c r="B1602">
        <v>3</v>
      </c>
      <c r="C1602">
        <v>0</v>
      </c>
      <c r="D1602">
        <v>37</v>
      </c>
      <c r="E1602">
        <v>0</v>
      </c>
      <c r="F1602">
        <v>4180</v>
      </c>
      <c r="G1602">
        <v>71</v>
      </c>
      <c r="H1602">
        <v>30</v>
      </c>
      <c r="I1602">
        <v>19</v>
      </c>
      <c r="J1602">
        <v>3</v>
      </c>
      <c r="K1602">
        <v>1</v>
      </c>
      <c r="L1602">
        <v>1</v>
      </c>
      <c r="M1602">
        <v>30</v>
      </c>
      <c r="N1602">
        <v>290.04000000000002</v>
      </c>
      <c r="O1602">
        <v>0</v>
      </c>
      <c r="P16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2" t="str">
        <f>IF(Table1[[#This Row],[Fraud_Score]]&gt;=6, "High Risk",IF(Table1[[#This Row],[Fraud_Score]]&gt;=3, "Medium Risk", "Low Risk"))</f>
        <v>Low Risk</v>
      </c>
      <c r="R1602">
        <f>IF(Table1[[#This Row],[Seconds of Use]]=0,0,Table1[[#This Row],[Customer Value]]/Table1[[#This Row],[Seconds of Use]]*100)</f>
        <v>6.9387559808612442</v>
      </c>
    </row>
    <row r="1603" spans="1:18" x14ac:dyDescent="0.35">
      <c r="A1603" s="3" t="s">
        <v>1624</v>
      </c>
      <c r="B1603">
        <v>0</v>
      </c>
      <c r="C1603">
        <v>0</v>
      </c>
      <c r="D1603">
        <v>38</v>
      </c>
      <c r="E1603">
        <v>0</v>
      </c>
      <c r="F1603">
        <v>128</v>
      </c>
      <c r="G1603">
        <v>5</v>
      </c>
      <c r="H1603">
        <v>32</v>
      </c>
      <c r="I1603">
        <v>6</v>
      </c>
      <c r="J1603">
        <v>3</v>
      </c>
      <c r="K1603">
        <v>1</v>
      </c>
      <c r="L1603">
        <v>2</v>
      </c>
      <c r="M1603">
        <v>30</v>
      </c>
      <c r="N1603">
        <v>133.32</v>
      </c>
      <c r="O1603">
        <v>0</v>
      </c>
      <c r="P16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3" t="str">
        <f>IF(Table1[[#This Row],[Fraud_Score]]&gt;=6, "High Risk",IF(Table1[[#This Row],[Fraud_Score]]&gt;=3, "Medium Risk", "Low Risk"))</f>
        <v>Low Risk</v>
      </c>
      <c r="R1603">
        <f>IF(Table1[[#This Row],[Seconds of Use]]=0,0,Table1[[#This Row],[Customer Value]]/Table1[[#This Row],[Seconds of Use]]*100)</f>
        <v>104.15625</v>
      </c>
    </row>
    <row r="1604" spans="1:18" x14ac:dyDescent="0.35">
      <c r="A1604" s="3" t="s">
        <v>1625</v>
      </c>
      <c r="B1604">
        <v>5</v>
      </c>
      <c r="C1604">
        <v>0</v>
      </c>
      <c r="D1604">
        <v>36</v>
      </c>
      <c r="E1604">
        <v>0</v>
      </c>
      <c r="F1604">
        <v>2263</v>
      </c>
      <c r="G1604">
        <v>60</v>
      </c>
      <c r="H1604">
        <v>384</v>
      </c>
      <c r="I1604">
        <v>26</v>
      </c>
      <c r="J1604">
        <v>3</v>
      </c>
      <c r="K1604">
        <v>1</v>
      </c>
      <c r="L1604">
        <v>1</v>
      </c>
      <c r="M1604">
        <v>30</v>
      </c>
      <c r="N1604">
        <v>1628.92</v>
      </c>
      <c r="O1604">
        <v>0</v>
      </c>
      <c r="P16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4" t="str">
        <f>IF(Table1[[#This Row],[Fraud_Score]]&gt;=6, "High Risk",IF(Table1[[#This Row],[Fraud_Score]]&gt;=3, "Medium Risk", "Low Risk"))</f>
        <v>Low Risk</v>
      </c>
      <c r="R1604">
        <f>IF(Table1[[#This Row],[Seconds of Use]]=0,0,Table1[[#This Row],[Customer Value]]/Table1[[#This Row],[Seconds of Use]]*100)</f>
        <v>71.980556783031375</v>
      </c>
    </row>
    <row r="1605" spans="1:18" x14ac:dyDescent="0.35">
      <c r="A1605" s="3" t="s">
        <v>1626</v>
      </c>
      <c r="B1605">
        <v>5</v>
      </c>
      <c r="C1605">
        <v>0</v>
      </c>
      <c r="D1605">
        <v>37</v>
      </c>
      <c r="E1605">
        <v>0</v>
      </c>
      <c r="F1605">
        <v>4008</v>
      </c>
      <c r="G1605">
        <v>66</v>
      </c>
      <c r="H1605">
        <v>26</v>
      </c>
      <c r="I1605">
        <v>37</v>
      </c>
      <c r="J1605">
        <v>1</v>
      </c>
      <c r="K1605">
        <v>1</v>
      </c>
      <c r="L1605">
        <v>1</v>
      </c>
      <c r="M1605">
        <v>15</v>
      </c>
      <c r="N1605">
        <v>367.07</v>
      </c>
      <c r="O1605">
        <v>0</v>
      </c>
      <c r="P16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5" t="str">
        <f>IF(Table1[[#This Row],[Fraud_Score]]&gt;=6, "High Risk",IF(Table1[[#This Row],[Fraud_Score]]&gt;=3, "Medium Risk", "Low Risk"))</f>
        <v>Low Risk</v>
      </c>
      <c r="R1605">
        <f>IF(Table1[[#This Row],[Seconds of Use]]=0,0,Table1[[#This Row],[Customer Value]]/Table1[[#This Row],[Seconds of Use]]*100)</f>
        <v>9.1584331337325349</v>
      </c>
    </row>
    <row r="1606" spans="1:18" x14ac:dyDescent="0.35">
      <c r="A1606" s="3" t="s">
        <v>1627</v>
      </c>
      <c r="B1606">
        <v>0</v>
      </c>
      <c r="C1606">
        <v>0</v>
      </c>
      <c r="D1606">
        <v>37</v>
      </c>
      <c r="E1606">
        <v>0</v>
      </c>
      <c r="F1606">
        <v>2203</v>
      </c>
      <c r="G1606">
        <v>58</v>
      </c>
      <c r="H1606">
        <v>27</v>
      </c>
      <c r="I1606">
        <v>35</v>
      </c>
      <c r="J1606">
        <v>2</v>
      </c>
      <c r="K1606">
        <v>1</v>
      </c>
      <c r="L1606">
        <v>1</v>
      </c>
      <c r="M1606">
        <v>25</v>
      </c>
      <c r="N1606">
        <v>223.245</v>
      </c>
      <c r="O1606">
        <v>0</v>
      </c>
      <c r="P16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6" t="str">
        <f>IF(Table1[[#This Row],[Fraud_Score]]&gt;=6, "High Risk",IF(Table1[[#This Row],[Fraud_Score]]&gt;=3, "Medium Risk", "Low Risk"))</f>
        <v>Low Risk</v>
      </c>
      <c r="R1606">
        <f>IF(Table1[[#This Row],[Seconds of Use]]=0,0,Table1[[#This Row],[Customer Value]]/Table1[[#This Row],[Seconds of Use]]*100)</f>
        <v>10.133681343622333</v>
      </c>
    </row>
    <row r="1607" spans="1:18" x14ac:dyDescent="0.35">
      <c r="A1607" s="3" t="s">
        <v>1628</v>
      </c>
      <c r="B1607">
        <v>6</v>
      </c>
      <c r="C1607">
        <v>0</v>
      </c>
      <c r="D1607">
        <v>37</v>
      </c>
      <c r="E1607">
        <v>1</v>
      </c>
      <c r="F1607">
        <v>3585</v>
      </c>
      <c r="G1607">
        <v>82</v>
      </c>
      <c r="H1607">
        <v>57</v>
      </c>
      <c r="I1607">
        <v>30</v>
      </c>
      <c r="J1607">
        <v>3</v>
      </c>
      <c r="K1607">
        <v>1</v>
      </c>
      <c r="L1607">
        <v>1</v>
      </c>
      <c r="M1607">
        <v>30</v>
      </c>
      <c r="N1607">
        <v>374.68</v>
      </c>
      <c r="O1607">
        <v>0</v>
      </c>
      <c r="P16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07" t="str">
        <f>IF(Table1[[#This Row],[Fraud_Score]]&gt;=6, "High Risk",IF(Table1[[#This Row],[Fraud_Score]]&gt;=3, "Medium Risk", "Low Risk"))</f>
        <v>Low Risk</v>
      </c>
      <c r="R1607">
        <f>IF(Table1[[#This Row],[Seconds of Use]]=0,0,Table1[[#This Row],[Customer Value]]/Table1[[#This Row],[Seconds of Use]]*100)</f>
        <v>10.451324965132496</v>
      </c>
    </row>
    <row r="1608" spans="1:18" x14ac:dyDescent="0.35">
      <c r="A1608" s="3" t="s">
        <v>1629</v>
      </c>
      <c r="B1608">
        <v>0</v>
      </c>
      <c r="C1608">
        <v>0</v>
      </c>
      <c r="D1608">
        <v>37</v>
      </c>
      <c r="E1608">
        <v>0</v>
      </c>
      <c r="F1608">
        <v>2170</v>
      </c>
      <c r="G1608">
        <v>39</v>
      </c>
      <c r="H1608">
        <v>310</v>
      </c>
      <c r="I1608">
        <v>20</v>
      </c>
      <c r="J1608">
        <v>3</v>
      </c>
      <c r="K1608">
        <v>1</v>
      </c>
      <c r="L1608">
        <v>1</v>
      </c>
      <c r="M1608">
        <v>30</v>
      </c>
      <c r="N1608">
        <v>1328.36</v>
      </c>
      <c r="O1608">
        <v>0</v>
      </c>
      <c r="P16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08" t="str">
        <f>IF(Table1[[#This Row],[Fraud_Score]]&gt;=6, "High Risk",IF(Table1[[#This Row],[Fraud_Score]]&gt;=3, "Medium Risk", "Low Risk"))</f>
        <v>Low Risk</v>
      </c>
      <c r="R1608">
        <f>IF(Table1[[#This Row],[Seconds of Use]]=0,0,Table1[[#This Row],[Customer Value]]/Table1[[#This Row],[Seconds of Use]]*100)</f>
        <v>61.214746543778794</v>
      </c>
    </row>
    <row r="1609" spans="1:18" x14ac:dyDescent="0.35">
      <c r="A1609" s="3" t="s">
        <v>1630</v>
      </c>
      <c r="B1609">
        <v>8</v>
      </c>
      <c r="C1609">
        <v>0</v>
      </c>
      <c r="D1609">
        <v>36</v>
      </c>
      <c r="E1609">
        <v>2</v>
      </c>
      <c r="F1609">
        <v>8925</v>
      </c>
      <c r="G1609">
        <v>121</v>
      </c>
      <c r="H1609">
        <v>169</v>
      </c>
      <c r="I1609">
        <v>45</v>
      </c>
      <c r="J1609">
        <v>3</v>
      </c>
      <c r="K1609">
        <v>1</v>
      </c>
      <c r="L1609">
        <v>1</v>
      </c>
      <c r="M1609">
        <v>30</v>
      </c>
      <c r="N1609">
        <v>1037.8399999999999</v>
      </c>
      <c r="O1609">
        <v>0</v>
      </c>
      <c r="P16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09" t="str">
        <f>IF(Table1[[#This Row],[Fraud_Score]]&gt;=6, "High Risk",IF(Table1[[#This Row],[Fraud_Score]]&gt;=3, "Medium Risk", "Low Risk"))</f>
        <v>Low Risk</v>
      </c>
      <c r="R1609">
        <f>IF(Table1[[#This Row],[Seconds of Use]]=0,0,Table1[[#This Row],[Customer Value]]/Table1[[#This Row],[Seconds of Use]]*100)</f>
        <v>11.628459383753501</v>
      </c>
    </row>
    <row r="1610" spans="1:18" x14ac:dyDescent="0.35">
      <c r="A1610" s="3" t="s">
        <v>1631</v>
      </c>
      <c r="B1610">
        <v>2</v>
      </c>
      <c r="C1610">
        <v>0</v>
      </c>
      <c r="D1610">
        <v>37</v>
      </c>
      <c r="E1610">
        <v>0</v>
      </c>
      <c r="F1610">
        <v>13583</v>
      </c>
      <c r="G1610">
        <v>169</v>
      </c>
      <c r="H1610">
        <v>25</v>
      </c>
      <c r="I1610">
        <v>46</v>
      </c>
      <c r="J1610">
        <v>3</v>
      </c>
      <c r="K1610">
        <v>1</v>
      </c>
      <c r="L1610">
        <v>1</v>
      </c>
      <c r="M1610">
        <v>30</v>
      </c>
      <c r="N1610">
        <v>650.08000000000004</v>
      </c>
      <c r="O1610">
        <v>0</v>
      </c>
      <c r="P16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10" t="str">
        <f>IF(Table1[[#This Row],[Fraud_Score]]&gt;=6, "High Risk",IF(Table1[[#This Row],[Fraud_Score]]&gt;=3, "Medium Risk", "Low Risk"))</f>
        <v>Medium Risk</v>
      </c>
      <c r="R1610">
        <f>IF(Table1[[#This Row],[Seconds of Use]]=0,0,Table1[[#This Row],[Customer Value]]/Table1[[#This Row],[Seconds of Use]]*100)</f>
        <v>4.7859824780976226</v>
      </c>
    </row>
    <row r="1611" spans="1:18" x14ac:dyDescent="0.35">
      <c r="A1611" s="3" t="s">
        <v>1632</v>
      </c>
      <c r="B1611">
        <v>2</v>
      </c>
      <c r="C1611">
        <v>0</v>
      </c>
      <c r="D1611">
        <v>37</v>
      </c>
      <c r="E1611">
        <v>1</v>
      </c>
      <c r="F1611">
        <v>4325</v>
      </c>
      <c r="G1611">
        <v>83</v>
      </c>
      <c r="H1611">
        <v>27</v>
      </c>
      <c r="I1611">
        <v>27</v>
      </c>
      <c r="J1611">
        <v>3</v>
      </c>
      <c r="K1611">
        <v>1</v>
      </c>
      <c r="L1611">
        <v>1</v>
      </c>
      <c r="M1611">
        <v>30</v>
      </c>
      <c r="N1611">
        <v>284.32</v>
      </c>
      <c r="O1611">
        <v>0</v>
      </c>
      <c r="P16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11" t="str">
        <f>IF(Table1[[#This Row],[Fraud_Score]]&gt;=6, "High Risk",IF(Table1[[#This Row],[Fraud_Score]]&gt;=3, "Medium Risk", "Low Risk"))</f>
        <v>Low Risk</v>
      </c>
      <c r="R1611">
        <f>IF(Table1[[#This Row],[Seconds of Use]]=0,0,Table1[[#This Row],[Customer Value]]/Table1[[#This Row],[Seconds of Use]]*100)</f>
        <v>6.5738728323699425</v>
      </c>
    </row>
    <row r="1612" spans="1:18" x14ac:dyDescent="0.35">
      <c r="A1612" s="3" t="s">
        <v>1633</v>
      </c>
      <c r="B1612">
        <v>1</v>
      </c>
      <c r="C1612">
        <v>0</v>
      </c>
      <c r="D1612">
        <v>37</v>
      </c>
      <c r="E1612">
        <v>0</v>
      </c>
      <c r="F1612">
        <v>5728</v>
      </c>
      <c r="G1612">
        <v>95</v>
      </c>
      <c r="H1612">
        <v>32</v>
      </c>
      <c r="I1612">
        <v>14</v>
      </c>
      <c r="J1612">
        <v>3</v>
      </c>
      <c r="K1612">
        <v>1</v>
      </c>
      <c r="L1612">
        <v>1</v>
      </c>
      <c r="M1612">
        <v>30</v>
      </c>
      <c r="N1612">
        <v>360.92</v>
      </c>
      <c r="O1612">
        <v>0</v>
      </c>
      <c r="P16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12" t="str">
        <f>IF(Table1[[#This Row],[Fraud_Score]]&gt;=6, "High Risk",IF(Table1[[#This Row],[Fraud_Score]]&gt;=3, "Medium Risk", "Low Risk"))</f>
        <v>Low Risk</v>
      </c>
      <c r="R1612">
        <f>IF(Table1[[#This Row],[Seconds of Use]]=0,0,Table1[[#This Row],[Customer Value]]/Table1[[#This Row],[Seconds of Use]]*100)</f>
        <v>6.3009776536312856</v>
      </c>
    </row>
    <row r="1613" spans="1:18" x14ac:dyDescent="0.35">
      <c r="A1613" s="3" t="s">
        <v>1634</v>
      </c>
      <c r="B1613">
        <v>4</v>
      </c>
      <c r="C1613">
        <v>0</v>
      </c>
      <c r="D1613">
        <v>37</v>
      </c>
      <c r="E1613">
        <v>0</v>
      </c>
      <c r="F1613">
        <v>2048</v>
      </c>
      <c r="G1613">
        <v>54</v>
      </c>
      <c r="H1613">
        <v>33</v>
      </c>
      <c r="I1613">
        <v>19</v>
      </c>
      <c r="J1613">
        <v>3</v>
      </c>
      <c r="K1613">
        <v>1</v>
      </c>
      <c r="L1613">
        <v>2</v>
      </c>
      <c r="M1613">
        <v>30</v>
      </c>
      <c r="N1613">
        <v>216.08</v>
      </c>
      <c r="O1613">
        <v>0</v>
      </c>
      <c r="P16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13" t="str">
        <f>IF(Table1[[#This Row],[Fraud_Score]]&gt;=6, "High Risk",IF(Table1[[#This Row],[Fraud_Score]]&gt;=3, "Medium Risk", "Low Risk"))</f>
        <v>Low Risk</v>
      </c>
      <c r="R1613">
        <f>IF(Table1[[#This Row],[Seconds of Use]]=0,0,Table1[[#This Row],[Customer Value]]/Table1[[#This Row],[Seconds of Use]]*100)</f>
        <v>10.55078125</v>
      </c>
    </row>
    <row r="1614" spans="1:18" x14ac:dyDescent="0.35">
      <c r="A1614" s="3" t="s">
        <v>1635</v>
      </c>
      <c r="B1614">
        <v>20</v>
      </c>
      <c r="C1614">
        <v>0</v>
      </c>
      <c r="D1614">
        <v>37</v>
      </c>
      <c r="E1614">
        <v>3</v>
      </c>
      <c r="F1614">
        <v>14950</v>
      </c>
      <c r="G1614">
        <v>225</v>
      </c>
      <c r="H1614">
        <v>79</v>
      </c>
      <c r="I1614">
        <v>34</v>
      </c>
      <c r="J1614">
        <v>3</v>
      </c>
      <c r="K1614">
        <v>1</v>
      </c>
      <c r="L1614">
        <v>1</v>
      </c>
      <c r="M1614">
        <v>30</v>
      </c>
      <c r="N1614">
        <v>923</v>
      </c>
      <c r="O1614">
        <v>0</v>
      </c>
      <c r="P16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614" t="str">
        <f>IF(Table1[[#This Row],[Fraud_Score]]&gt;=6, "High Risk",IF(Table1[[#This Row],[Fraud_Score]]&gt;=3, "Medium Risk", "Low Risk"))</f>
        <v>Medium Risk</v>
      </c>
      <c r="R1614">
        <f>IF(Table1[[#This Row],[Seconds of Use]]=0,0,Table1[[#This Row],[Customer Value]]/Table1[[#This Row],[Seconds of Use]]*100)</f>
        <v>6.1739130434782608</v>
      </c>
    </row>
    <row r="1615" spans="1:18" x14ac:dyDescent="0.35">
      <c r="A1615" s="3" t="s">
        <v>1636</v>
      </c>
      <c r="B1615">
        <v>0</v>
      </c>
      <c r="C1615">
        <v>0</v>
      </c>
      <c r="D1615">
        <v>37</v>
      </c>
      <c r="E1615">
        <v>1</v>
      </c>
      <c r="F1615">
        <v>2905</v>
      </c>
      <c r="G1615">
        <v>27</v>
      </c>
      <c r="H1615">
        <v>508</v>
      </c>
      <c r="I1615">
        <v>10</v>
      </c>
      <c r="J1615">
        <v>3</v>
      </c>
      <c r="K1615">
        <v>1</v>
      </c>
      <c r="L1615">
        <v>1</v>
      </c>
      <c r="M1615">
        <v>30</v>
      </c>
      <c r="N1615">
        <v>2149.2800000000002</v>
      </c>
      <c r="O1615">
        <v>0</v>
      </c>
      <c r="P16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15" t="str">
        <f>IF(Table1[[#This Row],[Fraud_Score]]&gt;=6, "High Risk",IF(Table1[[#This Row],[Fraud_Score]]&gt;=3, "Medium Risk", "Low Risk"))</f>
        <v>Low Risk</v>
      </c>
      <c r="R1615">
        <f>IF(Table1[[#This Row],[Seconds of Use]]=0,0,Table1[[#This Row],[Customer Value]]/Table1[[#This Row],[Seconds of Use]]*100)</f>
        <v>73.985542168674698</v>
      </c>
    </row>
    <row r="1616" spans="1:18" x14ac:dyDescent="0.35">
      <c r="A1616" s="3" t="s">
        <v>1637</v>
      </c>
      <c r="B1616">
        <v>4</v>
      </c>
      <c r="C1616">
        <v>0</v>
      </c>
      <c r="D1616">
        <v>36</v>
      </c>
      <c r="E1616">
        <v>0</v>
      </c>
      <c r="F1616">
        <v>15295</v>
      </c>
      <c r="G1616">
        <v>182</v>
      </c>
      <c r="H1616">
        <v>175</v>
      </c>
      <c r="I1616">
        <v>32</v>
      </c>
      <c r="J1616">
        <v>2</v>
      </c>
      <c r="K1616">
        <v>1</v>
      </c>
      <c r="L1616">
        <v>1</v>
      </c>
      <c r="M1616">
        <v>25</v>
      </c>
      <c r="N1616">
        <v>1483.9649999999999</v>
      </c>
      <c r="O1616">
        <v>0</v>
      </c>
      <c r="P16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16" t="str">
        <f>IF(Table1[[#This Row],[Fraud_Score]]&gt;=6, "High Risk",IF(Table1[[#This Row],[Fraud_Score]]&gt;=3, "Medium Risk", "Low Risk"))</f>
        <v>Medium Risk</v>
      </c>
      <c r="R1616">
        <f>IF(Table1[[#This Row],[Seconds of Use]]=0,0,Table1[[#This Row],[Customer Value]]/Table1[[#This Row],[Seconds of Use]]*100)</f>
        <v>9.7022883295194493</v>
      </c>
    </row>
    <row r="1617" spans="1:18" x14ac:dyDescent="0.35">
      <c r="A1617" s="3" t="s">
        <v>1638</v>
      </c>
      <c r="B1617">
        <v>0</v>
      </c>
      <c r="C1617">
        <v>0</v>
      </c>
      <c r="D1617">
        <v>36</v>
      </c>
      <c r="E1617">
        <v>1</v>
      </c>
      <c r="F1617">
        <v>6310</v>
      </c>
      <c r="G1617">
        <v>86</v>
      </c>
      <c r="H1617">
        <v>211</v>
      </c>
      <c r="I1617">
        <v>28</v>
      </c>
      <c r="J1617">
        <v>3</v>
      </c>
      <c r="K1617">
        <v>1</v>
      </c>
      <c r="L1617">
        <v>1</v>
      </c>
      <c r="M1617">
        <v>30</v>
      </c>
      <c r="N1617">
        <v>1099.8399999999999</v>
      </c>
      <c r="O1617">
        <v>0</v>
      </c>
      <c r="P16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17" t="str">
        <f>IF(Table1[[#This Row],[Fraud_Score]]&gt;=6, "High Risk",IF(Table1[[#This Row],[Fraud_Score]]&gt;=3, "Medium Risk", "Low Risk"))</f>
        <v>Low Risk</v>
      </c>
      <c r="R1617">
        <f>IF(Table1[[#This Row],[Seconds of Use]]=0,0,Table1[[#This Row],[Customer Value]]/Table1[[#This Row],[Seconds of Use]]*100)</f>
        <v>17.43011093502377</v>
      </c>
    </row>
    <row r="1618" spans="1:18" x14ac:dyDescent="0.35">
      <c r="A1618" s="3" t="s">
        <v>1639</v>
      </c>
      <c r="B1618">
        <v>0</v>
      </c>
      <c r="C1618">
        <v>0</v>
      </c>
      <c r="D1618">
        <v>36</v>
      </c>
      <c r="E1618">
        <v>0</v>
      </c>
      <c r="F1618">
        <v>685</v>
      </c>
      <c r="G1618">
        <v>14</v>
      </c>
      <c r="H1618">
        <v>25</v>
      </c>
      <c r="I1618">
        <v>13</v>
      </c>
      <c r="J1618">
        <v>2</v>
      </c>
      <c r="K1618">
        <v>1</v>
      </c>
      <c r="L1618">
        <v>2</v>
      </c>
      <c r="M1618">
        <v>25</v>
      </c>
      <c r="N1618">
        <v>143.95500000000001</v>
      </c>
      <c r="O1618">
        <v>0</v>
      </c>
      <c r="P16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18" t="str">
        <f>IF(Table1[[#This Row],[Fraud_Score]]&gt;=6, "High Risk",IF(Table1[[#This Row],[Fraud_Score]]&gt;=3, "Medium Risk", "Low Risk"))</f>
        <v>Low Risk</v>
      </c>
      <c r="R1618">
        <f>IF(Table1[[#This Row],[Seconds of Use]]=0,0,Table1[[#This Row],[Customer Value]]/Table1[[#This Row],[Seconds of Use]]*100)</f>
        <v>21.015328467153285</v>
      </c>
    </row>
    <row r="1619" spans="1:18" x14ac:dyDescent="0.35">
      <c r="A1619" s="3" t="s">
        <v>1640</v>
      </c>
      <c r="B1619">
        <v>0</v>
      </c>
      <c r="C1619">
        <v>0</v>
      </c>
      <c r="D1619">
        <v>37</v>
      </c>
      <c r="E1619">
        <v>0</v>
      </c>
      <c r="F1619">
        <v>520</v>
      </c>
      <c r="G1619">
        <v>14</v>
      </c>
      <c r="H1619">
        <v>38</v>
      </c>
      <c r="I1619">
        <v>10</v>
      </c>
      <c r="J1619">
        <v>3</v>
      </c>
      <c r="K1619">
        <v>1</v>
      </c>
      <c r="L1619">
        <v>2</v>
      </c>
      <c r="M1619">
        <v>30</v>
      </c>
      <c r="N1619">
        <v>173.36</v>
      </c>
      <c r="O1619">
        <v>0</v>
      </c>
      <c r="P16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19" t="str">
        <f>IF(Table1[[#This Row],[Fraud_Score]]&gt;=6, "High Risk",IF(Table1[[#This Row],[Fraud_Score]]&gt;=3, "Medium Risk", "Low Risk"))</f>
        <v>Low Risk</v>
      </c>
      <c r="R1619">
        <f>IF(Table1[[#This Row],[Seconds of Use]]=0,0,Table1[[#This Row],[Customer Value]]/Table1[[#This Row],[Seconds of Use]]*100)</f>
        <v>33.338461538461537</v>
      </c>
    </row>
    <row r="1620" spans="1:18" x14ac:dyDescent="0.35">
      <c r="A1620" s="3" t="s">
        <v>1641</v>
      </c>
      <c r="B1620">
        <v>0</v>
      </c>
      <c r="C1620">
        <v>0</v>
      </c>
      <c r="D1620">
        <v>36</v>
      </c>
      <c r="E1620">
        <v>0</v>
      </c>
      <c r="F1620">
        <v>0</v>
      </c>
      <c r="G1620">
        <v>0</v>
      </c>
      <c r="H1620">
        <v>25</v>
      </c>
      <c r="I1620">
        <v>0</v>
      </c>
      <c r="J1620">
        <v>2</v>
      </c>
      <c r="K1620">
        <v>1</v>
      </c>
      <c r="L1620">
        <v>2</v>
      </c>
      <c r="M1620">
        <v>25</v>
      </c>
      <c r="N1620">
        <v>112.5</v>
      </c>
      <c r="O1620">
        <v>1</v>
      </c>
      <c r="P16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20" t="str">
        <f>IF(Table1[[#This Row],[Fraud_Score]]&gt;=6, "High Risk",IF(Table1[[#This Row],[Fraud_Score]]&gt;=3, "Medium Risk", "Low Risk"))</f>
        <v>Low Risk</v>
      </c>
      <c r="R1620">
        <f>IF(Table1[[#This Row],[Seconds of Use]]=0,0,Table1[[#This Row],[Customer Value]]/Table1[[#This Row],[Seconds of Use]]*100)</f>
        <v>0</v>
      </c>
    </row>
    <row r="1621" spans="1:18" x14ac:dyDescent="0.35">
      <c r="A1621" s="3" t="s">
        <v>1642</v>
      </c>
      <c r="B1621">
        <v>0</v>
      </c>
      <c r="C1621">
        <v>0</v>
      </c>
      <c r="D1621">
        <v>36</v>
      </c>
      <c r="E1621">
        <v>0</v>
      </c>
      <c r="F1621">
        <v>7318</v>
      </c>
      <c r="G1621">
        <v>127</v>
      </c>
      <c r="H1621">
        <v>409</v>
      </c>
      <c r="I1621">
        <v>45</v>
      </c>
      <c r="J1621">
        <v>3</v>
      </c>
      <c r="K1621">
        <v>1</v>
      </c>
      <c r="L1621">
        <v>1</v>
      </c>
      <c r="M1621">
        <v>30</v>
      </c>
      <c r="N1621">
        <v>1933.8</v>
      </c>
      <c r="O1621">
        <v>0</v>
      </c>
      <c r="P16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21" t="str">
        <f>IF(Table1[[#This Row],[Fraud_Score]]&gt;=6, "High Risk",IF(Table1[[#This Row],[Fraud_Score]]&gt;=3, "Medium Risk", "Low Risk"))</f>
        <v>Low Risk</v>
      </c>
      <c r="R1621">
        <f>IF(Table1[[#This Row],[Seconds of Use]]=0,0,Table1[[#This Row],[Customer Value]]/Table1[[#This Row],[Seconds of Use]]*100)</f>
        <v>26.425252801311832</v>
      </c>
    </row>
    <row r="1622" spans="1:18" x14ac:dyDescent="0.35">
      <c r="A1622" s="3" t="s">
        <v>1643</v>
      </c>
      <c r="B1622">
        <v>2</v>
      </c>
      <c r="C1622">
        <v>0</v>
      </c>
      <c r="D1622">
        <v>36</v>
      </c>
      <c r="E1622">
        <v>1</v>
      </c>
      <c r="F1622">
        <v>11275</v>
      </c>
      <c r="G1622">
        <v>154</v>
      </c>
      <c r="H1622">
        <v>36</v>
      </c>
      <c r="I1622">
        <v>49</v>
      </c>
      <c r="J1622">
        <v>4</v>
      </c>
      <c r="K1622">
        <v>1</v>
      </c>
      <c r="L1622">
        <v>1</v>
      </c>
      <c r="M1622">
        <v>45</v>
      </c>
      <c r="N1622">
        <v>375.72500000000002</v>
      </c>
      <c r="O1622">
        <v>0</v>
      </c>
      <c r="P16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22" t="str">
        <f>IF(Table1[[#This Row],[Fraud_Score]]&gt;=6, "High Risk",IF(Table1[[#This Row],[Fraud_Score]]&gt;=3, "Medium Risk", "Low Risk"))</f>
        <v>Medium Risk</v>
      </c>
      <c r="R1622">
        <f>IF(Table1[[#This Row],[Seconds of Use]]=0,0,Table1[[#This Row],[Customer Value]]/Table1[[#This Row],[Seconds of Use]]*100)</f>
        <v>3.3323725055432374</v>
      </c>
    </row>
    <row r="1623" spans="1:18" x14ac:dyDescent="0.35">
      <c r="A1623" s="3" t="s">
        <v>1644</v>
      </c>
      <c r="B1623">
        <v>3</v>
      </c>
      <c r="C1623">
        <v>0</v>
      </c>
      <c r="D1623">
        <v>36</v>
      </c>
      <c r="E1623">
        <v>1</v>
      </c>
      <c r="F1623">
        <v>6528</v>
      </c>
      <c r="G1623">
        <v>75</v>
      </c>
      <c r="H1623">
        <v>133</v>
      </c>
      <c r="I1623">
        <v>39</v>
      </c>
      <c r="J1623">
        <v>2</v>
      </c>
      <c r="K1623">
        <v>1</v>
      </c>
      <c r="L1623">
        <v>1</v>
      </c>
      <c r="M1623">
        <v>25</v>
      </c>
      <c r="N1623">
        <v>895.63499999999999</v>
      </c>
      <c r="O1623">
        <v>0</v>
      </c>
      <c r="P16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23" t="str">
        <f>IF(Table1[[#This Row],[Fraud_Score]]&gt;=6, "High Risk",IF(Table1[[#This Row],[Fraud_Score]]&gt;=3, "Medium Risk", "Low Risk"))</f>
        <v>Low Risk</v>
      </c>
      <c r="R1623">
        <f>IF(Table1[[#This Row],[Seconds of Use]]=0,0,Table1[[#This Row],[Customer Value]]/Table1[[#This Row],[Seconds of Use]]*100)</f>
        <v>13.719898897058824</v>
      </c>
    </row>
    <row r="1624" spans="1:18" x14ac:dyDescent="0.35">
      <c r="A1624" s="3" t="s">
        <v>1645</v>
      </c>
      <c r="B1624">
        <v>18</v>
      </c>
      <c r="C1624">
        <v>0</v>
      </c>
      <c r="D1624">
        <v>32</v>
      </c>
      <c r="E1624">
        <v>0</v>
      </c>
      <c r="F1624">
        <v>765</v>
      </c>
      <c r="G1624">
        <v>47</v>
      </c>
      <c r="H1624">
        <v>41</v>
      </c>
      <c r="I1624">
        <v>19</v>
      </c>
      <c r="J1624">
        <v>3</v>
      </c>
      <c r="K1624">
        <v>1</v>
      </c>
      <c r="L1624">
        <v>2</v>
      </c>
      <c r="M1624">
        <v>30</v>
      </c>
      <c r="N1624">
        <v>196.48</v>
      </c>
      <c r="O1624">
        <v>1</v>
      </c>
      <c r="P16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24" t="str">
        <f>IF(Table1[[#This Row],[Fraud_Score]]&gt;=6, "High Risk",IF(Table1[[#This Row],[Fraud_Score]]&gt;=3, "Medium Risk", "Low Risk"))</f>
        <v>Medium Risk</v>
      </c>
      <c r="R1624">
        <f>IF(Table1[[#This Row],[Seconds of Use]]=0,0,Table1[[#This Row],[Customer Value]]/Table1[[#This Row],[Seconds of Use]]*100)</f>
        <v>25.683660130718955</v>
      </c>
    </row>
    <row r="1625" spans="1:18" x14ac:dyDescent="0.35">
      <c r="A1625" s="3" t="s">
        <v>1646</v>
      </c>
      <c r="B1625">
        <v>16</v>
      </c>
      <c r="C1625">
        <v>0</v>
      </c>
      <c r="D1625">
        <v>35</v>
      </c>
      <c r="E1625">
        <v>8</v>
      </c>
      <c r="F1625">
        <v>10245</v>
      </c>
      <c r="G1625">
        <v>93</v>
      </c>
      <c r="H1625">
        <v>26</v>
      </c>
      <c r="I1625">
        <v>44</v>
      </c>
      <c r="J1625">
        <v>5</v>
      </c>
      <c r="K1625">
        <v>2</v>
      </c>
      <c r="L1625">
        <v>1</v>
      </c>
      <c r="M1625">
        <v>55</v>
      </c>
      <c r="N1625">
        <v>194.07</v>
      </c>
      <c r="O1625">
        <v>0</v>
      </c>
      <c r="P16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625" t="str">
        <f>IF(Table1[[#This Row],[Fraud_Score]]&gt;=6, "High Risk",IF(Table1[[#This Row],[Fraud_Score]]&gt;=3, "Medium Risk", "Low Risk"))</f>
        <v>Low Risk</v>
      </c>
      <c r="R1625">
        <f>IF(Table1[[#This Row],[Seconds of Use]]=0,0,Table1[[#This Row],[Customer Value]]/Table1[[#This Row],[Seconds of Use]]*100)</f>
        <v>1.8942898975109808</v>
      </c>
    </row>
    <row r="1626" spans="1:18" x14ac:dyDescent="0.35">
      <c r="A1626" s="3" t="s">
        <v>1647</v>
      </c>
      <c r="B1626">
        <v>8</v>
      </c>
      <c r="C1626">
        <v>1</v>
      </c>
      <c r="D1626">
        <v>35</v>
      </c>
      <c r="E1626">
        <v>1</v>
      </c>
      <c r="F1626">
        <v>5628</v>
      </c>
      <c r="G1626">
        <v>98</v>
      </c>
      <c r="H1626">
        <v>51</v>
      </c>
      <c r="I1626">
        <v>26</v>
      </c>
      <c r="J1626">
        <v>2</v>
      </c>
      <c r="K1626">
        <v>1</v>
      </c>
      <c r="L1626">
        <v>1</v>
      </c>
      <c r="M1626">
        <v>25</v>
      </c>
      <c r="N1626">
        <v>487.17</v>
      </c>
      <c r="O1626">
        <v>1</v>
      </c>
      <c r="P16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626" t="str">
        <f>IF(Table1[[#This Row],[Fraud_Score]]&gt;=6, "High Risk",IF(Table1[[#This Row],[Fraud_Score]]&gt;=3, "Medium Risk", "Low Risk"))</f>
        <v>Low Risk</v>
      </c>
      <c r="R1626">
        <f>IF(Table1[[#This Row],[Seconds of Use]]=0,0,Table1[[#This Row],[Customer Value]]/Table1[[#This Row],[Seconds of Use]]*100)</f>
        <v>8.6561833688699359</v>
      </c>
    </row>
    <row r="1627" spans="1:18" x14ac:dyDescent="0.35">
      <c r="A1627" s="3" t="s">
        <v>1648</v>
      </c>
      <c r="B1627">
        <v>0</v>
      </c>
      <c r="C1627">
        <v>0</v>
      </c>
      <c r="D1627">
        <v>33</v>
      </c>
      <c r="E1627">
        <v>0</v>
      </c>
      <c r="F1627">
        <v>2650</v>
      </c>
      <c r="G1627">
        <v>22</v>
      </c>
      <c r="H1627">
        <v>25</v>
      </c>
      <c r="I1627">
        <v>16</v>
      </c>
      <c r="J1627">
        <v>3</v>
      </c>
      <c r="K1627">
        <v>1</v>
      </c>
      <c r="L1627">
        <v>1</v>
      </c>
      <c r="M1627">
        <v>30</v>
      </c>
      <c r="N1627">
        <v>206.88</v>
      </c>
      <c r="O1627">
        <v>0</v>
      </c>
      <c r="P16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27" t="str">
        <f>IF(Table1[[#This Row],[Fraud_Score]]&gt;=6, "High Risk",IF(Table1[[#This Row],[Fraud_Score]]&gt;=3, "Medium Risk", "Low Risk"))</f>
        <v>Low Risk</v>
      </c>
      <c r="R1627">
        <f>IF(Table1[[#This Row],[Seconds of Use]]=0,0,Table1[[#This Row],[Customer Value]]/Table1[[#This Row],[Seconds of Use]]*100)</f>
        <v>7.8067924528301882</v>
      </c>
    </row>
    <row r="1628" spans="1:18" x14ac:dyDescent="0.35">
      <c r="A1628" s="3" t="s">
        <v>1649</v>
      </c>
      <c r="B1628">
        <v>4</v>
      </c>
      <c r="C1628">
        <v>1</v>
      </c>
      <c r="D1628">
        <v>34</v>
      </c>
      <c r="E1628">
        <v>0</v>
      </c>
      <c r="F1628">
        <v>2800</v>
      </c>
      <c r="G1628">
        <v>41</v>
      </c>
      <c r="H1628">
        <v>34</v>
      </c>
      <c r="I1628">
        <v>18</v>
      </c>
      <c r="J1628">
        <v>3</v>
      </c>
      <c r="K1628">
        <v>1</v>
      </c>
      <c r="L1628">
        <v>2</v>
      </c>
      <c r="M1628">
        <v>30</v>
      </c>
      <c r="N1628">
        <v>249.64</v>
      </c>
      <c r="O1628">
        <v>1</v>
      </c>
      <c r="P16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28" t="str">
        <f>IF(Table1[[#This Row],[Fraud_Score]]&gt;=6, "High Risk",IF(Table1[[#This Row],[Fraud_Score]]&gt;=3, "Medium Risk", "Low Risk"))</f>
        <v>Medium Risk</v>
      </c>
      <c r="R1628">
        <f>IF(Table1[[#This Row],[Seconds of Use]]=0,0,Table1[[#This Row],[Customer Value]]/Table1[[#This Row],[Seconds of Use]]*100)</f>
        <v>8.9157142857142855</v>
      </c>
    </row>
    <row r="1629" spans="1:18" x14ac:dyDescent="0.35">
      <c r="A1629" s="3" t="s">
        <v>1650</v>
      </c>
      <c r="B1629">
        <v>4</v>
      </c>
      <c r="C1629">
        <v>0</v>
      </c>
      <c r="D1629">
        <v>35</v>
      </c>
      <c r="E1629">
        <v>0</v>
      </c>
      <c r="F1629">
        <v>2078</v>
      </c>
      <c r="G1629">
        <v>44</v>
      </c>
      <c r="H1629">
        <v>59</v>
      </c>
      <c r="I1629">
        <v>33</v>
      </c>
      <c r="J1629">
        <v>3</v>
      </c>
      <c r="K1629">
        <v>1</v>
      </c>
      <c r="L1629">
        <v>2</v>
      </c>
      <c r="M1629">
        <v>30</v>
      </c>
      <c r="N1629">
        <v>320.88</v>
      </c>
      <c r="O1629">
        <v>1</v>
      </c>
      <c r="P16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29" t="str">
        <f>IF(Table1[[#This Row],[Fraud_Score]]&gt;=6, "High Risk",IF(Table1[[#This Row],[Fraud_Score]]&gt;=3, "Medium Risk", "Low Risk"))</f>
        <v>Low Risk</v>
      </c>
      <c r="R1629">
        <f>IF(Table1[[#This Row],[Seconds of Use]]=0,0,Table1[[#This Row],[Customer Value]]/Table1[[#This Row],[Seconds of Use]]*100)</f>
        <v>15.441770933589991</v>
      </c>
    </row>
    <row r="1630" spans="1:18" x14ac:dyDescent="0.35">
      <c r="A1630" s="3" t="s">
        <v>1651</v>
      </c>
      <c r="B1630">
        <v>0</v>
      </c>
      <c r="C1630">
        <v>0</v>
      </c>
      <c r="D1630">
        <v>35</v>
      </c>
      <c r="E1630">
        <v>0</v>
      </c>
      <c r="F1630">
        <v>0</v>
      </c>
      <c r="G1630">
        <v>0</v>
      </c>
      <c r="H1630">
        <v>25</v>
      </c>
      <c r="I1630">
        <v>0</v>
      </c>
      <c r="J1630">
        <v>3</v>
      </c>
      <c r="K1630">
        <v>1</v>
      </c>
      <c r="L1630">
        <v>2</v>
      </c>
      <c r="M1630">
        <v>30</v>
      </c>
      <c r="N1630">
        <v>100</v>
      </c>
      <c r="O1630">
        <v>1</v>
      </c>
      <c r="P16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30" t="str">
        <f>IF(Table1[[#This Row],[Fraud_Score]]&gt;=6, "High Risk",IF(Table1[[#This Row],[Fraud_Score]]&gt;=3, "Medium Risk", "Low Risk"))</f>
        <v>Low Risk</v>
      </c>
      <c r="R1630">
        <f>IF(Table1[[#This Row],[Seconds of Use]]=0,0,Table1[[#This Row],[Customer Value]]/Table1[[#This Row],[Seconds of Use]]*100)</f>
        <v>0</v>
      </c>
    </row>
    <row r="1631" spans="1:18" x14ac:dyDescent="0.35">
      <c r="A1631" s="3" t="s">
        <v>1652</v>
      </c>
      <c r="B1631">
        <v>0</v>
      </c>
      <c r="C1631">
        <v>0</v>
      </c>
      <c r="D1631">
        <v>35</v>
      </c>
      <c r="E1631">
        <v>0</v>
      </c>
      <c r="F1631">
        <v>1478</v>
      </c>
      <c r="G1631">
        <v>25</v>
      </c>
      <c r="H1631">
        <v>25</v>
      </c>
      <c r="I1631">
        <v>8</v>
      </c>
      <c r="J1631">
        <v>4</v>
      </c>
      <c r="K1631">
        <v>1</v>
      </c>
      <c r="L1631">
        <v>1</v>
      </c>
      <c r="M1631">
        <v>45</v>
      </c>
      <c r="N1631">
        <v>100.075</v>
      </c>
      <c r="O1631">
        <v>0</v>
      </c>
      <c r="P16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31" t="str">
        <f>IF(Table1[[#This Row],[Fraud_Score]]&gt;=6, "High Risk",IF(Table1[[#This Row],[Fraud_Score]]&gt;=3, "Medium Risk", "Low Risk"))</f>
        <v>Low Risk</v>
      </c>
      <c r="R1631">
        <f>IF(Table1[[#This Row],[Seconds of Use]]=0,0,Table1[[#This Row],[Customer Value]]/Table1[[#This Row],[Seconds of Use]]*100)</f>
        <v>6.7709742895805141</v>
      </c>
    </row>
    <row r="1632" spans="1:18" x14ac:dyDescent="0.35">
      <c r="A1632" s="3" t="s">
        <v>1653</v>
      </c>
      <c r="B1632">
        <v>0</v>
      </c>
      <c r="C1632">
        <v>0</v>
      </c>
      <c r="D1632">
        <v>32</v>
      </c>
      <c r="E1632">
        <v>1</v>
      </c>
      <c r="F1632">
        <v>6595</v>
      </c>
      <c r="G1632">
        <v>97</v>
      </c>
      <c r="H1632">
        <v>39</v>
      </c>
      <c r="I1632">
        <v>24</v>
      </c>
      <c r="J1632">
        <v>5</v>
      </c>
      <c r="K1632">
        <v>1</v>
      </c>
      <c r="L1632">
        <v>1</v>
      </c>
      <c r="M1632">
        <v>55</v>
      </c>
      <c r="N1632">
        <v>158.88</v>
      </c>
      <c r="O1632">
        <v>0</v>
      </c>
      <c r="P16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32" t="str">
        <f>IF(Table1[[#This Row],[Fraud_Score]]&gt;=6, "High Risk",IF(Table1[[#This Row],[Fraud_Score]]&gt;=3, "Medium Risk", "Low Risk"))</f>
        <v>Low Risk</v>
      </c>
      <c r="R1632">
        <f>IF(Table1[[#This Row],[Seconds of Use]]=0,0,Table1[[#This Row],[Customer Value]]/Table1[[#This Row],[Seconds of Use]]*100)</f>
        <v>2.4090978013646702</v>
      </c>
    </row>
    <row r="1633" spans="1:18" x14ac:dyDescent="0.35">
      <c r="A1633" s="3" t="s">
        <v>1654</v>
      </c>
      <c r="B1633">
        <v>0</v>
      </c>
      <c r="C1633">
        <v>0</v>
      </c>
      <c r="D1633">
        <v>35</v>
      </c>
      <c r="E1633">
        <v>0</v>
      </c>
      <c r="F1633">
        <v>438</v>
      </c>
      <c r="G1633">
        <v>7</v>
      </c>
      <c r="H1633">
        <v>34</v>
      </c>
      <c r="I1633">
        <v>6</v>
      </c>
      <c r="J1633">
        <v>4</v>
      </c>
      <c r="K1633">
        <v>1</v>
      </c>
      <c r="L1633">
        <v>2</v>
      </c>
      <c r="M1633">
        <v>45</v>
      </c>
      <c r="N1633">
        <v>96.125</v>
      </c>
      <c r="O1633">
        <v>1</v>
      </c>
      <c r="P16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33" t="str">
        <f>IF(Table1[[#This Row],[Fraud_Score]]&gt;=6, "High Risk",IF(Table1[[#This Row],[Fraud_Score]]&gt;=3, "Medium Risk", "Low Risk"))</f>
        <v>Low Risk</v>
      </c>
      <c r="R1633">
        <f>IF(Table1[[#This Row],[Seconds of Use]]=0,0,Table1[[#This Row],[Customer Value]]/Table1[[#This Row],[Seconds of Use]]*100)</f>
        <v>21.946347031963469</v>
      </c>
    </row>
    <row r="1634" spans="1:18" x14ac:dyDescent="0.35">
      <c r="A1634" s="3" t="s">
        <v>1655</v>
      </c>
      <c r="B1634">
        <v>0</v>
      </c>
      <c r="C1634">
        <v>0</v>
      </c>
      <c r="D1634">
        <v>35</v>
      </c>
      <c r="E1634">
        <v>1</v>
      </c>
      <c r="F1634">
        <v>148</v>
      </c>
      <c r="G1634">
        <v>4</v>
      </c>
      <c r="H1634">
        <v>29</v>
      </c>
      <c r="I1634">
        <v>4</v>
      </c>
      <c r="J1634">
        <v>5</v>
      </c>
      <c r="K1634">
        <v>1</v>
      </c>
      <c r="L1634">
        <v>1</v>
      </c>
      <c r="M1634">
        <v>55</v>
      </c>
      <c r="N1634">
        <v>45.78</v>
      </c>
      <c r="O1634">
        <v>0</v>
      </c>
      <c r="P16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34" t="str">
        <f>IF(Table1[[#This Row],[Fraud_Score]]&gt;=6, "High Risk",IF(Table1[[#This Row],[Fraud_Score]]&gt;=3, "Medium Risk", "Low Risk"))</f>
        <v>Low Risk</v>
      </c>
      <c r="R1634">
        <f>IF(Table1[[#This Row],[Seconds of Use]]=0,0,Table1[[#This Row],[Customer Value]]/Table1[[#This Row],[Seconds of Use]]*100)</f>
        <v>30.932432432432432</v>
      </c>
    </row>
    <row r="1635" spans="1:18" x14ac:dyDescent="0.35">
      <c r="A1635" s="3" t="s">
        <v>1656</v>
      </c>
      <c r="B1635">
        <v>20</v>
      </c>
      <c r="C1635">
        <v>0</v>
      </c>
      <c r="D1635">
        <v>30</v>
      </c>
      <c r="E1635">
        <v>3</v>
      </c>
      <c r="F1635">
        <v>15885</v>
      </c>
      <c r="G1635">
        <v>238</v>
      </c>
      <c r="H1635">
        <v>25</v>
      </c>
      <c r="I1635">
        <v>82</v>
      </c>
      <c r="J1635">
        <v>2</v>
      </c>
      <c r="K1635">
        <v>1</v>
      </c>
      <c r="L1635">
        <v>1</v>
      </c>
      <c r="M1635">
        <v>25</v>
      </c>
      <c r="N1635">
        <v>838.03499999999997</v>
      </c>
      <c r="O1635">
        <v>0</v>
      </c>
      <c r="P16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635" t="str">
        <f>IF(Table1[[#This Row],[Fraud_Score]]&gt;=6, "High Risk",IF(Table1[[#This Row],[Fraud_Score]]&gt;=3, "Medium Risk", "Low Risk"))</f>
        <v>Medium Risk</v>
      </c>
      <c r="R1635">
        <f>IF(Table1[[#This Row],[Seconds of Use]]=0,0,Table1[[#This Row],[Customer Value]]/Table1[[#This Row],[Seconds of Use]]*100)</f>
        <v>5.2756373937677052</v>
      </c>
    </row>
    <row r="1636" spans="1:18" x14ac:dyDescent="0.35">
      <c r="A1636" s="3" t="s">
        <v>1657</v>
      </c>
      <c r="B1636">
        <v>1</v>
      </c>
      <c r="C1636">
        <v>0</v>
      </c>
      <c r="D1636">
        <v>33</v>
      </c>
      <c r="E1636">
        <v>3</v>
      </c>
      <c r="F1636">
        <v>6775</v>
      </c>
      <c r="G1636">
        <v>116</v>
      </c>
      <c r="H1636">
        <v>296</v>
      </c>
      <c r="I1636">
        <v>35</v>
      </c>
      <c r="J1636">
        <v>2</v>
      </c>
      <c r="K1636">
        <v>2</v>
      </c>
      <c r="L1636">
        <v>1</v>
      </c>
      <c r="M1636">
        <v>25</v>
      </c>
      <c r="N1636">
        <v>1642.095</v>
      </c>
      <c r="O1636">
        <v>0</v>
      </c>
      <c r="P16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36" t="str">
        <f>IF(Table1[[#This Row],[Fraud_Score]]&gt;=6, "High Risk",IF(Table1[[#This Row],[Fraud_Score]]&gt;=3, "Medium Risk", "Low Risk"))</f>
        <v>Low Risk</v>
      </c>
      <c r="R1636">
        <f>IF(Table1[[#This Row],[Seconds of Use]]=0,0,Table1[[#This Row],[Customer Value]]/Table1[[#This Row],[Seconds of Use]]*100)</f>
        <v>24.237564575645756</v>
      </c>
    </row>
    <row r="1637" spans="1:18" x14ac:dyDescent="0.35">
      <c r="A1637" s="3" t="s">
        <v>1658</v>
      </c>
      <c r="B1637">
        <v>0</v>
      </c>
      <c r="C1637">
        <v>0</v>
      </c>
      <c r="D1637">
        <v>35</v>
      </c>
      <c r="E1637">
        <v>0</v>
      </c>
      <c r="F1637">
        <v>3528</v>
      </c>
      <c r="G1637">
        <v>82</v>
      </c>
      <c r="H1637">
        <v>27</v>
      </c>
      <c r="I1637">
        <v>30</v>
      </c>
      <c r="J1637">
        <v>3</v>
      </c>
      <c r="K1637">
        <v>1</v>
      </c>
      <c r="L1637">
        <v>1</v>
      </c>
      <c r="M1637">
        <v>30</v>
      </c>
      <c r="N1637">
        <v>252.4</v>
      </c>
      <c r="O1637">
        <v>0</v>
      </c>
      <c r="P16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37" t="str">
        <f>IF(Table1[[#This Row],[Fraud_Score]]&gt;=6, "High Risk",IF(Table1[[#This Row],[Fraud_Score]]&gt;=3, "Medium Risk", "Low Risk"))</f>
        <v>Low Risk</v>
      </c>
      <c r="R1637">
        <f>IF(Table1[[#This Row],[Seconds of Use]]=0,0,Table1[[#This Row],[Customer Value]]/Table1[[#This Row],[Seconds of Use]]*100)</f>
        <v>7.1541950113378689</v>
      </c>
    </row>
    <row r="1638" spans="1:18" x14ac:dyDescent="0.35">
      <c r="A1638" s="3" t="s">
        <v>1659</v>
      </c>
      <c r="B1638">
        <v>0</v>
      </c>
      <c r="C1638">
        <v>0</v>
      </c>
      <c r="D1638">
        <v>34</v>
      </c>
      <c r="E1638">
        <v>0</v>
      </c>
      <c r="F1638">
        <v>1475</v>
      </c>
      <c r="G1638">
        <v>44</v>
      </c>
      <c r="H1638">
        <v>63</v>
      </c>
      <c r="I1638">
        <v>22</v>
      </c>
      <c r="J1638">
        <v>3</v>
      </c>
      <c r="K1638">
        <v>1</v>
      </c>
      <c r="L1638">
        <v>2</v>
      </c>
      <c r="M1638">
        <v>30</v>
      </c>
      <c r="N1638">
        <v>312.76</v>
      </c>
      <c r="O1638">
        <v>0</v>
      </c>
      <c r="P16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38" t="str">
        <f>IF(Table1[[#This Row],[Fraud_Score]]&gt;=6, "High Risk",IF(Table1[[#This Row],[Fraud_Score]]&gt;=3, "Medium Risk", "Low Risk"))</f>
        <v>Low Risk</v>
      </c>
      <c r="R1638">
        <f>IF(Table1[[#This Row],[Seconds of Use]]=0,0,Table1[[#This Row],[Customer Value]]/Table1[[#This Row],[Seconds of Use]]*100)</f>
        <v>21.204067796610168</v>
      </c>
    </row>
    <row r="1639" spans="1:18" x14ac:dyDescent="0.35">
      <c r="A1639" s="3" t="s">
        <v>1660</v>
      </c>
      <c r="B1639">
        <v>1</v>
      </c>
      <c r="C1639">
        <v>0</v>
      </c>
      <c r="D1639">
        <v>35</v>
      </c>
      <c r="E1639">
        <v>0</v>
      </c>
      <c r="F1639">
        <v>2590</v>
      </c>
      <c r="G1639">
        <v>53</v>
      </c>
      <c r="H1639">
        <v>200</v>
      </c>
      <c r="I1639">
        <v>25</v>
      </c>
      <c r="J1639">
        <v>2</v>
      </c>
      <c r="K1639">
        <v>1</v>
      </c>
      <c r="L1639">
        <v>1</v>
      </c>
      <c r="M1639">
        <v>25</v>
      </c>
      <c r="N1639">
        <v>1018.9349999999999</v>
      </c>
      <c r="O1639">
        <v>0</v>
      </c>
      <c r="P16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39" t="str">
        <f>IF(Table1[[#This Row],[Fraud_Score]]&gt;=6, "High Risk",IF(Table1[[#This Row],[Fraud_Score]]&gt;=3, "Medium Risk", "Low Risk"))</f>
        <v>Low Risk</v>
      </c>
      <c r="R1639">
        <f>IF(Table1[[#This Row],[Seconds of Use]]=0,0,Table1[[#This Row],[Customer Value]]/Table1[[#This Row],[Seconds of Use]]*100)</f>
        <v>39.341119691119694</v>
      </c>
    </row>
    <row r="1640" spans="1:18" x14ac:dyDescent="0.35">
      <c r="A1640" s="3" t="s">
        <v>1661</v>
      </c>
      <c r="B1640">
        <v>0</v>
      </c>
      <c r="C1640">
        <v>0</v>
      </c>
      <c r="D1640">
        <v>26</v>
      </c>
      <c r="E1640">
        <v>1</v>
      </c>
      <c r="F1640">
        <v>1125</v>
      </c>
      <c r="G1640">
        <v>36</v>
      </c>
      <c r="H1640">
        <v>218</v>
      </c>
      <c r="I1640">
        <v>13</v>
      </c>
      <c r="J1640">
        <v>2</v>
      </c>
      <c r="K1640">
        <v>2</v>
      </c>
      <c r="L1640">
        <v>1</v>
      </c>
      <c r="M1640">
        <v>25</v>
      </c>
      <c r="N1640">
        <v>1033.2449999999999</v>
      </c>
      <c r="O1640">
        <v>0</v>
      </c>
      <c r="P16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40" t="str">
        <f>IF(Table1[[#This Row],[Fraud_Score]]&gt;=6, "High Risk",IF(Table1[[#This Row],[Fraud_Score]]&gt;=3, "Medium Risk", "Low Risk"))</f>
        <v>Low Risk</v>
      </c>
      <c r="R1640">
        <f>IF(Table1[[#This Row],[Seconds of Use]]=0,0,Table1[[#This Row],[Customer Value]]/Table1[[#This Row],[Seconds of Use]]*100)</f>
        <v>91.843999999999994</v>
      </c>
    </row>
    <row r="1641" spans="1:18" x14ac:dyDescent="0.35">
      <c r="A1641" s="3" t="s">
        <v>1662</v>
      </c>
      <c r="B1641">
        <v>0</v>
      </c>
      <c r="C1641">
        <v>0</v>
      </c>
      <c r="D1641">
        <v>25</v>
      </c>
      <c r="E1641">
        <v>0</v>
      </c>
      <c r="F1641">
        <v>1378</v>
      </c>
      <c r="G1641">
        <v>39</v>
      </c>
      <c r="H1641">
        <v>55</v>
      </c>
      <c r="I1641">
        <v>70</v>
      </c>
      <c r="J1641">
        <v>4</v>
      </c>
      <c r="K1641">
        <v>1</v>
      </c>
      <c r="L1641">
        <v>1</v>
      </c>
      <c r="M1641">
        <v>45</v>
      </c>
      <c r="N1641">
        <v>172.92500000000001</v>
      </c>
      <c r="O1641">
        <v>0</v>
      </c>
      <c r="P16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641" t="str">
        <f>IF(Table1[[#This Row],[Fraud_Score]]&gt;=6, "High Risk",IF(Table1[[#This Row],[Fraud_Score]]&gt;=3, "Medium Risk", "Low Risk"))</f>
        <v>Low Risk</v>
      </c>
      <c r="R1641">
        <f>IF(Table1[[#This Row],[Seconds of Use]]=0,0,Table1[[#This Row],[Customer Value]]/Table1[[#This Row],[Seconds of Use]]*100)</f>
        <v>12.548984034833092</v>
      </c>
    </row>
    <row r="1642" spans="1:18" x14ac:dyDescent="0.35">
      <c r="A1642" s="3" t="s">
        <v>1663</v>
      </c>
      <c r="B1642">
        <v>6</v>
      </c>
      <c r="C1642">
        <v>0</v>
      </c>
      <c r="D1642">
        <v>26</v>
      </c>
      <c r="E1642">
        <v>0</v>
      </c>
      <c r="F1642">
        <v>510</v>
      </c>
      <c r="G1642">
        <v>25</v>
      </c>
      <c r="H1642">
        <v>35</v>
      </c>
      <c r="I1642">
        <v>9</v>
      </c>
      <c r="J1642">
        <v>3</v>
      </c>
      <c r="K1642">
        <v>1</v>
      </c>
      <c r="L1642">
        <v>2</v>
      </c>
      <c r="M1642">
        <v>30</v>
      </c>
      <c r="N1642">
        <v>161.4</v>
      </c>
      <c r="O1642">
        <v>0</v>
      </c>
      <c r="P16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42" t="str">
        <f>IF(Table1[[#This Row],[Fraud_Score]]&gt;=6, "High Risk",IF(Table1[[#This Row],[Fraud_Score]]&gt;=3, "Medium Risk", "Low Risk"))</f>
        <v>Low Risk</v>
      </c>
      <c r="R1642">
        <f>IF(Table1[[#This Row],[Seconds of Use]]=0,0,Table1[[#This Row],[Customer Value]]/Table1[[#This Row],[Seconds of Use]]*100)</f>
        <v>31.647058823529413</v>
      </c>
    </row>
    <row r="1643" spans="1:18" x14ac:dyDescent="0.35">
      <c r="A1643" s="3" t="s">
        <v>1664</v>
      </c>
      <c r="B1643">
        <v>0</v>
      </c>
      <c r="C1643">
        <v>0</v>
      </c>
      <c r="D1643">
        <v>25</v>
      </c>
      <c r="E1643">
        <v>0</v>
      </c>
      <c r="F1643">
        <v>635</v>
      </c>
      <c r="G1643">
        <v>10</v>
      </c>
      <c r="H1643">
        <v>46</v>
      </c>
      <c r="I1643">
        <v>5</v>
      </c>
      <c r="J1643">
        <v>4</v>
      </c>
      <c r="K1643">
        <v>1</v>
      </c>
      <c r="L1643">
        <v>2</v>
      </c>
      <c r="M1643">
        <v>45</v>
      </c>
      <c r="N1643">
        <v>131.125</v>
      </c>
      <c r="O1643">
        <v>0</v>
      </c>
      <c r="P16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43" t="str">
        <f>IF(Table1[[#This Row],[Fraud_Score]]&gt;=6, "High Risk",IF(Table1[[#This Row],[Fraud_Score]]&gt;=3, "Medium Risk", "Low Risk"))</f>
        <v>Low Risk</v>
      </c>
      <c r="R1643">
        <f>IF(Table1[[#This Row],[Seconds of Use]]=0,0,Table1[[#This Row],[Customer Value]]/Table1[[#This Row],[Seconds of Use]]*100)</f>
        <v>20.649606299212596</v>
      </c>
    </row>
    <row r="1644" spans="1:18" x14ac:dyDescent="0.35">
      <c r="A1644" s="3" t="s">
        <v>1665</v>
      </c>
      <c r="B1644">
        <v>5</v>
      </c>
      <c r="C1644">
        <v>0</v>
      </c>
      <c r="D1644">
        <v>24</v>
      </c>
      <c r="E1644">
        <v>0</v>
      </c>
      <c r="F1644">
        <v>1035</v>
      </c>
      <c r="G1644">
        <v>32</v>
      </c>
      <c r="H1644">
        <v>44</v>
      </c>
      <c r="I1644">
        <v>15</v>
      </c>
      <c r="J1644">
        <v>2</v>
      </c>
      <c r="K1644">
        <v>1</v>
      </c>
      <c r="L1644">
        <v>1</v>
      </c>
      <c r="M1644">
        <v>25</v>
      </c>
      <c r="N1644">
        <v>246.01499999999999</v>
      </c>
      <c r="O1644">
        <v>0</v>
      </c>
      <c r="P16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44" t="str">
        <f>IF(Table1[[#This Row],[Fraud_Score]]&gt;=6, "High Risk",IF(Table1[[#This Row],[Fraud_Score]]&gt;=3, "Medium Risk", "Low Risk"))</f>
        <v>Low Risk</v>
      </c>
      <c r="R1644">
        <f>IF(Table1[[#This Row],[Seconds of Use]]=0,0,Table1[[#This Row],[Customer Value]]/Table1[[#This Row],[Seconds of Use]]*100)</f>
        <v>23.769565217391303</v>
      </c>
    </row>
    <row r="1645" spans="1:18" x14ac:dyDescent="0.35">
      <c r="A1645" s="3" t="s">
        <v>1666</v>
      </c>
      <c r="B1645">
        <v>0</v>
      </c>
      <c r="C1645">
        <v>0</v>
      </c>
      <c r="D1645">
        <v>24</v>
      </c>
      <c r="E1645">
        <v>0</v>
      </c>
      <c r="F1645">
        <v>3035</v>
      </c>
      <c r="G1645">
        <v>61</v>
      </c>
      <c r="H1645">
        <v>33</v>
      </c>
      <c r="I1645">
        <v>25</v>
      </c>
      <c r="J1645">
        <v>3</v>
      </c>
      <c r="K1645">
        <v>1</v>
      </c>
      <c r="L1645">
        <v>1</v>
      </c>
      <c r="M1645">
        <v>30</v>
      </c>
      <c r="N1645">
        <v>255.84</v>
      </c>
      <c r="O1645">
        <v>0</v>
      </c>
      <c r="P16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45" t="str">
        <f>IF(Table1[[#This Row],[Fraud_Score]]&gt;=6, "High Risk",IF(Table1[[#This Row],[Fraud_Score]]&gt;=3, "Medium Risk", "Low Risk"))</f>
        <v>Low Risk</v>
      </c>
      <c r="R1645">
        <f>IF(Table1[[#This Row],[Seconds of Use]]=0,0,Table1[[#This Row],[Customer Value]]/Table1[[#This Row],[Seconds of Use]]*100)</f>
        <v>8.4296540362438215</v>
      </c>
    </row>
    <row r="1646" spans="1:18" x14ac:dyDescent="0.35">
      <c r="A1646" s="3" t="s">
        <v>1667</v>
      </c>
      <c r="B1646">
        <v>0</v>
      </c>
      <c r="C1646">
        <v>0</v>
      </c>
      <c r="D1646">
        <v>17</v>
      </c>
      <c r="E1646">
        <v>0</v>
      </c>
      <c r="F1646">
        <v>1505</v>
      </c>
      <c r="G1646">
        <v>26</v>
      </c>
      <c r="H1646">
        <v>53</v>
      </c>
      <c r="I1646">
        <v>16</v>
      </c>
      <c r="J1646">
        <v>2</v>
      </c>
      <c r="K1646">
        <v>1</v>
      </c>
      <c r="L1646">
        <v>1</v>
      </c>
      <c r="M1646">
        <v>25</v>
      </c>
      <c r="N1646">
        <v>307.39499999999998</v>
      </c>
      <c r="O1646">
        <v>0</v>
      </c>
      <c r="P16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46" t="str">
        <f>IF(Table1[[#This Row],[Fraud_Score]]&gt;=6, "High Risk",IF(Table1[[#This Row],[Fraud_Score]]&gt;=3, "Medium Risk", "Low Risk"))</f>
        <v>Low Risk</v>
      </c>
      <c r="R1646">
        <f>IF(Table1[[#This Row],[Seconds of Use]]=0,0,Table1[[#This Row],[Customer Value]]/Table1[[#This Row],[Seconds of Use]]*100)</f>
        <v>20.424916943521591</v>
      </c>
    </row>
    <row r="1647" spans="1:18" x14ac:dyDescent="0.35">
      <c r="A1647" s="3" t="s">
        <v>1668</v>
      </c>
      <c r="B1647">
        <v>11</v>
      </c>
      <c r="C1647">
        <v>0</v>
      </c>
      <c r="D1647">
        <v>16</v>
      </c>
      <c r="E1647">
        <v>1</v>
      </c>
      <c r="F1647">
        <v>6203</v>
      </c>
      <c r="G1647">
        <v>141</v>
      </c>
      <c r="H1647">
        <v>110</v>
      </c>
      <c r="I1647">
        <v>44</v>
      </c>
      <c r="J1647">
        <v>2</v>
      </c>
      <c r="K1647">
        <v>2</v>
      </c>
      <c r="L1647">
        <v>1</v>
      </c>
      <c r="M1647">
        <v>25</v>
      </c>
      <c r="N1647">
        <v>780.48</v>
      </c>
      <c r="O1647">
        <v>0</v>
      </c>
      <c r="P16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647" t="str">
        <f>IF(Table1[[#This Row],[Fraud_Score]]&gt;=6, "High Risk",IF(Table1[[#This Row],[Fraud_Score]]&gt;=3, "Medium Risk", "Low Risk"))</f>
        <v>Medium Risk</v>
      </c>
      <c r="R1647">
        <f>IF(Table1[[#This Row],[Seconds of Use]]=0,0,Table1[[#This Row],[Customer Value]]/Table1[[#This Row],[Seconds of Use]]*100)</f>
        <v>12.582298887635016</v>
      </c>
    </row>
    <row r="1648" spans="1:18" x14ac:dyDescent="0.35">
      <c r="A1648" s="3" t="s">
        <v>1669</v>
      </c>
      <c r="B1648">
        <v>7</v>
      </c>
      <c r="C1648">
        <v>0</v>
      </c>
      <c r="D1648">
        <v>14</v>
      </c>
      <c r="E1648">
        <v>0</v>
      </c>
      <c r="F1648">
        <v>8743</v>
      </c>
      <c r="G1648">
        <v>171</v>
      </c>
      <c r="H1648">
        <v>98</v>
      </c>
      <c r="I1648">
        <v>42</v>
      </c>
      <c r="J1648">
        <v>5</v>
      </c>
      <c r="K1648">
        <v>1</v>
      </c>
      <c r="L1648">
        <v>1</v>
      </c>
      <c r="M1648">
        <v>55</v>
      </c>
      <c r="N1648">
        <v>280.70999999999998</v>
      </c>
      <c r="O1648">
        <v>0</v>
      </c>
      <c r="P16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48" t="str">
        <f>IF(Table1[[#This Row],[Fraud_Score]]&gt;=6, "High Risk",IF(Table1[[#This Row],[Fraud_Score]]&gt;=3, "Medium Risk", "Low Risk"))</f>
        <v>Medium Risk</v>
      </c>
      <c r="R1648">
        <f>IF(Table1[[#This Row],[Seconds of Use]]=0,0,Table1[[#This Row],[Customer Value]]/Table1[[#This Row],[Seconds of Use]]*100)</f>
        <v>3.2106828319798693</v>
      </c>
    </row>
    <row r="1649" spans="1:18" x14ac:dyDescent="0.35">
      <c r="A1649" s="3" t="s">
        <v>1670</v>
      </c>
      <c r="B1649">
        <v>3</v>
      </c>
      <c r="C1649">
        <v>0</v>
      </c>
      <c r="D1649">
        <v>15</v>
      </c>
      <c r="E1649">
        <v>3</v>
      </c>
      <c r="F1649">
        <v>2663</v>
      </c>
      <c r="G1649">
        <v>45</v>
      </c>
      <c r="H1649">
        <v>56</v>
      </c>
      <c r="I1649">
        <v>21</v>
      </c>
      <c r="J1649">
        <v>3</v>
      </c>
      <c r="K1649">
        <v>1</v>
      </c>
      <c r="L1649">
        <v>1</v>
      </c>
      <c r="M1649">
        <v>30</v>
      </c>
      <c r="N1649">
        <v>332.32</v>
      </c>
      <c r="O1649">
        <v>0</v>
      </c>
      <c r="P16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49" t="str">
        <f>IF(Table1[[#This Row],[Fraud_Score]]&gt;=6, "High Risk",IF(Table1[[#This Row],[Fraud_Score]]&gt;=3, "Medium Risk", "Low Risk"))</f>
        <v>Low Risk</v>
      </c>
      <c r="R1649">
        <f>IF(Table1[[#This Row],[Seconds of Use]]=0,0,Table1[[#This Row],[Customer Value]]/Table1[[#This Row],[Seconds of Use]]*100)</f>
        <v>12.479158843409689</v>
      </c>
    </row>
    <row r="1650" spans="1:18" x14ac:dyDescent="0.35">
      <c r="A1650" s="3" t="s">
        <v>1671</v>
      </c>
      <c r="B1650">
        <v>0</v>
      </c>
      <c r="C1650">
        <v>0</v>
      </c>
      <c r="D1650">
        <v>8</v>
      </c>
      <c r="E1650">
        <v>1</v>
      </c>
      <c r="F1650">
        <v>4200</v>
      </c>
      <c r="G1650">
        <v>40</v>
      </c>
      <c r="H1650">
        <v>240</v>
      </c>
      <c r="I1650">
        <v>12</v>
      </c>
      <c r="J1650">
        <v>3</v>
      </c>
      <c r="K1650">
        <v>1</v>
      </c>
      <c r="L1650">
        <v>1</v>
      </c>
      <c r="M1650">
        <v>30</v>
      </c>
      <c r="N1650">
        <v>1129.5999999999999</v>
      </c>
      <c r="O1650">
        <v>0</v>
      </c>
      <c r="P16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50" t="str">
        <f>IF(Table1[[#This Row],[Fraud_Score]]&gt;=6, "High Risk",IF(Table1[[#This Row],[Fraud_Score]]&gt;=3, "Medium Risk", "Low Risk"))</f>
        <v>Low Risk</v>
      </c>
      <c r="R1650">
        <f>IF(Table1[[#This Row],[Seconds of Use]]=0,0,Table1[[#This Row],[Customer Value]]/Table1[[#This Row],[Seconds of Use]]*100)</f>
        <v>26.895238095238096</v>
      </c>
    </row>
    <row r="1651" spans="1:18" x14ac:dyDescent="0.35">
      <c r="A1651" s="3" t="s">
        <v>1672</v>
      </c>
      <c r="B1651">
        <v>0</v>
      </c>
      <c r="C1651">
        <v>1</v>
      </c>
      <c r="D1651">
        <v>8</v>
      </c>
      <c r="E1651">
        <v>1</v>
      </c>
      <c r="F1651">
        <v>1298</v>
      </c>
      <c r="G1651">
        <v>19</v>
      </c>
      <c r="H1651">
        <v>25</v>
      </c>
      <c r="I1651">
        <v>9</v>
      </c>
      <c r="J1651">
        <v>3</v>
      </c>
      <c r="K1651">
        <v>1</v>
      </c>
      <c r="L1651">
        <v>1</v>
      </c>
      <c r="M1651">
        <v>30</v>
      </c>
      <c r="N1651">
        <v>152.68</v>
      </c>
      <c r="O1651">
        <v>1</v>
      </c>
      <c r="P16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651" t="str">
        <f>IF(Table1[[#This Row],[Fraud_Score]]&gt;=6, "High Risk",IF(Table1[[#This Row],[Fraud_Score]]&gt;=3, "Medium Risk", "Low Risk"))</f>
        <v>Low Risk</v>
      </c>
      <c r="R1651">
        <f>IF(Table1[[#This Row],[Seconds of Use]]=0,0,Table1[[#This Row],[Customer Value]]/Table1[[#This Row],[Seconds of Use]]*100)</f>
        <v>11.76271186440678</v>
      </c>
    </row>
    <row r="1652" spans="1:18" x14ac:dyDescent="0.35">
      <c r="A1652" s="3" t="s">
        <v>1673</v>
      </c>
      <c r="B1652">
        <v>3</v>
      </c>
      <c r="C1652">
        <v>0</v>
      </c>
      <c r="D1652">
        <v>35</v>
      </c>
      <c r="E1652">
        <v>0</v>
      </c>
      <c r="F1652">
        <v>3950</v>
      </c>
      <c r="G1652">
        <v>59</v>
      </c>
      <c r="H1652">
        <v>0</v>
      </c>
      <c r="I1652">
        <v>11</v>
      </c>
      <c r="J1652">
        <v>2</v>
      </c>
      <c r="K1652">
        <v>1</v>
      </c>
      <c r="L1652">
        <v>1</v>
      </c>
      <c r="M1652">
        <v>25</v>
      </c>
      <c r="N1652">
        <v>180.405</v>
      </c>
      <c r="O1652">
        <v>0</v>
      </c>
      <c r="P16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2" t="str">
        <f>IF(Table1[[#This Row],[Fraud_Score]]&gt;=6, "High Risk",IF(Table1[[#This Row],[Fraud_Score]]&gt;=3, "Medium Risk", "Low Risk"))</f>
        <v>Low Risk</v>
      </c>
      <c r="R1652">
        <f>IF(Table1[[#This Row],[Seconds of Use]]=0,0,Table1[[#This Row],[Customer Value]]/Table1[[#This Row],[Seconds of Use]]*100)</f>
        <v>4.5672151898734175</v>
      </c>
    </row>
    <row r="1653" spans="1:18" x14ac:dyDescent="0.35">
      <c r="A1653" s="3" t="s">
        <v>1674</v>
      </c>
      <c r="B1653">
        <v>0</v>
      </c>
      <c r="C1653">
        <v>0</v>
      </c>
      <c r="D1653">
        <v>36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</v>
      </c>
      <c r="K1653">
        <v>1</v>
      </c>
      <c r="L1653">
        <v>2</v>
      </c>
      <c r="M1653">
        <v>25</v>
      </c>
      <c r="N1653">
        <v>0</v>
      </c>
      <c r="O1653">
        <v>0</v>
      </c>
      <c r="P16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3" t="str">
        <f>IF(Table1[[#This Row],[Fraud_Score]]&gt;=6, "High Risk",IF(Table1[[#This Row],[Fraud_Score]]&gt;=3, "Medium Risk", "Low Risk"))</f>
        <v>Low Risk</v>
      </c>
      <c r="R1653">
        <f>IF(Table1[[#This Row],[Seconds of Use]]=0,0,Table1[[#This Row],[Customer Value]]/Table1[[#This Row],[Seconds of Use]]*100)</f>
        <v>0</v>
      </c>
    </row>
    <row r="1654" spans="1:18" x14ac:dyDescent="0.35">
      <c r="A1654" s="3" t="s">
        <v>1675</v>
      </c>
      <c r="B1654">
        <v>5</v>
      </c>
      <c r="C1654">
        <v>0</v>
      </c>
      <c r="D1654">
        <v>34</v>
      </c>
      <c r="E1654">
        <v>0</v>
      </c>
      <c r="F1654">
        <v>2033</v>
      </c>
      <c r="G1654">
        <v>48</v>
      </c>
      <c r="H1654">
        <v>320</v>
      </c>
      <c r="I1654">
        <v>18</v>
      </c>
      <c r="J1654">
        <v>2</v>
      </c>
      <c r="K1654">
        <v>1</v>
      </c>
      <c r="L1654">
        <v>1</v>
      </c>
      <c r="M1654">
        <v>25</v>
      </c>
      <c r="N1654">
        <v>1533.645</v>
      </c>
      <c r="O1654">
        <v>0</v>
      </c>
      <c r="P16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4" t="str">
        <f>IF(Table1[[#This Row],[Fraud_Score]]&gt;=6, "High Risk",IF(Table1[[#This Row],[Fraud_Score]]&gt;=3, "Medium Risk", "Low Risk"))</f>
        <v>Low Risk</v>
      </c>
      <c r="R1654">
        <f>IF(Table1[[#This Row],[Seconds of Use]]=0,0,Table1[[#This Row],[Customer Value]]/Table1[[#This Row],[Seconds of Use]]*100)</f>
        <v>75.437530742744713</v>
      </c>
    </row>
    <row r="1655" spans="1:18" x14ac:dyDescent="0.35">
      <c r="A1655" s="3" t="s">
        <v>1676</v>
      </c>
      <c r="B1655">
        <v>5</v>
      </c>
      <c r="C1655">
        <v>0</v>
      </c>
      <c r="D1655">
        <v>35</v>
      </c>
      <c r="E1655">
        <v>0</v>
      </c>
      <c r="F1655">
        <v>3778</v>
      </c>
      <c r="G1655">
        <v>54</v>
      </c>
      <c r="H1655">
        <v>0</v>
      </c>
      <c r="I1655">
        <v>29</v>
      </c>
      <c r="J1655">
        <v>1</v>
      </c>
      <c r="K1655">
        <v>1</v>
      </c>
      <c r="L1655">
        <v>1</v>
      </c>
      <c r="M1655">
        <v>15</v>
      </c>
      <c r="N1655">
        <v>210.76</v>
      </c>
      <c r="O1655">
        <v>0</v>
      </c>
      <c r="P16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5" t="str">
        <f>IF(Table1[[#This Row],[Fraud_Score]]&gt;=6, "High Risk",IF(Table1[[#This Row],[Fraud_Score]]&gt;=3, "Medium Risk", "Low Risk"))</f>
        <v>Low Risk</v>
      </c>
      <c r="R1655">
        <f>IF(Table1[[#This Row],[Seconds of Use]]=0,0,Table1[[#This Row],[Customer Value]]/Table1[[#This Row],[Seconds of Use]]*100)</f>
        <v>5.5786130227633661</v>
      </c>
    </row>
    <row r="1656" spans="1:18" x14ac:dyDescent="0.35">
      <c r="A1656" s="3" t="s">
        <v>1677</v>
      </c>
      <c r="B1656">
        <v>0</v>
      </c>
      <c r="C1656">
        <v>0</v>
      </c>
      <c r="D1656">
        <v>35</v>
      </c>
      <c r="E1656">
        <v>0</v>
      </c>
      <c r="F1656">
        <v>1973</v>
      </c>
      <c r="G1656">
        <v>46</v>
      </c>
      <c r="H1656">
        <v>0</v>
      </c>
      <c r="I1656">
        <v>27</v>
      </c>
      <c r="J1656">
        <v>1</v>
      </c>
      <c r="K1656">
        <v>1</v>
      </c>
      <c r="L1656">
        <v>1</v>
      </c>
      <c r="M1656">
        <v>15</v>
      </c>
      <c r="N1656">
        <v>111.045</v>
      </c>
      <c r="O1656">
        <v>0</v>
      </c>
      <c r="P16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6" t="str">
        <f>IF(Table1[[#This Row],[Fraud_Score]]&gt;=6, "High Risk",IF(Table1[[#This Row],[Fraud_Score]]&gt;=3, "Medium Risk", "Low Risk"))</f>
        <v>Low Risk</v>
      </c>
      <c r="R1656">
        <f>IF(Table1[[#This Row],[Seconds of Use]]=0,0,Table1[[#This Row],[Customer Value]]/Table1[[#This Row],[Seconds of Use]]*100)</f>
        <v>5.628231120121642</v>
      </c>
    </row>
    <row r="1657" spans="1:18" x14ac:dyDescent="0.35">
      <c r="A1657" s="3" t="s">
        <v>1678</v>
      </c>
      <c r="B1657">
        <v>6</v>
      </c>
      <c r="C1657">
        <v>0</v>
      </c>
      <c r="D1657">
        <v>35</v>
      </c>
      <c r="E1657">
        <v>0</v>
      </c>
      <c r="F1657">
        <v>3355</v>
      </c>
      <c r="G1657">
        <v>70</v>
      </c>
      <c r="H1657">
        <v>0</v>
      </c>
      <c r="I1657">
        <v>22</v>
      </c>
      <c r="J1657">
        <v>2</v>
      </c>
      <c r="K1657">
        <v>1</v>
      </c>
      <c r="L1657">
        <v>1</v>
      </c>
      <c r="M1657">
        <v>25</v>
      </c>
      <c r="N1657">
        <v>154.125</v>
      </c>
      <c r="O1657">
        <v>0</v>
      </c>
      <c r="P16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7" t="str">
        <f>IF(Table1[[#This Row],[Fraud_Score]]&gt;=6, "High Risk",IF(Table1[[#This Row],[Fraud_Score]]&gt;=3, "Medium Risk", "Low Risk"))</f>
        <v>Low Risk</v>
      </c>
      <c r="R1657">
        <f>IF(Table1[[#This Row],[Seconds of Use]]=0,0,Table1[[#This Row],[Customer Value]]/Table1[[#This Row],[Seconds of Use]]*100)</f>
        <v>4.5938897168405362</v>
      </c>
    </row>
    <row r="1658" spans="1:18" x14ac:dyDescent="0.35">
      <c r="A1658" s="3" t="s">
        <v>1679</v>
      </c>
      <c r="B1658">
        <v>0</v>
      </c>
      <c r="C1658">
        <v>0</v>
      </c>
      <c r="D1658">
        <v>35</v>
      </c>
      <c r="E1658">
        <v>0</v>
      </c>
      <c r="F1658">
        <v>1940</v>
      </c>
      <c r="G1658">
        <v>27</v>
      </c>
      <c r="H1658">
        <v>246</v>
      </c>
      <c r="I1658">
        <v>12</v>
      </c>
      <c r="J1658">
        <v>3</v>
      </c>
      <c r="K1658">
        <v>1</v>
      </c>
      <c r="L1658">
        <v>1</v>
      </c>
      <c r="M1658">
        <v>30</v>
      </c>
      <c r="N1658">
        <v>1062.68</v>
      </c>
      <c r="O1658">
        <v>0</v>
      </c>
      <c r="P16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8" t="str">
        <f>IF(Table1[[#This Row],[Fraud_Score]]&gt;=6, "High Risk",IF(Table1[[#This Row],[Fraud_Score]]&gt;=3, "Medium Risk", "Low Risk"))</f>
        <v>Low Risk</v>
      </c>
      <c r="R1658">
        <f>IF(Table1[[#This Row],[Seconds of Use]]=0,0,Table1[[#This Row],[Customer Value]]/Table1[[#This Row],[Seconds of Use]]*100)</f>
        <v>54.777319587628867</v>
      </c>
    </row>
    <row r="1659" spans="1:18" x14ac:dyDescent="0.35">
      <c r="A1659" s="3" t="s">
        <v>1680</v>
      </c>
      <c r="B1659">
        <v>8</v>
      </c>
      <c r="C1659">
        <v>0</v>
      </c>
      <c r="D1659">
        <v>34</v>
      </c>
      <c r="E1659">
        <v>0</v>
      </c>
      <c r="F1659">
        <v>8695</v>
      </c>
      <c r="G1659">
        <v>109</v>
      </c>
      <c r="H1659">
        <v>105</v>
      </c>
      <c r="I1659">
        <v>37</v>
      </c>
      <c r="J1659">
        <v>3</v>
      </c>
      <c r="K1659">
        <v>1</v>
      </c>
      <c r="L1659">
        <v>1</v>
      </c>
      <c r="M1659">
        <v>30</v>
      </c>
      <c r="N1659">
        <v>772.16</v>
      </c>
      <c r="O1659">
        <v>0</v>
      </c>
      <c r="P16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59" t="str">
        <f>IF(Table1[[#This Row],[Fraud_Score]]&gt;=6, "High Risk",IF(Table1[[#This Row],[Fraud_Score]]&gt;=3, "Medium Risk", "Low Risk"))</f>
        <v>Low Risk</v>
      </c>
      <c r="R1659">
        <f>IF(Table1[[#This Row],[Seconds of Use]]=0,0,Table1[[#This Row],[Customer Value]]/Table1[[#This Row],[Seconds of Use]]*100)</f>
        <v>8.8805060379528449</v>
      </c>
    </row>
    <row r="1660" spans="1:18" x14ac:dyDescent="0.35">
      <c r="A1660" s="3" t="s">
        <v>1681</v>
      </c>
      <c r="B1660">
        <v>2</v>
      </c>
      <c r="C1660">
        <v>0</v>
      </c>
      <c r="D1660">
        <v>35</v>
      </c>
      <c r="E1660">
        <v>0</v>
      </c>
      <c r="F1660">
        <v>13353</v>
      </c>
      <c r="G1660">
        <v>157</v>
      </c>
      <c r="H1660">
        <v>0</v>
      </c>
      <c r="I1660">
        <v>38</v>
      </c>
      <c r="J1660">
        <v>3</v>
      </c>
      <c r="K1660">
        <v>1</v>
      </c>
      <c r="L1660">
        <v>1</v>
      </c>
      <c r="M1660">
        <v>30</v>
      </c>
      <c r="N1660">
        <v>540.4</v>
      </c>
      <c r="O1660">
        <v>0</v>
      </c>
      <c r="P16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60" t="str">
        <f>IF(Table1[[#This Row],[Fraud_Score]]&gt;=6, "High Risk",IF(Table1[[#This Row],[Fraud_Score]]&gt;=3, "Medium Risk", "Low Risk"))</f>
        <v>Medium Risk</v>
      </c>
      <c r="R1660">
        <f>IF(Table1[[#This Row],[Seconds of Use]]=0,0,Table1[[#This Row],[Customer Value]]/Table1[[#This Row],[Seconds of Use]]*100)</f>
        <v>4.0470306298210144</v>
      </c>
    </row>
    <row r="1661" spans="1:18" x14ac:dyDescent="0.35">
      <c r="A1661" s="3" t="s">
        <v>1682</v>
      </c>
      <c r="B1661">
        <v>2</v>
      </c>
      <c r="C1661">
        <v>0</v>
      </c>
      <c r="D1661">
        <v>35</v>
      </c>
      <c r="E1661">
        <v>0</v>
      </c>
      <c r="F1661">
        <v>4095</v>
      </c>
      <c r="G1661">
        <v>71</v>
      </c>
      <c r="H1661">
        <v>0</v>
      </c>
      <c r="I1661">
        <v>19</v>
      </c>
      <c r="J1661">
        <v>3</v>
      </c>
      <c r="K1661">
        <v>1</v>
      </c>
      <c r="L1661">
        <v>1</v>
      </c>
      <c r="M1661">
        <v>30</v>
      </c>
      <c r="N1661">
        <v>166.64</v>
      </c>
      <c r="O1661">
        <v>0</v>
      </c>
      <c r="P16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61" t="str">
        <f>IF(Table1[[#This Row],[Fraud_Score]]&gt;=6, "High Risk",IF(Table1[[#This Row],[Fraud_Score]]&gt;=3, "Medium Risk", "Low Risk"))</f>
        <v>Low Risk</v>
      </c>
      <c r="R1661">
        <f>IF(Table1[[#This Row],[Seconds of Use]]=0,0,Table1[[#This Row],[Customer Value]]/Table1[[#This Row],[Seconds of Use]]*100)</f>
        <v>4.0693528693528691</v>
      </c>
    </row>
    <row r="1662" spans="1:18" x14ac:dyDescent="0.35">
      <c r="A1662" s="3" t="s">
        <v>1683</v>
      </c>
      <c r="B1662">
        <v>1</v>
      </c>
      <c r="C1662">
        <v>0</v>
      </c>
      <c r="D1662">
        <v>35</v>
      </c>
      <c r="E1662">
        <v>0</v>
      </c>
      <c r="F1662">
        <v>5498</v>
      </c>
      <c r="G1662">
        <v>83</v>
      </c>
      <c r="H1662">
        <v>0</v>
      </c>
      <c r="I1662">
        <v>6</v>
      </c>
      <c r="J1662">
        <v>2</v>
      </c>
      <c r="K1662">
        <v>1</v>
      </c>
      <c r="L1662">
        <v>1</v>
      </c>
      <c r="M1662">
        <v>25</v>
      </c>
      <c r="N1662">
        <v>251.14500000000001</v>
      </c>
      <c r="O1662">
        <v>0</v>
      </c>
      <c r="P16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62" t="str">
        <f>IF(Table1[[#This Row],[Fraud_Score]]&gt;=6, "High Risk",IF(Table1[[#This Row],[Fraud_Score]]&gt;=3, "Medium Risk", "Low Risk"))</f>
        <v>Low Risk</v>
      </c>
      <c r="R1662">
        <f>IF(Table1[[#This Row],[Seconds of Use]]=0,0,Table1[[#This Row],[Customer Value]]/Table1[[#This Row],[Seconds of Use]]*100)</f>
        <v>4.5679337941069482</v>
      </c>
    </row>
    <row r="1663" spans="1:18" x14ac:dyDescent="0.35">
      <c r="A1663" s="3" t="s">
        <v>1684</v>
      </c>
      <c r="B1663">
        <v>4</v>
      </c>
      <c r="C1663">
        <v>0</v>
      </c>
      <c r="D1663">
        <v>35</v>
      </c>
      <c r="E1663">
        <v>0</v>
      </c>
      <c r="F1663">
        <v>1818</v>
      </c>
      <c r="G1663">
        <v>42</v>
      </c>
      <c r="H1663">
        <v>0</v>
      </c>
      <c r="I1663">
        <v>11</v>
      </c>
      <c r="J1663">
        <v>3</v>
      </c>
      <c r="K1663">
        <v>1</v>
      </c>
      <c r="L1663">
        <v>2</v>
      </c>
      <c r="M1663">
        <v>30</v>
      </c>
      <c r="N1663">
        <v>74.400000000000006</v>
      </c>
      <c r="O1663">
        <v>0</v>
      </c>
      <c r="P16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63" t="str">
        <f>IF(Table1[[#This Row],[Fraud_Score]]&gt;=6, "High Risk",IF(Table1[[#This Row],[Fraud_Score]]&gt;=3, "Medium Risk", "Low Risk"))</f>
        <v>Low Risk</v>
      </c>
      <c r="R1663">
        <f>IF(Table1[[#This Row],[Seconds of Use]]=0,0,Table1[[#This Row],[Customer Value]]/Table1[[#This Row],[Seconds of Use]]*100)</f>
        <v>4.0924092409240931</v>
      </c>
    </row>
    <row r="1664" spans="1:18" x14ac:dyDescent="0.35">
      <c r="A1664" s="3" t="s">
        <v>1685</v>
      </c>
      <c r="B1664">
        <v>20</v>
      </c>
      <c r="C1664">
        <v>0</v>
      </c>
      <c r="D1664">
        <v>35</v>
      </c>
      <c r="E1664">
        <v>1</v>
      </c>
      <c r="F1664">
        <v>14720</v>
      </c>
      <c r="G1664">
        <v>213</v>
      </c>
      <c r="H1664">
        <v>15</v>
      </c>
      <c r="I1664">
        <v>26</v>
      </c>
      <c r="J1664">
        <v>2</v>
      </c>
      <c r="K1664">
        <v>1</v>
      </c>
      <c r="L1664">
        <v>1</v>
      </c>
      <c r="M1664">
        <v>25</v>
      </c>
      <c r="N1664">
        <v>739.48500000000001</v>
      </c>
      <c r="O1664">
        <v>0</v>
      </c>
      <c r="P16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664" t="str">
        <f>IF(Table1[[#This Row],[Fraud_Score]]&gt;=6, "High Risk",IF(Table1[[#This Row],[Fraud_Score]]&gt;=3, "Medium Risk", "Low Risk"))</f>
        <v>Medium Risk</v>
      </c>
      <c r="R1664">
        <f>IF(Table1[[#This Row],[Seconds of Use]]=0,0,Table1[[#This Row],[Customer Value]]/Table1[[#This Row],[Seconds of Use]]*100)</f>
        <v>5.0236752717391306</v>
      </c>
    </row>
    <row r="1665" spans="1:18" x14ac:dyDescent="0.35">
      <c r="A1665" s="3" t="s">
        <v>1686</v>
      </c>
      <c r="B1665">
        <v>0</v>
      </c>
      <c r="C1665">
        <v>0</v>
      </c>
      <c r="D1665">
        <v>35</v>
      </c>
      <c r="E1665">
        <v>0</v>
      </c>
      <c r="F1665">
        <v>2675</v>
      </c>
      <c r="G1665">
        <v>15</v>
      </c>
      <c r="H1665">
        <v>444</v>
      </c>
      <c r="I1665">
        <v>2</v>
      </c>
      <c r="J1665">
        <v>3</v>
      </c>
      <c r="K1665">
        <v>1</v>
      </c>
      <c r="L1665">
        <v>1</v>
      </c>
      <c r="M1665">
        <v>30</v>
      </c>
      <c r="N1665">
        <v>1883.6</v>
      </c>
      <c r="O1665">
        <v>0</v>
      </c>
      <c r="P16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65" t="str">
        <f>IF(Table1[[#This Row],[Fraud_Score]]&gt;=6, "High Risk",IF(Table1[[#This Row],[Fraud_Score]]&gt;=3, "Medium Risk", "Low Risk"))</f>
        <v>Low Risk</v>
      </c>
      <c r="R1665">
        <f>IF(Table1[[#This Row],[Seconds of Use]]=0,0,Table1[[#This Row],[Customer Value]]/Table1[[#This Row],[Seconds of Use]]*100)</f>
        <v>70.41495327102804</v>
      </c>
    </row>
    <row r="1666" spans="1:18" x14ac:dyDescent="0.35">
      <c r="A1666" s="3" t="s">
        <v>1687</v>
      </c>
      <c r="B1666">
        <v>4</v>
      </c>
      <c r="C1666">
        <v>0</v>
      </c>
      <c r="D1666">
        <v>34</v>
      </c>
      <c r="E1666">
        <v>0</v>
      </c>
      <c r="F1666">
        <v>15065</v>
      </c>
      <c r="G1666">
        <v>170</v>
      </c>
      <c r="H1666">
        <v>111</v>
      </c>
      <c r="I1666">
        <v>24</v>
      </c>
      <c r="J1666">
        <v>2</v>
      </c>
      <c r="K1666">
        <v>1</v>
      </c>
      <c r="L1666">
        <v>1</v>
      </c>
      <c r="M1666">
        <v>25</v>
      </c>
      <c r="N1666">
        <v>1185.075</v>
      </c>
      <c r="O1666">
        <v>0</v>
      </c>
      <c r="P16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66" t="str">
        <f>IF(Table1[[#This Row],[Fraud_Score]]&gt;=6, "High Risk",IF(Table1[[#This Row],[Fraud_Score]]&gt;=3, "Medium Risk", "Low Risk"))</f>
        <v>Medium Risk</v>
      </c>
      <c r="R1666">
        <f>IF(Table1[[#This Row],[Seconds of Use]]=0,0,Table1[[#This Row],[Customer Value]]/Table1[[#This Row],[Seconds of Use]]*100)</f>
        <v>7.8664122137404577</v>
      </c>
    </row>
    <row r="1667" spans="1:18" x14ac:dyDescent="0.35">
      <c r="A1667" s="3" t="s">
        <v>1688</v>
      </c>
      <c r="B1667">
        <v>0</v>
      </c>
      <c r="C1667">
        <v>0</v>
      </c>
      <c r="D1667">
        <v>34</v>
      </c>
      <c r="E1667">
        <v>0</v>
      </c>
      <c r="F1667">
        <v>6080</v>
      </c>
      <c r="G1667">
        <v>74</v>
      </c>
      <c r="H1667">
        <v>147</v>
      </c>
      <c r="I1667">
        <v>20</v>
      </c>
      <c r="J1667">
        <v>3</v>
      </c>
      <c r="K1667">
        <v>1</v>
      </c>
      <c r="L1667">
        <v>1</v>
      </c>
      <c r="M1667">
        <v>30</v>
      </c>
      <c r="N1667">
        <v>834.16</v>
      </c>
      <c r="O1667">
        <v>0</v>
      </c>
      <c r="P16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67" t="str">
        <f>IF(Table1[[#This Row],[Fraud_Score]]&gt;=6, "High Risk",IF(Table1[[#This Row],[Fraud_Score]]&gt;=3, "Medium Risk", "Low Risk"))</f>
        <v>Low Risk</v>
      </c>
      <c r="R1667">
        <f>IF(Table1[[#This Row],[Seconds of Use]]=0,0,Table1[[#This Row],[Customer Value]]/Table1[[#This Row],[Seconds of Use]]*100)</f>
        <v>13.719736842105263</v>
      </c>
    </row>
    <row r="1668" spans="1:18" x14ac:dyDescent="0.35">
      <c r="A1668" s="3" t="s">
        <v>1689</v>
      </c>
      <c r="B1668">
        <v>0</v>
      </c>
      <c r="C1668">
        <v>0</v>
      </c>
      <c r="D1668">
        <v>34</v>
      </c>
      <c r="E1668">
        <v>0</v>
      </c>
      <c r="F1668">
        <v>455</v>
      </c>
      <c r="G1668">
        <v>2</v>
      </c>
      <c r="H1668">
        <v>0</v>
      </c>
      <c r="I1668">
        <v>5</v>
      </c>
      <c r="J1668">
        <v>2</v>
      </c>
      <c r="K1668">
        <v>1</v>
      </c>
      <c r="L1668">
        <v>2</v>
      </c>
      <c r="M1668">
        <v>25</v>
      </c>
      <c r="N1668">
        <v>20.565000000000001</v>
      </c>
      <c r="O1668">
        <v>0</v>
      </c>
      <c r="P16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68" t="str">
        <f>IF(Table1[[#This Row],[Fraud_Score]]&gt;=6, "High Risk",IF(Table1[[#This Row],[Fraud_Score]]&gt;=3, "Medium Risk", "Low Risk"))</f>
        <v>Low Risk</v>
      </c>
      <c r="R1668">
        <f>IF(Table1[[#This Row],[Seconds of Use]]=0,0,Table1[[#This Row],[Customer Value]]/Table1[[#This Row],[Seconds of Use]]*100)</f>
        <v>4.5197802197802197</v>
      </c>
    </row>
    <row r="1669" spans="1:18" x14ac:dyDescent="0.35">
      <c r="A1669" s="3" t="s">
        <v>1690</v>
      </c>
      <c r="B1669">
        <v>0</v>
      </c>
      <c r="C1669">
        <v>0</v>
      </c>
      <c r="D1669">
        <v>35</v>
      </c>
      <c r="E1669">
        <v>0</v>
      </c>
      <c r="F1669">
        <v>290</v>
      </c>
      <c r="G1669">
        <v>2</v>
      </c>
      <c r="H1669">
        <v>0</v>
      </c>
      <c r="I1669">
        <v>2</v>
      </c>
      <c r="J1669">
        <v>2</v>
      </c>
      <c r="K1669">
        <v>1</v>
      </c>
      <c r="L1669">
        <v>2</v>
      </c>
      <c r="M1669">
        <v>25</v>
      </c>
      <c r="N1669">
        <v>13.14</v>
      </c>
      <c r="O1669">
        <v>0</v>
      </c>
      <c r="P16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69" t="str">
        <f>IF(Table1[[#This Row],[Fraud_Score]]&gt;=6, "High Risk",IF(Table1[[#This Row],[Fraud_Score]]&gt;=3, "Medium Risk", "Low Risk"))</f>
        <v>Low Risk</v>
      </c>
      <c r="R1669">
        <f>IF(Table1[[#This Row],[Seconds of Use]]=0,0,Table1[[#This Row],[Customer Value]]/Table1[[#This Row],[Seconds of Use]]*100)</f>
        <v>4.5310344827586206</v>
      </c>
    </row>
    <row r="1670" spans="1:18" x14ac:dyDescent="0.35">
      <c r="A1670" s="3" t="s">
        <v>1691</v>
      </c>
      <c r="B1670">
        <v>0</v>
      </c>
      <c r="C1670">
        <v>0</v>
      </c>
      <c r="D1670">
        <v>34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2</v>
      </c>
      <c r="K1670">
        <v>1</v>
      </c>
      <c r="L1670">
        <v>2</v>
      </c>
      <c r="M1670">
        <v>25</v>
      </c>
      <c r="N1670">
        <v>0</v>
      </c>
      <c r="O1670">
        <v>1</v>
      </c>
      <c r="P16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70" t="str">
        <f>IF(Table1[[#This Row],[Fraud_Score]]&gt;=6, "High Risk",IF(Table1[[#This Row],[Fraud_Score]]&gt;=3, "Medium Risk", "Low Risk"))</f>
        <v>Low Risk</v>
      </c>
      <c r="R1670">
        <f>IF(Table1[[#This Row],[Seconds of Use]]=0,0,Table1[[#This Row],[Customer Value]]/Table1[[#This Row],[Seconds of Use]]*100)</f>
        <v>0</v>
      </c>
    </row>
    <row r="1671" spans="1:18" x14ac:dyDescent="0.35">
      <c r="A1671" s="3" t="s">
        <v>1692</v>
      </c>
      <c r="B1671">
        <v>0</v>
      </c>
      <c r="C1671">
        <v>0</v>
      </c>
      <c r="D1671">
        <v>34</v>
      </c>
      <c r="E1671">
        <v>0</v>
      </c>
      <c r="F1671">
        <v>7088</v>
      </c>
      <c r="G1671">
        <v>115</v>
      </c>
      <c r="H1671">
        <v>345</v>
      </c>
      <c r="I1671">
        <v>37</v>
      </c>
      <c r="J1671">
        <v>2</v>
      </c>
      <c r="K1671">
        <v>1</v>
      </c>
      <c r="L1671">
        <v>1</v>
      </c>
      <c r="M1671">
        <v>25</v>
      </c>
      <c r="N1671">
        <v>1876.635</v>
      </c>
      <c r="O1671">
        <v>0</v>
      </c>
      <c r="P16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71" t="str">
        <f>IF(Table1[[#This Row],[Fraud_Score]]&gt;=6, "High Risk",IF(Table1[[#This Row],[Fraud_Score]]&gt;=3, "Medium Risk", "Low Risk"))</f>
        <v>Low Risk</v>
      </c>
      <c r="R1671">
        <f>IF(Table1[[#This Row],[Seconds of Use]]=0,0,Table1[[#This Row],[Customer Value]]/Table1[[#This Row],[Seconds of Use]]*100)</f>
        <v>26.476227426636566</v>
      </c>
    </row>
    <row r="1672" spans="1:18" x14ac:dyDescent="0.35">
      <c r="A1672" s="3" t="s">
        <v>1693</v>
      </c>
      <c r="B1672">
        <v>2</v>
      </c>
      <c r="C1672">
        <v>0</v>
      </c>
      <c r="D1672">
        <v>34</v>
      </c>
      <c r="E1672">
        <v>0</v>
      </c>
      <c r="F1672">
        <v>11045</v>
      </c>
      <c r="G1672">
        <v>142</v>
      </c>
      <c r="H1672">
        <v>0</v>
      </c>
      <c r="I1672">
        <v>41</v>
      </c>
      <c r="J1672">
        <v>3</v>
      </c>
      <c r="K1672">
        <v>1</v>
      </c>
      <c r="L1672">
        <v>1</v>
      </c>
      <c r="M1672">
        <v>30</v>
      </c>
      <c r="N1672">
        <v>447.48</v>
      </c>
      <c r="O1672">
        <v>0</v>
      </c>
      <c r="P16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72" t="str">
        <f>IF(Table1[[#This Row],[Fraud_Score]]&gt;=6, "High Risk",IF(Table1[[#This Row],[Fraud_Score]]&gt;=3, "Medium Risk", "Low Risk"))</f>
        <v>Medium Risk</v>
      </c>
      <c r="R1672">
        <f>IF(Table1[[#This Row],[Seconds of Use]]=0,0,Table1[[#This Row],[Customer Value]]/Table1[[#This Row],[Seconds of Use]]*100)</f>
        <v>4.0514259846084197</v>
      </c>
    </row>
    <row r="1673" spans="1:18" x14ac:dyDescent="0.35">
      <c r="A1673" s="3" t="s">
        <v>1694</v>
      </c>
      <c r="B1673">
        <v>3</v>
      </c>
      <c r="C1673">
        <v>0</v>
      </c>
      <c r="D1673">
        <v>34</v>
      </c>
      <c r="E1673">
        <v>0</v>
      </c>
      <c r="F1673">
        <v>6298</v>
      </c>
      <c r="G1673">
        <v>63</v>
      </c>
      <c r="H1673">
        <v>69</v>
      </c>
      <c r="I1673">
        <v>31</v>
      </c>
      <c r="J1673">
        <v>2</v>
      </c>
      <c r="K1673">
        <v>1</v>
      </c>
      <c r="L1673">
        <v>1</v>
      </c>
      <c r="M1673">
        <v>25</v>
      </c>
      <c r="N1673">
        <v>596.745</v>
      </c>
      <c r="O1673">
        <v>0</v>
      </c>
      <c r="P16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73" t="str">
        <f>IF(Table1[[#This Row],[Fraud_Score]]&gt;=6, "High Risk",IF(Table1[[#This Row],[Fraud_Score]]&gt;=3, "Medium Risk", "Low Risk"))</f>
        <v>Low Risk</v>
      </c>
      <c r="R1673">
        <f>IF(Table1[[#This Row],[Seconds of Use]]=0,0,Table1[[#This Row],[Customer Value]]/Table1[[#This Row],[Seconds of Use]]*100)</f>
        <v>9.4751508415369958</v>
      </c>
    </row>
    <row r="1674" spans="1:18" x14ac:dyDescent="0.35">
      <c r="A1674" s="3" t="s">
        <v>1695</v>
      </c>
      <c r="B1674">
        <v>18</v>
      </c>
      <c r="C1674">
        <v>0</v>
      </c>
      <c r="D1674">
        <v>30</v>
      </c>
      <c r="E1674">
        <v>0</v>
      </c>
      <c r="F1674">
        <v>535</v>
      </c>
      <c r="G1674">
        <v>35</v>
      </c>
      <c r="H1674">
        <v>0</v>
      </c>
      <c r="I1674">
        <v>11</v>
      </c>
      <c r="J1674">
        <v>2</v>
      </c>
      <c r="K1674">
        <v>1</v>
      </c>
      <c r="L1674">
        <v>2</v>
      </c>
      <c r="M1674">
        <v>25</v>
      </c>
      <c r="N1674">
        <v>25.65</v>
      </c>
      <c r="O1674">
        <v>1</v>
      </c>
      <c r="P16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74" t="str">
        <f>IF(Table1[[#This Row],[Fraud_Score]]&gt;=6, "High Risk",IF(Table1[[#This Row],[Fraud_Score]]&gt;=3, "Medium Risk", "Low Risk"))</f>
        <v>Medium Risk</v>
      </c>
      <c r="R1674">
        <f>IF(Table1[[#This Row],[Seconds of Use]]=0,0,Table1[[#This Row],[Customer Value]]/Table1[[#This Row],[Seconds of Use]]*100)</f>
        <v>4.7943925233644862</v>
      </c>
    </row>
    <row r="1675" spans="1:18" x14ac:dyDescent="0.35">
      <c r="A1675" s="3" t="s">
        <v>1696</v>
      </c>
      <c r="B1675">
        <v>16</v>
      </c>
      <c r="C1675">
        <v>0</v>
      </c>
      <c r="D1675">
        <v>33</v>
      </c>
      <c r="E1675">
        <v>6</v>
      </c>
      <c r="F1675">
        <v>10015</v>
      </c>
      <c r="G1675">
        <v>81</v>
      </c>
      <c r="H1675">
        <v>0</v>
      </c>
      <c r="I1675">
        <v>36</v>
      </c>
      <c r="J1675">
        <v>4</v>
      </c>
      <c r="K1675">
        <v>1</v>
      </c>
      <c r="L1675">
        <v>1</v>
      </c>
      <c r="M1675">
        <v>45</v>
      </c>
      <c r="N1675">
        <v>252.4</v>
      </c>
      <c r="O1675">
        <v>0</v>
      </c>
      <c r="P16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675" t="str">
        <f>IF(Table1[[#This Row],[Fraud_Score]]&gt;=6, "High Risk",IF(Table1[[#This Row],[Fraud_Score]]&gt;=3, "Medium Risk", "Low Risk"))</f>
        <v>Low Risk</v>
      </c>
      <c r="R1675">
        <f>IF(Table1[[#This Row],[Seconds of Use]]=0,0,Table1[[#This Row],[Customer Value]]/Table1[[#This Row],[Seconds of Use]]*100)</f>
        <v>2.5202196704942588</v>
      </c>
    </row>
    <row r="1676" spans="1:18" x14ac:dyDescent="0.35">
      <c r="A1676" s="3" t="s">
        <v>1697</v>
      </c>
      <c r="B1676">
        <v>8</v>
      </c>
      <c r="C1676">
        <v>0</v>
      </c>
      <c r="D1676">
        <v>33</v>
      </c>
      <c r="E1676">
        <v>0</v>
      </c>
      <c r="F1676">
        <v>5398</v>
      </c>
      <c r="G1676">
        <v>86</v>
      </c>
      <c r="H1676">
        <v>0</v>
      </c>
      <c r="I1676">
        <v>18</v>
      </c>
      <c r="J1676">
        <v>2</v>
      </c>
      <c r="K1676">
        <v>1</v>
      </c>
      <c r="L1676">
        <v>1</v>
      </c>
      <c r="M1676">
        <v>25</v>
      </c>
      <c r="N1676">
        <v>246.78</v>
      </c>
      <c r="O1676">
        <v>1</v>
      </c>
      <c r="P16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76" t="str">
        <f>IF(Table1[[#This Row],[Fraud_Score]]&gt;=6, "High Risk",IF(Table1[[#This Row],[Fraud_Score]]&gt;=3, "Medium Risk", "Low Risk"))</f>
        <v>Low Risk</v>
      </c>
      <c r="R1676">
        <f>IF(Table1[[#This Row],[Seconds of Use]]=0,0,Table1[[#This Row],[Customer Value]]/Table1[[#This Row],[Seconds of Use]]*100)</f>
        <v>4.5716932197110038</v>
      </c>
    </row>
    <row r="1677" spans="1:18" x14ac:dyDescent="0.35">
      <c r="A1677" s="3" t="s">
        <v>1698</v>
      </c>
      <c r="B1677">
        <v>0</v>
      </c>
      <c r="C1677">
        <v>0</v>
      </c>
      <c r="D1677">
        <v>31</v>
      </c>
      <c r="E1677">
        <v>0</v>
      </c>
      <c r="F1677">
        <v>2420</v>
      </c>
      <c r="G1677">
        <v>10</v>
      </c>
      <c r="H1677">
        <v>0</v>
      </c>
      <c r="I1677">
        <v>8</v>
      </c>
      <c r="J1677">
        <v>3</v>
      </c>
      <c r="K1677">
        <v>1</v>
      </c>
      <c r="L1677">
        <v>1</v>
      </c>
      <c r="M1677">
        <v>30</v>
      </c>
      <c r="N1677">
        <v>97.2</v>
      </c>
      <c r="O1677">
        <v>0</v>
      </c>
      <c r="P16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77" t="str">
        <f>IF(Table1[[#This Row],[Fraud_Score]]&gt;=6, "High Risk",IF(Table1[[#This Row],[Fraud_Score]]&gt;=3, "Medium Risk", "Low Risk"))</f>
        <v>Low Risk</v>
      </c>
      <c r="R1677">
        <f>IF(Table1[[#This Row],[Seconds of Use]]=0,0,Table1[[#This Row],[Customer Value]]/Table1[[#This Row],[Seconds of Use]]*100)</f>
        <v>4.0165289256198351</v>
      </c>
    </row>
    <row r="1678" spans="1:18" x14ac:dyDescent="0.35">
      <c r="A1678" s="3" t="s">
        <v>1699</v>
      </c>
      <c r="B1678">
        <v>4</v>
      </c>
      <c r="C1678">
        <v>1</v>
      </c>
      <c r="D1678">
        <v>32</v>
      </c>
      <c r="E1678">
        <v>0</v>
      </c>
      <c r="F1678">
        <v>2570</v>
      </c>
      <c r="G1678">
        <v>29</v>
      </c>
      <c r="H1678">
        <v>0</v>
      </c>
      <c r="I1678">
        <v>10</v>
      </c>
      <c r="J1678">
        <v>2</v>
      </c>
      <c r="K1678">
        <v>1</v>
      </c>
      <c r="L1678">
        <v>2</v>
      </c>
      <c r="M1678">
        <v>25</v>
      </c>
      <c r="N1678">
        <v>116.955</v>
      </c>
      <c r="O1678">
        <v>1</v>
      </c>
      <c r="P16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78" t="str">
        <f>IF(Table1[[#This Row],[Fraud_Score]]&gt;=6, "High Risk",IF(Table1[[#This Row],[Fraud_Score]]&gt;=3, "Medium Risk", "Low Risk"))</f>
        <v>Medium Risk</v>
      </c>
      <c r="R1678">
        <f>IF(Table1[[#This Row],[Seconds of Use]]=0,0,Table1[[#This Row],[Customer Value]]/Table1[[#This Row],[Seconds of Use]]*100)</f>
        <v>4.5507782101167313</v>
      </c>
    </row>
    <row r="1679" spans="1:18" x14ac:dyDescent="0.35">
      <c r="A1679" s="3" t="s">
        <v>1700</v>
      </c>
      <c r="B1679">
        <v>4</v>
      </c>
      <c r="C1679">
        <v>0</v>
      </c>
      <c r="D1679">
        <v>33</v>
      </c>
      <c r="E1679">
        <v>0</v>
      </c>
      <c r="F1679">
        <v>1848</v>
      </c>
      <c r="G1679">
        <v>32</v>
      </c>
      <c r="H1679">
        <v>0</v>
      </c>
      <c r="I1679">
        <v>25</v>
      </c>
      <c r="J1679">
        <v>3</v>
      </c>
      <c r="K1679">
        <v>1</v>
      </c>
      <c r="L1679">
        <v>2</v>
      </c>
      <c r="M1679">
        <v>30</v>
      </c>
      <c r="N1679">
        <v>75.2</v>
      </c>
      <c r="O1679">
        <v>1</v>
      </c>
      <c r="P16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79" t="str">
        <f>IF(Table1[[#This Row],[Fraud_Score]]&gt;=6, "High Risk",IF(Table1[[#This Row],[Fraud_Score]]&gt;=3, "Medium Risk", "Low Risk"))</f>
        <v>Low Risk</v>
      </c>
      <c r="R1679">
        <f>IF(Table1[[#This Row],[Seconds of Use]]=0,0,Table1[[#This Row],[Customer Value]]/Table1[[#This Row],[Seconds of Use]]*100)</f>
        <v>4.0692640692640696</v>
      </c>
    </row>
    <row r="1680" spans="1:18" x14ac:dyDescent="0.35">
      <c r="A1680" s="3" t="s">
        <v>1701</v>
      </c>
      <c r="B1680">
        <v>0</v>
      </c>
      <c r="C1680">
        <v>0</v>
      </c>
      <c r="D1680">
        <v>33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2</v>
      </c>
      <c r="K1680">
        <v>1</v>
      </c>
      <c r="L1680">
        <v>2</v>
      </c>
      <c r="M1680">
        <v>25</v>
      </c>
      <c r="N1680">
        <v>0</v>
      </c>
      <c r="O1680">
        <v>1</v>
      </c>
      <c r="P16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0" t="str">
        <f>IF(Table1[[#This Row],[Fraud_Score]]&gt;=6, "High Risk",IF(Table1[[#This Row],[Fraud_Score]]&gt;=3, "Medium Risk", "Low Risk"))</f>
        <v>Low Risk</v>
      </c>
      <c r="R1680">
        <f>IF(Table1[[#This Row],[Seconds of Use]]=0,0,Table1[[#This Row],[Customer Value]]/Table1[[#This Row],[Seconds of Use]]*100)</f>
        <v>0</v>
      </c>
    </row>
    <row r="1681" spans="1:18" x14ac:dyDescent="0.35">
      <c r="A1681" s="3" t="s">
        <v>1702</v>
      </c>
      <c r="B1681">
        <v>0</v>
      </c>
      <c r="C1681">
        <v>0</v>
      </c>
      <c r="D1681">
        <v>33</v>
      </c>
      <c r="E1681">
        <v>0</v>
      </c>
      <c r="F1681">
        <v>1248</v>
      </c>
      <c r="G1681">
        <v>13</v>
      </c>
      <c r="H1681">
        <v>0</v>
      </c>
      <c r="I1681">
        <v>3</v>
      </c>
      <c r="J1681">
        <v>3</v>
      </c>
      <c r="K1681">
        <v>1</v>
      </c>
      <c r="L1681">
        <v>1</v>
      </c>
      <c r="M1681">
        <v>30</v>
      </c>
      <c r="N1681">
        <v>50.44</v>
      </c>
      <c r="O1681">
        <v>0</v>
      </c>
      <c r="P16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1" t="str">
        <f>IF(Table1[[#This Row],[Fraud_Score]]&gt;=6, "High Risk",IF(Table1[[#This Row],[Fraud_Score]]&gt;=3, "Medium Risk", "Low Risk"))</f>
        <v>Low Risk</v>
      </c>
      <c r="R1681">
        <f>IF(Table1[[#This Row],[Seconds of Use]]=0,0,Table1[[#This Row],[Customer Value]]/Table1[[#This Row],[Seconds of Use]]*100)</f>
        <v>4.0416666666666661</v>
      </c>
    </row>
    <row r="1682" spans="1:18" x14ac:dyDescent="0.35">
      <c r="A1682" s="3" t="s">
        <v>1703</v>
      </c>
      <c r="B1682">
        <v>0</v>
      </c>
      <c r="C1682">
        <v>0</v>
      </c>
      <c r="D1682">
        <v>30</v>
      </c>
      <c r="E1682">
        <v>0</v>
      </c>
      <c r="F1682">
        <v>6365</v>
      </c>
      <c r="G1682">
        <v>85</v>
      </c>
      <c r="H1682">
        <v>0</v>
      </c>
      <c r="I1682">
        <v>16</v>
      </c>
      <c r="J1682">
        <v>4</v>
      </c>
      <c r="K1682">
        <v>1</v>
      </c>
      <c r="L1682">
        <v>1</v>
      </c>
      <c r="M1682">
        <v>45</v>
      </c>
      <c r="N1682">
        <v>161.25</v>
      </c>
      <c r="O1682">
        <v>0</v>
      </c>
      <c r="P16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2" t="str">
        <f>IF(Table1[[#This Row],[Fraud_Score]]&gt;=6, "High Risk",IF(Table1[[#This Row],[Fraud_Score]]&gt;=3, "Medium Risk", "Low Risk"))</f>
        <v>Low Risk</v>
      </c>
      <c r="R1682">
        <f>IF(Table1[[#This Row],[Seconds of Use]]=0,0,Table1[[#This Row],[Customer Value]]/Table1[[#This Row],[Seconds of Use]]*100)</f>
        <v>2.5333857030636295</v>
      </c>
    </row>
    <row r="1683" spans="1:18" x14ac:dyDescent="0.35">
      <c r="A1683" s="3" t="s">
        <v>1704</v>
      </c>
      <c r="B1683">
        <v>0</v>
      </c>
      <c r="C1683">
        <v>0</v>
      </c>
      <c r="D1683">
        <v>33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3</v>
      </c>
      <c r="K1683">
        <v>1</v>
      </c>
      <c r="L1683">
        <v>2</v>
      </c>
      <c r="M1683">
        <v>30</v>
      </c>
      <c r="N1683">
        <v>0</v>
      </c>
      <c r="O1683">
        <v>1</v>
      </c>
      <c r="P16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3" t="str">
        <f>IF(Table1[[#This Row],[Fraud_Score]]&gt;=6, "High Risk",IF(Table1[[#This Row],[Fraud_Score]]&gt;=3, "Medium Risk", "Low Risk"))</f>
        <v>Low Risk</v>
      </c>
      <c r="R1683">
        <f>IF(Table1[[#This Row],[Seconds of Use]]=0,0,Table1[[#This Row],[Customer Value]]/Table1[[#This Row],[Seconds of Use]]*100)</f>
        <v>0</v>
      </c>
    </row>
    <row r="1684" spans="1:18" x14ac:dyDescent="0.35">
      <c r="A1684" s="3" t="s">
        <v>1705</v>
      </c>
      <c r="B1684">
        <v>0</v>
      </c>
      <c r="C1684">
        <v>0</v>
      </c>
      <c r="D1684">
        <v>33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4</v>
      </c>
      <c r="K1684">
        <v>1</v>
      </c>
      <c r="L1684">
        <v>1</v>
      </c>
      <c r="M1684">
        <v>45</v>
      </c>
      <c r="N1684">
        <v>0</v>
      </c>
      <c r="O1684">
        <v>0</v>
      </c>
      <c r="P16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4" t="str">
        <f>IF(Table1[[#This Row],[Fraud_Score]]&gt;=6, "High Risk",IF(Table1[[#This Row],[Fraud_Score]]&gt;=3, "Medium Risk", "Low Risk"))</f>
        <v>Low Risk</v>
      </c>
      <c r="R1684">
        <f>IF(Table1[[#This Row],[Seconds of Use]]=0,0,Table1[[#This Row],[Customer Value]]/Table1[[#This Row],[Seconds of Use]]*100)</f>
        <v>0</v>
      </c>
    </row>
    <row r="1685" spans="1:18" x14ac:dyDescent="0.35">
      <c r="A1685" s="3" t="s">
        <v>1706</v>
      </c>
      <c r="B1685">
        <v>20</v>
      </c>
      <c r="C1685">
        <v>0</v>
      </c>
      <c r="D1685">
        <v>28</v>
      </c>
      <c r="E1685">
        <v>1</v>
      </c>
      <c r="F1685">
        <v>15655</v>
      </c>
      <c r="G1685">
        <v>226</v>
      </c>
      <c r="H1685">
        <v>0</v>
      </c>
      <c r="I1685">
        <v>74</v>
      </c>
      <c r="J1685">
        <v>2</v>
      </c>
      <c r="K1685">
        <v>1</v>
      </c>
      <c r="L1685">
        <v>1</v>
      </c>
      <c r="M1685">
        <v>25</v>
      </c>
      <c r="N1685">
        <v>714.64499999999998</v>
      </c>
      <c r="O1685">
        <v>0</v>
      </c>
      <c r="P16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685" t="str">
        <f>IF(Table1[[#This Row],[Fraud_Score]]&gt;=6, "High Risk",IF(Table1[[#This Row],[Fraud_Score]]&gt;=3, "Medium Risk", "Low Risk"))</f>
        <v>Medium Risk</v>
      </c>
      <c r="R1685">
        <f>IF(Table1[[#This Row],[Seconds of Use]]=0,0,Table1[[#This Row],[Customer Value]]/Table1[[#This Row],[Seconds of Use]]*100)</f>
        <v>4.5649632705206002</v>
      </c>
    </row>
    <row r="1686" spans="1:18" x14ac:dyDescent="0.35">
      <c r="A1686" s="3" t="s">
        <v>1707</v>
      </c>
      <c r="B1686">
        <v>1</v>
      </c>
      <c r="C1686">
        <v>0</v>
      </c>
      <c r="D1686">
        <v>31</v>
      </c>
      <c r="E1686">
        <v>1</v>
      </c>
      <c r="F1686">
        <v>6545</v>
      </c>
      <c r="G1686">
        <v>104</v>
      </c>
      <c r="H1686">
        <v>232</v>
      </c>
      <c r="I1686">
        <v>27</v>
      </c>
      <c r="J1686">
        <v>2</v>
      </c>
      <c r="K1686">
        <v>2</v>
      </c>
      <c r="L1686">
        <v>1</v>
      </c>
      <c r="M1686">
        <v>25</v>
      </c>
      <c r="N1686">
        <v>1343.2049999999999</v>
      </c>
      <c r="O1686">
        <v>0</v>
      </c>
      <c r="P16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86" t="str">
        <f>IF(Table1[[#This Row],[Fraud_Score]]&gt;=6, "High Risk",IF(Table1[[#This Row],[Fraud_Score]]&gt;=3, "Medium Risk", "Low Risk"))</f>
        <v>Low Risk</v>
      </c>
      <c r="R1686">
        <f>IF(Table1[[#This Row],[Seconds of Use]]=0,0,Table1[[#This Row],[Customer Value]]/Table1[[#This Row],[Seconds of Use]]*100)</f>
        <v>20.522612681436208</v>
      </c>
    </row>
    <row r="1687" spans="1:18" x14ac:dyDescent="0.35">
      <c r="A1687" s="3" t="s">
        <v>1708</v>
      </c>
      <c r="B1687">
        <v>0</v>
      </c>
      <c r="C1687">
        <v>0</v>
      </c>
      <c r="D1687">
        <v>33</v>
      </c>
      <c r="E1687">
        <v>0</v>
      </c>
      <c r="F1687">
        <v>3298</v>
      </c>
      <c r="G1687">
        <v>70</v>
      </c>
      <c r="H1687">
        <v>0</v>
      </c>
      <c r="I1687">
        <v>22</v>
      </c>
      <c r="J1687">
        <v>2</v>
      </c>
      <c r="K1687">
        <v>1</v>
      </c>
      <c r="L1687">
        <v>1</v>
      </c>
      <c r="M1687">
        <v>25</v>
      </c>
      <c r="N1687">
        <v>151.56</v>
      </c>
      <c r="O1687">
        <v>0</v>
      </c>
      <c r="P16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7" t="str">
        <f>IF(Table1[[#This Row],[Fraud_Score]]&gt;=6, "High Risk",IF(Table1[[#This Row],[Fraud_Score]]&gt;=3, "Medium Risk", "Low Risk"))</f>
        <v>Low Risk</v>
      </c>
      <c r="R1687">
        <f>IF(Table1[[#This Row],[Seconds of Use]]=0,0,Table1[[#This Row],[Customer Value]]/Table1[[#This Row],[Seconds of Use]]*100)</f>
        <v>4.595512431776835</v>
      </c>
    </row>
    <row r="1688" spans="1:18" x14ac:dyDescent="0.35">
      <c r="A1688" s="3" t="s">
        <v>1709</v>
      </c>
      <c r="B1688">
        <v>0</v>
      </c>
      <c r="C1688">
        <v>0</v>
      </c>
      <c r="D1688">
        <v>32</v>
      </c>
      <c r="E1688">
        <v>0</v>
      </c>
      <c r="F1688">
        <v>1245</v>
      </c>
      <c r="G1688">
        <v>32</v>
      </c>
      <c r="H1688">
        <v>0</v>
      </c>
      <c r="I1688">
        <v>14</v>
      </c>
      <c r="J1688">
        <v>3</v>
      </c>
      <c r="K1688">
        <v>1</v>
      </c>
      <c r="L1688">
        <v>2</v>
      </c>
      <c r="M1688">
        <v>30</v>
      </c>
      <c r="N1688">
        <v>51.08</v>
      </c>
      <c r="O1688">
        <v>0</v>
      </c>
      <c r="P16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8" t="str">
        <f>IF(Table1[[#This Row],[Fraud_Score]]&gt;=6, "High Risk",IF(Table1[[#This Row],[Fraud_Score]]&gt;=3, "Medium Risk", "Low Risk"))</f>
        <v>Low Risk</v>
      </c>
      <c r="R1688">
        <f>IF(Table1[[#This Row],[Seconds of Use]]=0,0,Table1[[#This Row],[Customer Value]]/Table1[[#This Row],[Seconds of Use]]*100)</f>
        <v>4.1028112449799199</v>
      </c>
    </row>
    <row r="1689" spans="1:18" x14ac:dyDescent="0.35">
      <c r="A1689" s="3" t="s">
        <v>1710</v>
      </c>
      <c r="B1689">
        <v>1</v>
      </c>
      <c r="C1689">
        <v>0</v>
      </c>
      <c r="D1689">
        <v>33</v>
      </c>
      <c r="E1689">
        <v>0</v>
      </c>
      <c r="F1689">
        <v>2360</v>
      </c>
      <c r="G1689">
        <v>41</v>
      </c>
      <c r="H1689">
        <v>136</v>
      </c>
      <c r="I1689">
        <v>17</v>
      </c>
      <c r="J1689">
        <v>2</v>
      </c>
      <c r="K1689">
        <v>1</v>
      </c>
      <c r="L1689">
        <v>1</v>
      </c>
      <c r="M1689">
        <v>25</v>
      </c>
      <c r="N1689">
        <v>720.04499999999996</v>
      </c>
      <c r="O1689">
        <v>0</v>
      </c>
      <c r="P16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89" t="str">
        <f>IF(Table1[[#This Row],[Fraud_Score]]&gt;=6, "High Risk",IF(Table1[[#This Row],[Fraud_Score]]&gt;=3, "Medium Risk", "Low Risk"))</f>
        <v>Low Risk</v>
      </c>
      <c r="R1689">
        <f>IF(Table1[[#This Row],[Seconds of Use]]=0,0,Table1[[#This Row],[Customer Value]]/Table1[[#This Row],[Seconds of Use]]*100)</f>
        <v>30.510381355932203</v>
      </c>
    </row>
    <row r="1690" spans="1:18" x14ac:dyDescent="0.35">
      <c r="A1690" s="3" t="s">
        <v>1711</v>
      </c>
      <c r="B1690">
        <v>0</v>
      </c>
      <c r="C1690">
        <v>0</v>
      </c>
      <c r="D1690">
        <v>24</v>
      </c>
      <c r="E1690">
        <v>0</v>
      </c>
      <c r="F1690">
        <v>895</v>
      </c>
      <c r="G1690">
        <v>24</v>
      </c>
      <c r="H1690">
        <v>154</v>
      </c>
      <c r="I1690">
        <v>5</v>
      </c>
      <c r="J1690">
        <v>2</v>
      </c>
      <c r="K1690">
        <v>2</v>
      </c>
      <c r="L1690">
        <v>1</v>
      </c>
      <c r="M1690">
        <v>25</v>
      </c>
      <c r="N1690">
        <v>734.35500000000002</v>
      </c>
      <c r="O1690">
        <v>0</v>
      </c>
      <c r="P16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90" t="str">
        <f>IF(Table1[[#This Row],[Fraud_Score]]&gt;=6, "High Risk",IF(Table1[[#This Row],[Fraud_Score]]&gt;=3, "Medium Risk", "Low Risk"))</f>
        <v>Low Risk</v>
      </c>
      <c r="R1690">
        <f>IF(Table1[[#This Row],[Seconds of Use]]=0,0,Table1[[#This Row],[Customer Value]]/Table1[[#This Row],[Seconds of Use]]*100)</f>
        <v>82.050837988826814</v>
      </c>
    </row>
    <row r="1691" spans="1:18" x14ac:dyDescent="0.35">
      <c r="A1691" s="3" t="s">
        <v>1712</v>
      </c>
      <c r="B1691">
        <v>0</v>
      </c>
      <c r="C1691">
        <v>0</v>
      </c>
      <c r="D1691">
        <v>23</v>
      </c>
      <c r="E1691">
        <v>0</v>
      </c>
      <c r="F1691">
        <v>1148</v>
      </c>
      <c r="G1691">
        <v>27</v>
      </c>
      <c r="H1691">
        <v>0</v>
      </c>
      <c r="I1691">
        <v>62</v>
      </c>
      <c r="J1691">
        <v>4</v>
      </c>
      <c r="K1691">
        <v>1</v>
      </c>
      <c r="L1691">
        <v>1</v>
      </c>
      <c r="M1691">
        <v>45</v>
      </c>
      <c r="N1691">
        <v>29.375</v>
      </c>
      <c r="O1691">
        <v>0</v>
      </c>
      <c r="P16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691" t="str">
        <f>IF(Table1[[#This Row],[Fraud_Score]]&gt;=6, "High Risk",IF(Table1[[#This Row],[Fraud_Score]]&gt;=3, "Medium Risk", "Low Risk"))</f>
        <v>Low Risk</v>
      </c>
      <c r="R1691">
        <f>IF(Table1[[#This Row],[Seconds of Use]]=0,0,Table1[[#This Row],[Customer Value]]/Table1[[#This Row],[Seconds of Use]]*100)</f>
        <v>2.5587979094076658</v>
      </c>
    </row>
    <row r="1692" spans="1:18" x14ac:dyDescent="0.35">
      <c r="A1692" s="3" t="s">
        <v>1713</v>
      </c>
      <c r="B1692">
        <v>6</v>
      </c>
      <c r="C1692">
        <v>0</v>
      </c>
      <c r="D1692">
        <v>24</v>
      </c>
      <c r="E1692">
        <v>0</v>
      </c>
      <c r="F1692">
        <v>280</v>
      </c>
      <c r="G1692">
        <v>13</v>
      </c>
      <c r="H1692">
        <v>0</v>
      </c>
      <c r="I1692">
        <v>1</v>
      </c>
      <c r="J1692">
        <v>2</v>
      </c>
      <c r="K1692">
        <v>1</v>
      </c>
      <c r="L1692">
        <v>2</v>
      </c>
      <c r="M1692">
        <v>25</v>
      </c>
      <c r="N1692">
        <v>13.185</v>
      </c>
      <c r="O1692">
        <v>0</v>
      </c>
      <c r="P16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92" t="str">
        <f>IF(Table1[[#This Row],[Fraud_Score]]&gt;=6, "High Risk",IF(Table1[[#This Row],[Fraud_Score]]&gt;=3, "Medium Risk", "Low Risk"))</f>
        <v>Low Risk</v>
      </c>
      <c r="R1692">
        <f>IF(Table1[[#This Row],[Seconds of Use]]=0,0,Table1[[#This Row],[Customer Value]]/Table1[[#This Row],[Seconds of Use]]*100)</f>
        <v>4.7089285714285714</v>
      </c>
    </row>
    <row r="1693" spans="1:18" x14ac:dyDescent="0.35">
      <c r="A1693" s="3" t="s">
        <v>1714</v>
      </c>
      <c r="B1693">
        <v>0</v>
      </c>
      <c r="C1693">
        <v>0</v>
      </c>
      <c r="D1693">
        <v>23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4</v>
      </c>
      <c r="K1693">
        <v>1</v>
      </c>
      <c r="L1693">
        <v>2</v>
      </c>
      <c r="M1693">
        <v>45</v>
      </c>
      <c r="N1693">
        <v>0</v>
      </c>
      <c r="O1693">
        <v>0</v>
      </c>
      <c r="P16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93" t="str">
        <f>IF(Table1[[#This Row],[Fraud_Score]]&gt;=6, "High Risk",IF(Table1[[#This Row],[Fraud_Score]]&gt;=3, "Medium Risk", "Low Risk"))</f>
        <v>Low Risk</v>
      </c>
      <c r="R1693">
        <f>IF(Table1[[#This Row],[Seconds of Use]]=0,0,Table1[[#This Row],[Customer Value]]/Table1[[#This Row],[Seconds of Use]]*100)</f>
        <v>0</v>
      </c>
    </row>
    <row r="1694" spans="1:18" x14ac:dyDescent="0.35">
      <c r="A1694" s="3" t="s">
        <v>1715</v>
      </c>
      <c r="B1694">
        <v>5</v>
      </c>
      <c r="C1694">
        <v>0</v>
      </c>
      <c r="D1694">
        <v>22</v>
      </c>
      <c r="E1694">
        <v>0</v>
      </c>
      <c r="F1694">
        <v>805</v>
      </c>
      <c r="G1694">
        <v>20</v>
      </c>
      <c r="H1694">
        <v>0</v>
      </c>
      <c r="I1694">
        <v>7</v>
      </c>
      <c r="J1694">
        <v>1</v>
      </c>
      <c r="K1694">
        <v>1</v>
      </c>
      <c r="L1694">
        <v>1</v>
      </c>
      <c r="M1694">
        <v>15</v>
      </c>
      <c r="N1694">
        <v>45.375</v>
      </c>
      <c r="O1694">
        <v>0</v>
      </c>
      <c r="P16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94" t="str">
        <f>IF(Table1[[#This Row],[Fraud_Score]]&gt;=6, "High Risk",IF(Table1[[#This Row],[Fraud_Score]]&gt;=3, "Medium Risk", "Low Risk"))</f>
        <v>Low Risk</v>
      </c>
      <c r="R1694">
        <f>IF(Table1[[#This Row],[Seconds of Use]]=0,0,Table1[[#This Row],[Customer Value]]/Table1[[#This Row],[Seconds of Use]]*100)</f>
        <v>5.6366459627329188</v>
      </c>
    </row>
    <row r="1695" spans="1:18" x14ac:dyDescent="0.35">
      <c r="A1695" s="3" t="s">
        <v>1716</v>
      </c>
      <c r="B1695">
        <v>0</v>
      </c>
      <c r="C1695">
        <v>0</v>
      </c>
      <c r="D1695">
        <v>22</v>
      </c>
      <c r="E1695">
        <v>0</v>
      </c>
      <c r="F1695">
        <v>2805</v>
      </c>
      <c r="G1695">
        <v>49</v>
      </c>
      <c r="H1695">
        <v>0</v>
      </c>
      <c r="I1695">
        <v>17</v>
      </c>
      <c r="J1695">
        <v>3</v>
      </c>
      <c r="K1695">
        <v>1</v>
      </c>
      <c r="L1695">
        <v>1</v>
      </c>
      <c r="M1695">
        <v>30</v>
      </c>
      <c r="N1695">
        <v>114.16</v>
      </c>
      <c r="O1695">
        <v>0</v>
      </c>
      <c r="P16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95" t="str">
        <f>IF(Table1[[#This Row],[Fraud_Score]]&gt;=6, "High Risk",IF(Table1[[#This Row],[Fraud_Score]]&gt;=3, "Medium Risk", "Low Risk"))</f>
        <v>Low Risk</v>
      </c>
      <c r="R1695">
        <f>IF(Table1[[#This Row],[Seconds of Use]]=0,0,Table1[[#This Row],[Customer Value]]/Table1[[#This Row],[Seconds of Use]]*100)</f>
        <v>4.0698752228163997</v>
      </c>
    </row>
    <row r="1696" spans="1:18" x14ac:dyDescent="0.35">
      <c r="A1696" s="3" t="s">
        <v>1717</v>
      </c>
      <c r="B1696">
        <v>0</v>
      </c>
      <c r="C1696">
        <v>0</v>
      </c>
      <c r="D1696">
        <v>15</v>
      </c>
      <c r="E1696">
        <v>0</v>
      </c>
      <c r="F1696">
        <v>1275</v>
      </c>
      <c r="G1696">
        <v>14</v>
      </c>
      <c r="H1696">
        <v>0</v>
      </c>
      <c r="I1696">
        <v>8</v>
      </c>
      <c r="J1696">
        <v>2</v>
      </c>
      <c r="K1696">
        <v>1</v>
      </c>
      <c r="L1696">
        <v>1</v>
      </c>
      <c r="M1696">
        <v>25</v>
      </c>
      <c r="N1696">
        <v>58.005000000000003</v>
      </c>
      <c r="O1696">
        <v>0</v>
      </c>
      <c r="P16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696" t="str">
        <f>IF(Table1[[#This Row],[Fraud_Score]]&gt;=6, "High Risk",IF(Table1[[#This Row],[Fraud_Score]]&gt;=3, "Medium Risk", "Low Risk"))</f>
        <v>Low Risk</v>
      </c>
      <c r="R1696">
        <f>IF(Table1[[#This Row],[Seconds of Use]]=0,0,Table1[[#This Row],[Customer Value]]/Table1[[#This Row],[Seconds of Use]]*100)</f>
        <v>4.5494117647058827</v>
      </c>
    </row>
    <row r="1697" spans="1:18" x14ac:dyDescent="0.35">
      <c r="A1697" s="3" t="s">
        <v>1718</v>
      </c>
      <c r="B1697">
        <v>11</v>
      </c>
      <c r="C1697">
        <v>0</v>
      </c>
      <c r="D1697">
        <v>14</v>
      </c>
      <c r="E1697">
        <v>0</v>
      </c>
      <c r="F1697">
        <v>5973</v>
      </c>
      <c r="G1697">
        <v>129</v>
      </c>
      <c r="H1697">
        <v>46</v>
      </c>
      <c r="I1697">
        <v>36</v>
      </c>
      <c r="J1697">
        <v>1</v>
      </c>
      <c r="K1697">
        <v>2</v>
      </c>
      <c r="L1697">
        <v>1</v>
      </c>
      <c r="M1697">
        <v>15</v>
      </c>
      <c r="N1697">
        <v>588.61</v>
      </c>
      <c r="O1697">
        <v>0</v>
      </c>
      <c r="P16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97" t="str">
        <f>IF(Table1[[#This Row],[Fraud_Score]]&gt;=6, "High Risk",IF(Table1[[#This Row],[Fraud_Score]]&gt;=3, "Medium Risk", "Low Risk"))</f>
        <v>Medium Risk</v>
      </c>
      <c r="R1697">
        <f>IF(Table1[[#This Row],[Seconds of Use]]=0,0,Table1[[#This Row],[Customer Value]]/Table1[[#This Row],[Seconds of Use]]*100)</f>
        <v>9.8545119705340696</v>
      </c>
    </row>
    <row r="1698" spans="1:18" x14ac:dyDescent="0.35">
      <c r="A1698" s="3" t="s">
        <v>1719</v>
      </c>
      <c r="B1698">
        <v>7</v>
      </c>
      <c r="C1698">
        <v>0</v>
      </c>
      <c r="D1698">
        <v>12</v>
      </c>
      <c r="E1698">
        <v>0</v>
      </c>
      <c r="F1698">
        <v>8513</v>
      </c>
      <c r="G1698">
        <v>159</v>
      </c>
      <c r="H1698">
        <v>34</v>
      </c>
      <c r="I1698">
        <v>34</v>
      </c>
      <c r="J1698">
        <v>4</v>
      </c>
      <c r="K1698">
        <v>1</v>
      </c>
      <c r="L1698">
        <v>1</v>
      </c>
      <c r="M1698">
        <v>45</v>
      </c>
      <c r="N1698">
        <v>301.8</v>
      </c>
      <c r="O1698">
        <v>0</v>
      </c>
      <c r="P16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698" t="str">
        <f>IF(Table1[[#This Row],[Fraud_Score]]&gt;=6, "High Risk",IF(Table1[[#This Row],[Fraud_Score]]&gt;=3, "Medium Risk", "Low Risk"))</f>
        <v>Medium Risk</v>
      </c>
      <c r="R1698">
        <f>IF(Table1[[#This Row],[Seconds of Use]]=0,0,Table1[[#This Row],[Customer Value]]/Table1[[#This Row],[Seconds of Use]]*100)</f>
        <v>3.5451662163749558</v>
      </c>
    </row>
    <row r="1699" spans="1:18" x14ac:dyDescent="0.35">
      <c r="A1699" s="3" t="s">
        <v>1720</v>
      </c>
      <c r="B1699">
        <v>3</v>
      </c>
      <c r="C1699">
        <v>0</v>
      </c>
      <c r="D1699">
        <v>13</v>
      </c>
      <c r="E1699">
        <v>1</v>
      </c>
      <c r="F1699">
        <v>2433</v>
      </c>
      <c r="G1699">
        <v>33</v>
      </c>
      <c r="H1699">
        <v>0</v>
      </c>
      <c r="I1699">
        <v>13</v>
      </c>
      <c r="J1699">
        <v>3</v>
      </c>
      <c r="K1699">
        <v>1</v>
      </c>
      <c r="L1699">
        <v>1</v>
      </c>
      <c r="M1699">
        <v>30</v>
      </c>
      <c r="N1699">
        <v>98.64</v>
      </c>
      <c r="O1699">
        <v>0</v>
      </c>
      <c r="P16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699" t="str">
        <f>IF(Table1[[#This Row],[Fraud_Score]]&gt;=6, "High Risk",IF(Table1[[#This Row],[Fraud_Score]]&gt;=3, "Medium Risk", "Low Risk"))</f>
        <v>Low Risk</v>
      </c>
      <c r="R1699">
        <f>IF(Table1[[#This Row],[Seconds of Use]]=0,0,Table1[[#This Row],[Customer Value]]/Table1[[#This Row],[Seconds of Use]]*100)</f>
        <v>4.0542540073982742</v>
      </c>
    </row>
    <row r="1700" spans="1:18" x14ac:dyDescent="0.35">
      <c r="A1700" s="3" t="s">
        <v>1721</v>
      </c>
      <c r="B1700">
        <v>0</v>
      </c>
      <c r="C1700">
        <v>0</v>
      </c>
      <c r="D1700">
        <v>6</v>
      </c>
      <c r="E1700">
        <v>0</v>
      </c>
      <c r="F1700">
        <v>3970</v>
      </c>
      <c r="G1700">
        <v>28</v>
      </c>
      <c r="H1700">
        <v>176</v>
      </c>
      <c r="I1700">
        <v>4</v>
      </c>
      <c r="J1700">
        <v>2</v>
      </c>
      <c r="K1700">
        <v>1</v>
      </c>
      <c r="L1700">
        <v>1</v>
      </c>
      <c r="M1700">
        <v>25</v>
      </c>
      <c r="N1700">
        <v>971.91</v>
      </c>
      <c r="O1700">
        <v>0</v>
      </c>
      <c r="P17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0" t="str">
        <f>IF(Table1[[#This Row],[Fraud_Score]]&gt;=6, "High Risk",IF(Table1[[#This Row],[Fraud_Score]]&gt;=3, "Medium Risk", "Low Risk"))</f>
        <v>Low Risk</v>
      </c>
      <c r="R1700">
        <f>IF(Table1[[#This Row],[Seconds of Use]]=0,0,Table1[[#This Row],[Customer Value]]/Table1[[#This Row],[Seconds of Use]]*100)</f>
        <v>24.481360201511336</v>
      </c>
    </row>
    <row r="1701" spans="1:18" x14ac:dyDescent="0.35">
      <c r="A1701" s="3" t="s">
        <v>1722</v>
      </c>
      <c r="B1701">
        <v>0</v>
      </c>
      <c r="C1701">
        <v>1</v>
      </c>
      <c r="D1701">
        <v>6</v>
      </c>
      <c r="E1701">
        <v>0</v>
      </c>
      <c r="F1701">
        <v>1068</v>
      </c>
      <c r="G1701">
        <v>7</v>
      </c>
      <c r="H1701">
        <v>0</v>
      </c>
      <c r="I1701">
        <v>1</v>
      </c>
      <c r="J1701">
        <v>2</v>
      </c>
      <c r="K1701">
        <v>1</v>
      </c>
      <c r="L1701">
        <v>1</v>
      </c>
      <c r="M1701">
        <v>25</v>
      </c>
      <c r="N1701">
        <v>48.375</v>
      </c>
      <c r="O1701">
        <v>1</v>
      </c>
      <c r="P17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01" t="str">
        <f>IF(Table1[[#This Row],[Fraud_Score]]&gt;=6, "High Risk",IF(Table1[[#This Row],[Fraud_Score]]&gt;=3, "Medium Risk", "Low Risk"))</f>
        <v>Medium Risk</v>
      </c>
      <c r="R1701">
        <f>IF(Table1[[#This Row],[Seconds of Use]]=0,0,Table1[[#This Row],[Customer Value]]/Table1[[#This Row],[Seconds of Use]]*100)</f>
        <v>4.529494382022472</v>
      </c>
    </row>
    <row r="1702" spans="1:18" x14ac:dyDescent="0.35">
      <c r="A1702" s="3" t="s">
        <v>1723</v>
      </c>
      <c r="B1702">
        <v>5</v>
      </c>
      <c r="C1702">
        <v>0</v>
      </c>
      <c r="D1702">
        <v>36</v>
      </c>
      <c r="E1702">
        <v>0</v>
      </c>
      <c r="F1702">
        <v>4255</v>
      </c>
      <c r="G1702">
        <v>66</v>
      </c>
      <c r="H1702">
        <v>7</v>
      </c>
      <c r="I1702">
        <v>18</v>
      </c>
      <c r="J1702">
        <v>2</v>
      </c>
      <c r="K1702">
        <v>1</v>
      </c>
      <c r="L1702">
        <v>1</v>
      </c>
      <c r="M1702">
        <v>25</v>
      </c>
      <c r="N1702">
        <v>225.94499999999999</v>
      </c>
      <c r="O1702">
        <v>0</v>
      </c>
      <c r="P17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2" t="str">
        <f>IF(Table1[[#This Row],[Fraud_Score]]&gt;=6, "High Risk",IF(Table1[[#This Row],[Fraud_Score]]&gt;=3, "Medium Risk", "Low Risk"))</f>
        <v>Low Risk</v>
      </c>
      <c r="R1702">
        <f>IF(Table1[[#This Row],[Seconds of Use]]=0,0,Table1[[#This Row],[Customer Value]]/Table1[[#This Row],[Seconds of Use]]*100)</f>
        <v>5.3101057579318445</v>
      </c>
    </row>
    <row r="1703" spans="1:18" x14ac:dyDescent="0.35">
      <c r="A1703" s="3" t="s">
        <v>1724</v>
      </c>
      <c r="B1703">
        <v>0</v>
      </c>
      <c r="C1703">
        <v>0</v>
      </c>
      <c r="D1703">
        <v>37</v>
      </c>
      <c r="E1703">
        <v>0</v>
      </c>
      <c r="F1703">
        <v>0</v>
      </c>
      <c r="G1703">
        <v>0</v>
      </c>
      <c r="H1703">
        <v>9</v>
      </c>
      <c r="I1703">
        <v>0</v>
      </c>
      <c r="J1703">
        <v>2</v>
      </c>
      <c r="K1703">
        <v>1</v>
      </c>
      <c r="L1703">
        <v>2</v>
      </c>
      <c r="M1703">
        <v>25</v>
      </c>
      <c r="N1703">
        <v>40.5</v>
      </c>
      <c r="O1703">
        <v>0</v>
      </c>
      <c r="P17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3" t="str">
        <f>IF(Table1[[#This Row],[Fraud_Score]]&gt;=6, "High Risk",IF(Table1[[#This Row],[Fraud_Score]]&gt;=3, "Medium Risk", "Low Risk"))</f>
        <v>Low Risk</v>
      </c>
      <c r="R1703">
        <f>IF(Table1[[#This Row],[Seconds of Use]]=0,0,Table1[[#This Row],[Customer Value]]/Table1[[#This Row],[Seconds of Use]]*100)</f>
        <v>0</v>
      </c>
    </row>
    <row r="1704" spans="1:18" x14ac:dyDescent="0.35">
      <c r="A1704" s="3" t="s">
        <v>1725</v>
      </c>
      <c r="B1704">
        <v>7</v>
      </c>
      <c r="C1704">
        <v>0</v>
      </c>
      <c r="D1704">
        <v>35</v>
      </c>
      <c r="E1704">
        <v>0</v>
      </c>
      <c r="F1704">
        <v>2338</v>
      </c>
      <c r="G1704">
        <v>55</v>
      </c>
      <c r="H1704">
        <v>361</v>
      </c>
      <c r="I1704">
        <v>25</v>
      </c>
      <c r="J1704">
        <v>2</v>
      </c>
      <c r="K1704">
        <v>1</v>
      </c>
      <c r="L1704">
        <v>1</v>
      </c>
      <c r="M1704">
        <v>25</v>
      </c>
      <c r="N1704">
        <v>1732.1849999999999</v>
      </c>
      <c r="O1704">
        <v>0</v>
      </c>
      <c r="P17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4" t="str">
        <f>IF(Table1[[#This Row],[Fraud_Score]]&gt;=6, "High Risk",IF(Table1[[#This Row],[Fraud_Score]]&gt;=3, "Medium Risk", "Low Risk"))</f>
        <v>Low Risk</v>
      </c>
      <c r="R1704">
        <f>IF(Table1[[#This Row],[Seconds of Use]]=0,0,Table1[[#This Row],[Customer Value]]/Table1[[#This Row],[Seconds of Use]]*100)</f>
        <v>74.088323353293404</v>
      </c>
    </row>
    <row r="1705" spans="1:18" x14ac:dyDescent="0.35">
      <c r="A1705" s="3" t="s">
        <v>1726</v>
      </c>
      <c r="B1705">
        <v>7</v>
      </c>
      <c r="C1705">
        <v>0</v>
      </c>
      <c r="D1705">
        <v>36</v>
      </c>
      <c r="E1705">
        <v>0</v>
      </c>
      <c r="F1705">
        <v>4083</v>
      </c>
      <c r="G1705">
        <v>61</v>
      </c>
      <c r="H1705">
        <v>3</v>
      </c>
      <c r="I1705">
        <v>36</v>
      </c>
      <c r="J1705">
        <v>1</v>
      </c>
      <c r="K1705">
        <v>1</v>
      </c>
      <c r="L1705">
        <v>1</v>
      </c>
      <c r="M1705">
        <v>15</v>
      </c>
      <c r="N1705">
        <v>244.42</v>
      </c>
      <c r="O1705">
        <v>0</v>
      </c>
      <c r="P17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5" t="str">
        <f>IF(Table1[[#This Row],[Fraud_Score]]&gt;=6, "High Risk",IF(Table1[[#This Row],[Fraud_Score]]&gt;=3, "Medium Risk", "Low Risk"))</f>
        <v>Low Risk</v>
      </c>
      <c r="R1705">
        <f>IF(Table1[[#This Row],[Seconds of Use]]=0,0,Table1[[#This Row],[Customer Value]]/Table1[[#This Row],[Seconds of Use]]*100)</f>
        <v>5.9862845946607877</v>
      </c>
    </row>
    <row r="1706" spans="1:18" x14ac:dyDescent="0.35">
      <c r="A1706" s="3" t="s">
        <v>1727</v>
      </c>
      <c r="B1706">
        <v>0</v>
      </c>
      <c r="C1706">
        <v>0</v>
      </c>
      <c r="D1706">
        <v>36</v>
      </c>
      <c r="E1706">
        <v>0</v>
      </c>
      <c r="F1706">
        <v>2278</v>
      </c>
      <c r="G1706">
        <v>53</v>
      </c>
      <c r="H1706">
        <v>4</v>
      </c>
      <c r="I1706">
        <v>34</v>
      </c>
      <c r="J1706">
        <v>1</v>
      </c>
      <c r="K1706">
        <v>1</v>
      </c>
      <c r="L1706">
        <v>1</v>
      </c>
      <c r="M1706">
        <v>15</v>
      </c>
      <c r="N1706">
        <v>150.20500000000001</v>
      </c>
      <c r="O1706">
        <v>0</v>
      </c>
      <c r="P17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6" t="str">
        <f>IF(Table1[[#This Row],[Fraud_Score]]&gt;=6, "High Risk",IF(Table1[[#This Row],[Fraud_Score]]&gt;=3, "Medium Risk", "Low Risk"))</f>
        <v>Low Risk</v>
      </c>
      <c r="R1706">
        <f>IF(Table1[[#This Row],[Seconds of Use]]=0,0,Table1[[#This Row],[Customer Value]]/Table1[[#This Row],[Seconds of Use]]*100)</f>
        <v>6.5937225636523262</v>
      </c>
    </row>
    <row r="1707" spans="1:18" x14ac:dyDescent="0.35">
      <c r="A1707" s="3" t="s">
        <v>1728</v>
      </c>
      <c r="B1707">
        <v>8</v>
      </c>
      <c r="C1707">
        <v>0</v>
      </c>
      <c r="D1707">
        <v>36</v>
      </c>
      <c r="E1707">
        <v>0</v>
      </c>
      <c r="F1707">
        <v>3660</v>
      </c>
      <c r="G1707">
        <v>77</v>
      </c>
      <c r="H1707">
        <v>34</v>
      </c>
      <c r="I1707">
        <v>29</v>
      </c>
      <c r="J1707">
        <v>2</v>
      </c>
      <c r="K1707">
        <v>1</v>
      </c>
      <c r="L1707">
        <v>1</v>
      </c>
      <c r="M1707">
        <v>25</v>
      </c>
      <c r="N1707">
        <v>321.16500000000002</v>
      </c>
      <c r="O1707">
        <v>0</v>
      </c>
      <c r="P17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7" t="str">
        <f>IF(Table1[[#This Row],[Fraud_Score]]&gt;=6, "High Risk",IF(Table1[[#This Row],[Fraud_Score]]&gt;=3, "Medium Risk", "Low Risk"))</f>
        <v>Low Risk</v>
      </c>
      <c r="R1707">
        <f>IF(Table1[[#This Row],[Seconds of Use]]=0,0,Table1[[#This Row],[Customer Value]]/Table1[[#This Row],[Seconds of Use]]*100)</f>
        <v>8.7750000000000004</v>
      </c>
    </row>
    <row r="1708" spans="1:18" x14ac:dyDescent="0.35">
      <c r="A1708" s="3" t="s">
        <v>1729</v>
      </c>
      <c r="B1708">
        <v>1</v>
      </c>
      <c r="C1708">
        <v>0</v>
      </c>
      <c r="D1708">
        <v>36</v>
      </c>
      <c r="E1708">
        <v>0</v>
      </c>
      <c r="F1708">
        <v>2245</v>
      </c>
      <c r="G1708">
        <v>34</v>
      </c>
      <c r="H1708">
        <v>287</v>
      </c>
      <c r="I1708">
        <v>19</v>
      </c>
      <c r="J1708">
        <v>3</v>
      </c>
      <c r="K1708">
        <v>1</v>
      </c>
      <c r="L1708">
        <v>1</v>
      </c>
      <c r="M1708">
        <v>30</v>
      </c>
      <c r="N1708">
        <v>1239.1600000000001</v>
      </c>
      <c r="O1708">
        <v>0</v>
      </c>
      <c r="P17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08" t="str">
        <f>IF(Table1[[#This Row],[Fraud_Score]]&gt;=6, "High Risk",IF(Table1[[#This Row],[Fraud_Score]]&gt;=3, "Medium Risk", "Low Risk"))</f>
        <v>Low Risk</v>
      </c>
      <c r="R1708">
        <f>IF(Table1[[#This Row],[Seconds of Use]]=0,0,Table1[[#This Row],[Customer Value]]/Table1[[#This Row],[Seconds of Use]]*100)</f>
        <v>55.196436525612484</v>
      </c>
    </row>
    <row r="1709" spans="1:18" x14ac:dyDescent="0.35">
      <c r="A1709" s="3" t="s">
        <v>1730</v>
      </c>
      <c r="B1709">
        <v>10</v>
      </c>
      <c r="C1709">
        <v>0</v>
      </c>
      <c r="D1709">
        <v>35</v>
      </c>
      <c r="E1709">
        <v>1</v>
      </c>
      <c r="F1709">
        <v>9000</v>
      </c>
      <c r="G1709">
        <v>116</v>
      </c>
      <c r="H1709">
        <v>146</v>
      </c>
      <c r="I1709">
        <v>44</v>
      </c>
      <c r="J1709">
        <v>3</v>
      </c>
      <c r="K1709">
        <v>1</v>
      </c>
      <c r="L1709">
        <v>1</v>
      </c>
      <c r="M1709">
        <v>30</v>
      </c>
      <c r="N1709">
        <v>948.64</v>
      </c>
      <c r="O1709">
        <v>0</v>
      </c>
      <c r="P17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09" t="str">
        <f>IF(Table1[[#This Row],[Fraud_Score]]&gt;=6, "High Risk",IF(Table1[[#This Row],[Fraud_Score]]&gt;=3, "Medium Risk", "Low Risk"))</f>
        <v>Low Risk</v>
      </c>
      <c r="R1709">
        <f>IF(Table1[[#This Row],[Seconds of Use]]=0,0,Table1[[#This Row],[Customer Value]]/Table1[[#This Row],[Seconds of Use]]*100)</f>
        <v>10.540444444444445</v>
      </c>
    </row>
    <row r="1710" spans="1:18" x14ac:dyDescent="0.35">
      <c r="A1710" s="3" t="s">
        <v>1731</v>
      </c>
      <c r="B1710">
        <v>4</v>
      </c>
      <c r="C1710">
        <v>0</v>
      </c>
      <c r="D1710">
        <v>36</v>
      </c>
      <c r="E1710">
        <v>0</v>
      </c>
      <c r="F1710">
        <v>13658</v>
      </c>
      <c r="G1710">
        <v>164</v>
      </c>
      <c r="H1710">
        <v>2</v>
      </c>
      <c r="I1710">
        <v>45</v>
      </c>
      <c r="J1710">
        <v>3</v>
      </c>
      <c r="K1710">
        <v>1</v>
      </c>
      <c r="L1710">
        <v>1</v>
      </c>
      <c r="M1710">
        <v>30</v>
      </c>
      <c r="N1710">
        <v>560.88</v>
      </c>
      <c r="O1710">
        <v>0</v>
      </c>
      <c r="P17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10" t="str">
        <f>IF(Table1[[#This Row],[Fraud_Score]]&gt;=6, "High Risk",IF(Table1[[#This Row],[Fraud_Score]]&gt;=3, "Medium Risk", "Low Risk"))</f>
        <v>Medium Risk</v>
      </c>
      <c r="R1710">
        <f>IF(Table1[[#This Row],[Seconds of Use]]=0,0,Table1[[#This Row],[Customer Value]]/Table1[[#This Row],[Seconds of Use]]*100)</f>
        <v>4.1066041880216719</v>
      </c>
    </row>
    <row r="1711" spans="1:18" x14ac:dyDescent="0.35">
      <c r="A1711" s="3" t="s">
        <v>1732</v>
      </c>
      <c r="B1711">
        <v>4</v>
      </c>
      <c r="C1711">
        <v>0</v>
      </c>
      <c r="D1711">
        <v>36</v>
      </c>
      <c r="E1711">
        <v>0</v>
      </c>
      <c r="F1711">
        <v>4400</v>
      </c>
      <c r="G1711">
        <v>78</v>
      </c>
      <c r="H1711">
        <v>4</v>
      </c>
      <c r="I1711">
        <v>26</v>
      </c>
      <c r="J1711">
        <v>3</v>
      </c>
      <c r="K1711">
        <v>1</v>
      </c>
      <c r="L1711">
        <v>1</v>
      </c>
      <c r="M1711">
        <v>30</v>
      </c>
      <c r="N1711">
        <v>195.12</v>
      </c>
      <c r="O1711">
        <v>0</v>
      </c>
      <c r="P17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11" t="str">
        <f>IF(Table1[[#This Row],[Fraud_Score]]&gt;=6, "High Risk",IF(Table1[[#This Row],[Fraud_Score]]&gt;=3, "Medium Risk", "Low Risk"))</f>
        <v>Low Risk</v>
      </c>
      <c r="R1711">
        <f>IF(Table1[[#This Row],[Seconds of Use]]=0,0,Table1[[#This Row],[Customer Value]]/Table1[[#This Row],[Seconds of Use]]*100)</f>
        <v>4.4345454545454546</v>
      </c>
    </row>
    <row r="1712" spans="1:18" x14ac:dyDescent="0.35">
      <c r="A1712" s="3" t="s">
        <v>1733</v>
      </c>
      <c r="B1712">
        <v>3</v>
      </c>
      <c r="C1712">
        <v>0</v>
      </c>
      <c r="D1712">
        <v>36</v>
      </c>
      <c r="E1712">
        <v>0</v>
      </c>
      <c r="F1712">
        <v>5803</v>
      </c>
      <c r="G1712">
        <v>90</v>
      </c>
      <c r="H1712">
        <v>9</v>
      </c>
      <c r="I1712">
        <v>13</v>
      </c>
      <c r="J1712">
        <v>2</v>
      </c>
      <c r="K1712">
        <v>1</v>
      </c>
      <c r="L1712">
        <v>1</v>
      </c>
      <c r="M1712">
        <v>25</v>
      </c>
      <c r="N1712">
        <v>305.685</v>
      </c>
      <c r="O1712">
        <v>0</v>
      </c>
      <c r="P17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12" t="str">
        <f>IF(Table1[[#This Row],[Fraud_Score]]&gt;=6, "High Risk",IF(Table1[[#This Row],[Fraud_Score]]&gt;=3, "Medium Risk", "Low Risk"))</f>
        <v>Low Risk</v>
      </c>
      <c r="R1712">
        <f>IF(Table1[[#This Row],[Seconds of Use]]=0,0,Table1[[#This Row],[Customer Value]]/Table1[[#This Row],[Seconds of Use]]*100)</f>
        <v>5.2677063587799413</v>
      </c>
    </row>
    <row r="1713" spans="1:18" x14ac:dyDescent="0.35">
      <c r="A1713" s="3" t="s">
        <v>1734</v>
      </c>
      <c r="B1713">
        <v>6</v>
      </c>
      <c r="C1713">
        <v>1</v>
      </c>
      <c r="D1713">
        <v>36</v>
      </c>
      <c r="E1713">
        <v>0</v>
      </c>
      <c r="F1713">
        <v>2123</v>
      </c>
      <c r="G1713">
        <v>49</v>
      </c>
      <c r="H1713">
        <v>10</v>
      </c>
      <c r="I1713">
        <v>18</v>
      </c>
      <c r="J1713">
        <v>3</v>
      </c>
      <c r="K1713">
        <v>1</v>
      </c>
      <c r="L1713">
        <v>2</v>
      </c>
      <c r="M1713">
        <v>30</v>
      </c>
      <c r="N1713">
        <v>126.88</v>
      </c>
      <c r="O1713">
        <v>0</v>
      </c>
      <c r="P17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13" t="str">
        <f>IF(Table1[[#This Row],[Fraud_Score]]&gt;=6, "High Risk",IF(Table1[[#This Row],[Fraud_Score]]&gt;=3, "Medium Risk", "Low Risk"))</f>
        <v>Medium Risk</v>
      </c>
      <c r="R1713">
        <f>IF(Table1[[#This Row],[Seconds of Use]]=0,0,Table1[[#This Row],[Customer Value]]/Table1[[#This Row],[Seconds of Use]]*100)</f>
        <v>5.9764484220442764</v>
      </c>
    </row>
    <row r="1714" spans="1:18" x14ac:dyDescent="0.35">
      <c r="A1714" s="3" t="s">
        <v>1735</v>
      </c>
      <c r="B1714">
        <v>22</v>
      </c>
      <c r="C1714">
        <v>0</v>
      </c>
      <c r="D1714">
        <v>36</v>
      </c>
      <c r="E1714">
        <v>2</v>
      </c>
      <c r="F1714">
        <v>15025</v>
      </c>
      <c r="G1714">
        <v>220</v>
      </c>
      <c r="H1714">
        <v>56</v>
      </c>
      <c r="I1714">
        <v>33</v>
      </c>
      <c r="J1714">
        <v>3</v>
      </c>
      <c r="K1714">
        <v>1</v>
      </c>
      <c r="L1714">
        <v>1</v>
      </c>
      <c r="M1714">
        <v>30</v>
      </c>
      <c r="N1714">
        <v>833.8</v>
      </c>
      <c r="O1714">
        <v>0</v>
      </c>
      <c r="P17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714" t="str">
        <f>IF(Table1[[#This Row],[Fraud_Score]]&gt;=6, "High Risk",IF(Table1[[#This Row],[Fraud_Score]]&gt;=3, "Medium Risk", "Low Risk"))</f>
        <v>Medium Risk</v>
      </c>
      <c r="R1714">
        <f>IF(Table1[[#This Row],[Seconds of Use]]=0,0,Table1[[#This Row],[Customer Value]]/Table1[[#This Row],[Seconds of Use]]*100)</f>
        <v>5.5494176372712145</v>
      </c>
    </row>
    <row r="1715" spans="1:18" x14ac:dyDescent="0.35">
      <c r="A1715" s="3" t="s">
        <v>1736</v>
      </c>
      <c r="B1715">
        <v>1</v>
      </c>
      <c r="C1715">
        <v>0</v>
      </c>
      <c r="D1715">
        <v>36</v>
      </c>
      <c r="E1715">
        <v>0</v>
      </c>
      <c r="F1715">
        <v>2980</v>
      </c>
      <c r="G1715">
        <v>22</v>
      </c>
      <c r="H1715">
        <v>485</v>
      </c>
      <c r="I1715">
        <v>9</v>
      </c>
      <c r="J1715">
        <v>3</v>
      </c>
      <c r="K1715">
        <v>1</v>
      </c>
      <c r="L1715">
        <v>1</v>
      </c>
      <c r="M1715">
        <v>30</v>
      </c>
      <c r="N1715">
        <v>2060.08</v>
      </c>
      <c r="O1715">
        <v>0</v>
      </c>
      <c r="P17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15" t="str">
        <f>IF(Table1[[#This Row],[Fraud_Score]]&gt;=6, "High Risk",IF(Table1[[#This Row],[Fraud_Score]]&gt;=3, "Medium Risk", "Low Risk"))</f>
        <v>Low Risk</v>
      </c>
      <c r="R1715">
        <f>IF(Table1[[#This Row],[Seconds of Use]]=0,0,Table1[[#This Row],[Customer Value]]/Table1[[#This Row],[Seconds of Use]]*100)</f>
        <v>69.130201342281879</v>
      </c>
    </row>
    <row r="1716" spans="1:18" x14ac:dyDescent="0.35">
      <c r="A1716" s="3" t="s">
        <v>1737</v>
      </c>
      <c r="B1716">
        <v>6</v>
      </c>
      <c r="C1716">
        <v>0</v>
      </c>
      <c r="D1716">
        <v>35</v>
      </c>
      <c r="E1716">
        <v>0</v>
      </c>
      <c r="F1716">
        <v>15370</v>
      </c>
      <c r="G1716">
        <v>177</v>
      </c>
      <c r="H1716">
        <v>152</v>
      </c>
      <c r="I1716">
        <v>31</v>
      </c>
      <c r="J1716">
        <v>2</v>
      </c>
      <c r="K1716">
        <v>1</v>
      </c>
      <c r="L1716">
        <v>1</v>
      </c>
      <c r="M1716">
        <v>25</v>
      </c>
      <c r="N1716">
        <v>1383.615</v>
      </c>
      <c r="O1716">
        <v>0</v>
      </c>
      <c r="P17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16" t="str">
        <f>IF(Table1[[#This Row],[Fraud_Score]]&gt;=6, "High Risk",IF(Table1[[#This Row],[Fraud_Score]]&gt;=3, "Medium Risk", "Low Risk"))</f>
        <v>Medium Risk</v>
      </c>
      <c r="R1716">
        <f>IF(Table1[[#This Row],[Seconds of Use]]=0,0,Table1[[#This Row],[Customer Value]]/Table1[[#This Row],[Seconds of Use]]*100)</f>
        <v>9.0020494469746257</v>
      </c>
    </row>
    <row r="1717" spans="1:18" x14ac:dyDescent="0.35">
      <c r="A1717" s="3" t="s">
        <v>1738</v>
      </c>
      <c r="B1717">
        <v>0</v>
      </c>
      <c r="C1717">
        <v>0</v>
      </c>
      <c r="D1717">
        <v>35</v>
      </c>
      <c r="E1717">
        <v>0</v>
      </c>
      <c r="F1717">
        <v>6385</v>
      </c>
      <c r="G1717">
        <v>81</v>
      </c>
      <c r="H1717">
        <v>188</v>
      </c>
      <c r="I1717">
        <v>27</v>
      </c>
      <c r="J1717">
        <v>3</v>
      </c>
      <c r="K1717">
        <v>1</v>
      </c>
      <c r="L1717">
        <v>1</v>
      </c>
      <c r="M1717">
        <v>30</v>
      </c>
      <c r="N1717">
        <v>1010.64</v>
      </c>
      <c r="O1717">
        <v>0</v>
      </c>
      <c r="P17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17" t="str">
        <f>IF(Table1[[#This Row],[Fraud_Score]]&gt;=6, "High Risk",IF(Table1[[#This Row],[Fraud_Score]]&gt;=3, "Medium Risk", "Low Risk"))</f>
        <v>Low Risk</v>
      </c>
      <c r="R1717">
        <f>IF(Table1[[#This Row],[Seconds of Use]]=0,0,Table1[[#This Row],[Customer Value]]/Table1[[#This Row],[Seconds of Use]]*100)</f>
        <v>15.828347689898198</v>
      </c>
    </row>
    <row r="1718" spans="1:18" x14ac:dyDescent="0.35">
      <c r="A1718" s="3" t="s">
        <v>1739</v>
      </c>
      <c r="B1718">
        <v>0</v>
      </c>
      <c r="C1718">
        <v>0</v>
      </c>
      <c r="D1718">
        <v>35</v>
      </c>
      <c r="E1718">
        <v>0</v>
      </c>
      <c r="F1718">
        <v>760</v>
      </c>
      <c r="G1718">
        <v>9</v>
      </c>
      <c r="H1718">
        <v>2</v>
      </c>
      <c r="I1718">
        <v>12</v>
      </c>
      <c r="J1718">
        <v>2</v>
      </c>
      <c r="K1718">
        <v>1</v>
      </c>
      <c r="L1718">
        <v>2</v>
      </c>
      <c r="M1718">
        <v>25</v>
      </c>
      <c r="N1718">
        <v>43.604999999999997</v>
      </c>
      <c r="O1718">
        <v>0</v>
      </c>
      <c r="P17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18" t="str">
        <f>IF(Table1[[#This Row],[Fraud_Score]]&gt;=6, "High Risk",IF(Table1[[#This Row],[Fraud_Score]]&gt;=3, "Medium Risk", "Low Risk"))</f>
        <v>Low Risk</v>
      </c>
      <c r="R1718">
        <f>IF(Table1[[#This Row],[Seconds of Use]]=0,0,Table1[[#This Row],[Customer Value]]/Table1[[#This Row],[Seconds of Use]]*100)</f>
        <v>5.7374999999999998</v>
      </c>
    </row>
    <row r="1719" spans="1:18" x14ac:dyDescent="0.35">
      <c r="A1719" s="3" t="s">
        <v>1740</v>
      </c>
      <c r="B1719">
        <v>0</v>
      </c>
      <c r="C1719">
        <v>0</v>
      </c>
      <c r="D1719">
        <v>36</v>
      </c>
      <c r="E1719">
        <v>0</v>
      </c>
      <c r="F1719">
        <v>595</v>
      </c>
      <c r="G1719">
        <v>9</v>
      </c>
      <c r="H1719">
        <v>15</v>
      </c>
      <c r="I1719">
        <v>9</v>
      </c>
      <c r="J1719">
        <v>2</v>
      </c>
      <c r="K1719">
        <v>1</v>
      </c>
      <c r="L1719">
        <v>2</v>
      </c>
      <c r="M1719">
        <v>25</v>
      </c>
      <c r="N1719">
        <v>94.68</v>
      </c>
      <c r="O1719">
        <v>0</v>
      </c>
      <c r="P17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19" t="str">
        <f>IF(Table1[[#This Row],[Fraud_Score]]&gt;=6, "High Risk",IF(Table1[[#This Row],[Fraud_Score]]&gt;=3, "Medium Risk", "Low Risk"))</f>
        <v>Low Risk</v>
      </c>
      <c r="R1719">
        <f>IF(Table1[[#This Row],[Seconds of Use]]=0,0,Table1[[#This Row],[Customer Value]]/Table1[[#This Row],[Seconds of Use]]*100)</f>
        <v>15.912605042016809</v>
      </c>
    </row>
    <row r="1720" spans="1:18" x14ac:dyDescent="0.35">
      <c r="A1720" s="3" t="s">
        <v>1741</v>
      </c>
      <c r="B1720">
        <v>0</v>
      </c>
      <c r="C1720">
        <v>0</v>
      </c>
      <c r="D1720">
        <v>35</v>
      </c>
      <c r="E1720">
        <v>0</v>
      </c>
      <c r="F1720">
        <v>0</v>
      </c>
      <c r="G1720">
        <v>0</v>
      </c>
      <c r="H1720">
        <v>2</v>
      </c>
      <c r="I1720">
        <v>0</v>
      </c>
      <c r="J1720">
        <v>2</v>
      </c>
      <c r="K1720">
        <v>1</v>
      </c>
      <c r="L1720">
        <v>2</v>
      </c>
      <c r="M1720">
        <v>25</v>
      </c>
      <c r="N1720">
        <v>9</v>
      </c>
      <c r="O1720">
        <v>1</v>
      </c>
      <c r="P17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20" t="str">
        <f>IF(Table1[[#This Row],[Fraud_Score]]&gt;=6, "High Risk",IF(Table1[[#This Row],[Fraud_Score]]&gt;=3, "Medium Risk", "Low Risk"))</f>
        <v>Low Risk</v>
      </c>
      <c r="R1720">
        <f>IF(Table1[[#This Row],[Seconds of Use]]=0,0,Table1[[#This Row],[Customer Value]]/Table1[[#This Row],[Seconds of Use]]*100)</f>
        <v>0</v>
      </c>
    </row>
    <row r="1721" spans="1:18" x14ac:dyDescent="0.35">
      <c r="A1721" s="3" t="s">
        <v>1742</v>
      </c>
      <c r="B1721">
        <v>0</v>
      </c>
      <c r="C1721">
        <v>0</v>
      </c>
      <c r="D1721">
        <v>35</v>
      </c>
      <c r="E1721">
        <v>0</v>
      </c>
      <c r="F1721">
        <v>7393</v>
      </c>
      <c r="G1721">
        <v>122</v>
      </c>
      <c r="H1721">
        <v>386</v>
      </c>
      <c r="I1721">
        <v>44</v>
      </c>
      <c r="J1721">
        <v>2</v>
      </c>
      <c r="K1721">
        <v>1</v>
      </c>
      <c r="L1721">
        <v>1</v>
      </c>
      <c r="M1721">
        <v>25</v>
      </c>
      <c r="N1721">
        <v>2075.1750000000002</v>
      </c>
      <c r="O1721">
        <v>0</v>
      </c>
      <c r="P17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21" t="str">
        <f>IF(Table1[[#This Row],[Fraud_Score]]&gt;=6, "High Risk",IF(Table1[[#This Row],[Fraud_Score]]&gt;=3, "Medium Risk", "Low Risk"))</f>
        <v>Low Risk</v>
      </c>
      <c r="R1721">
        <f>IF(Table1[[#This Row],[Seconds of Use]]=0,0,Table1[[#This Row],[Customer Value]]/Table1[[#This Row],[Seconds of Use]]*100)</f>
        <v>28.069457595022325</v>
      </c>
    </row>
    <row r="1722" spans="1:18" x14ac:dyDescent="0.35">
      <c r="A1722" s="3" t="s">
        <v>1743</v>
      </c>
      <c r="B1722">
        <v>4</v>
      </c>
      <c r="C1722">
        <v>0</v>
      </c>
      <c r="D1722">
        <v>35</v>
      </c>
      <c r="E1722">
        <v>0</v>
      </c>
      <c r="F1722">
        <v>11350</v>
      </c>
      <c r="G1722">
        <v>149</v>
      </c>
      <c r="H1722">
        <v>13</v>
      </c>
      <c r="I1722">
        <v>48</v>
      </c>
      <c r="J1722">
        <v>3</v>
      </c>
      <c r="K1722">
        <v>1</v>
      </c>
      <c r="L1722">
        <v>1</v>
      </c>
      <c r="M1722">
        <v>30</v>
      </c>
      <c r="N1722">
        <v>511.96</v>
      </c>
      <c r="O1722">
        <v>0</v>
      </c>
      <c r="P17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722" t="str">
        <f>IF(Table1[[#This Row],[Fraud_Score]]&gt;=6, "High Risk",IF(Table1[[#This Row],[Fraud_Score]]&gt;=3, "Medium Risk", "Low Risk"))</f>
        <v>Medium Risk</v>
      </c>
      <c r="R1722">
        <f>IF(Table1[[#This Row],[Seconds of Use]]=0,0,Table1[[#This Row],[Customer Value]]/Table1[[#This Row],[Seconds of Use]]*100)</f>
        <v>4.5106607929515414</v>
      </c>
    </row>
    <row r="1723" spans="1:18" x14ac:dyDescent="0.35">
      <c r="A1723" s="3" t="s">
        <v>1744</v>
      </c>
      <c r="B1723">
        <v>5</v>
      </c>
      <c r="C1723">
        <v>0</v>
      </c>
      <c r="D1723">
        <v>35</v>
      </c>
      <c r="E1723">
        <v>0</v>
      </c>
      <c r="F1723">
        <v>6603</v>
      </c>
      <c r="G1723">
        <v>70</v>
      </c>
      <c r="H1723">
        <v>110</v>
      </c>
      <c r="I1723">
        <v>38</v>
      </c>
      <c r="J1723">
        <v>2</v>
      </c>
      <c r="K1723">
        <v>1</v>
      </c>
      <c r="L1723">
        <v>1</v>
      </c>
      <c r="M1723">
        <v>25</v>
      </c>
      <c r="N1723">
        <v>795.28499999999997</v>
      </c>
      <c r="O1723">
        <v>0</v>
      </c>
      <c r="P17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23" t="str">
        <f>IF(Table1[[#This Row],[Fraud_Score]]&gt;=6, "High Risk",IF(Table1[[#This Row],[Fraud_Score]]&gt;=3, "Medium Risk", "Low Risk"))</f>
        <v>Low Risk</v>
      </c>
      <c r="R1723">
        <f>IF(Table1[[#This Row],[Seconds of Use]]=0,0,Table1[[#This Row],[Customer Value]]/Table1[[#This Row],[Seconds of Use]]*100)</f>
        <v>12.04429804634257</v>
      </c>
    </row>
    <row r="1724" spans="1:18" x14ac:dyDescent="0.35">
      <c r="A1724" s="3" t="s">
        <v>1745</v>
      </c>
      <c r="B1724">
        <v>20</v>
      </c>
      <c r="C1724">
        <v>0</v>
      </c>
      <c r="D1724">
        <v>31</v>
      </c>
      <c r="E1724">
        <v>0</v>
      </c>
      <c r="F1724">
        <v>840</v>
      </c>
      <c r="G1724">
        <v>42</v>
      </c>
      <c r="H1724">
        <v>18</v>
      </c>
      <c r="I1724">
        <v>18</v>
      </c>
      <c r="J1724">
        <v>2</v>
      </c>
      <c r="K1724">
        <v>1</v>
      </c>
      <c r="L1724">
        <v>2</v>
      </c>
      <c r="M1724">
        <v>25</v>
      </c>
      <c r="N1724">
        <v>120.69</v>
      </c>
      <c r="O1724">
        <v>1</v>
      </c>
      <c r="P17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24" t="str">
        <f>IF(Table1[[#This Row],[Fraud_Score]]&gt;=6, "High Risk",IF(Table1[[#This Row],[Fraud_Score]]&gt;=3, "Medium Risk", "Low Risk"))</f>
        <v>Medium Risk</v>
      </c>
      <c r="R1724">
        <f>IF(Table1[[#This Row],[Seconds of Use]]=0,0,Table1[[#This Row],[Customer Value]]/Table1[[#This Row],[Seconds of Use]]*100)</f>
        <v>14.367857142857144</v>
      </c>
    </row>
    <row r="1725" spans="1:18" x14ac:dyDescent="0.35">
      <c r="A1725" s="3" t="s">
        <v>1746</v>
      </c>
      <c r="B1725">
        <v>18</v>
      </c>
      <c r="C1725">
        <v>0</v>
      </c>
      <c r="D1725">
        <v>34</v>
      </c>
      <c r="E1725">
        <v>7</v>
      </c>
      <c r="F1725">
        <v>10320</v>
      </c>
      <c r="G1725">
        <v>88</v>
      </c>
      <c r="H1725">
        <v>3</v>
      </c>
      <c r="I1725">
        <v>43</v>
      </c>
      <c r="J1725">
        <v>4</v>
      </c>
      <c r="K1725">
        <v>1</v>
      </c>
      <c r="L1725">
        <v>1</v>
      </c>
      <c r="M1725">
        <v>45</v>
      </c>
      <c r="N1725">
        <v>267.7</v>
      </c>
      <c r="O1725">
        <v>0</v>
      </c>
      <c r="P17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725" t="str">
        <f>IF(Table1[[#This Row],[Fraud_Score]]&gt;=6, "High Risk",IF(Table1[[#This Row],[Fraud_Score]]&gt;=3, "Medium Risk", "Low Risk"))</f>
        <v>Low Risk</v>
      </c>
      <c r="R1725">
        <f>IF(Table1[[#This Row],[Seconds of Use]]=0,0,Table1[[#This Row],[Customer Value]]/Table1[[#This Row],[Seconds of Use]]*100)</f>
        <v>2.5939922480620154</v>
      </c>
    </row>
    <row r="1726" spans="1:18" x14ac:dyDescent="0.35">
      <c r="A1726" s="3" t="s">
        <v>1747</v>
      </c>
      <c r="B1726">
        <v>10</v>
      </c>
      <c r="C1726">
        <v>0</v>
      </c>
      <c r="D1726">
        <v>34</v>
      </c>
      <c r="E1726">
        <v>0</v>
      </c>
      <c r="F1726">
        <v>5703</v>
      </c>
      <c r="G1726">
        <v>93</v>
      </c>
      <c r="H1726">
        <v>28</v>
      </c>
      <c r="I1726">
        <v>25</v>
      </c>
      <c r="J1726">
        <v>2</v>
      </c>
      <c r="K1726">
        <v>1</v>
      </c>
      <c r="L1726">
        <v>1</v>
      </c>
      <c r="M1726">
        <v>25</v>
      </c>
      <c r="N1726">
        <v>386.82</v>
      </c>
      <c r="O1726">
        <v>1</v>
      </c>
      <c r="P17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26" t="str">
        <f>IF(Table1[[#This Row],[Fraud_Score]]&gt;=6, "High Risk",IF(Table1[[#This Row],[Fraud_Score]]&gt;=3, "Medium Risk", "Low Risk"))</f>
        <v>Low Risk</v>
      </c>
      <c r="R1726">
        <f>IF(Table1[[#This Row],[Seconds of Use]]=0,0,Table1[[#This Row],[Customer Value]]/Table1[[#This Row],[Seconds of Use]]*100)</f>
        <v>6.7827459231983163</v>
      </c>
    </row>
    <row r="1727" spans="1:18" x14ac:dyDescent="0.35">
      <c r="A1727" s="3" t="s">
        <v>1748</v>
      </c>
      <c r="B1727">
        <v>0</v>
      </c>
      <c r="C1727">
        <v>0</v>
      </c>
      <c r="D1727">
        <v>32</v>
      </c>
      <c r="E1727">
        <v>0</v>
      </c>
      <c r="F1727">
        <v>2725</v>
      </c>
      <c r="G1727">
        <v>17</v>
      </c>
      <c r="H1727">
        <v>2</v>
      </c>
      <c r="I1727">
        <v>15</v>
      </c>
      <c r="J1727">
        <v>3</v>
      </c>
      <c r="K1727">
        <v>1</v>
      </c>
      <c r="L1727">
        <v>1</v>
      </c>
      <c r="M1727">
        <v>30</v>
      </c>
      <c r="N1727">
        <v>117.68</v>
      </c>
      <c r="O1727">
        <v>0</v>
      </c>
      <c r="P17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27" t="str">
        <f>IF(Table1[[#This Row],[Fraud_Score]]&gt;=6, "High Risk",IF(Table1[[#This Row],[Fraud_Score]]&gt;=3, "Medium Risk", "Low Risk"))</f>
        <v>Low Risk</v>
      </c>
      <c r="R1727">
        <f>IF(Table1[[#This Row],[Seconds of Use]]=0,0,Table1[[#This Row],[Customer Value]]/Table1[[#This Row],[Seconds of Use]]*100)</f>
        <v>4.3185321100917431</v>
      </c>
    </row>
    <row r="1728" spans="1:18" x14ac:dyDescent="0.35">
      <c r="A1728" s="3" t="s">
        <v>1749</v>
      </c>
      <c r="B1728">
        <v>6</v>
      </c>
      <c r="C1728">
        <v>0</v>
      </c>
      <c r="D1728">
        <v>33</v>
      </c>
      <c r="E1728">
        <v>0</v>
      </c>
      <c r="F1728">
        <v>2875</v>
      </c>
      <c r="G1728">
        <v>36</v>
      </c>
      <c r="H1728">
        <v>11</v>
      </c>
      <c r="I1728">
        <v>17</v>
      </c>
      <c r="J1728">
        <v>2</v>
      </c>
      <c r="K1728">
        <v>1</v>
      </c>
      <c r="L1728">
        <v>2</v>
      </c>
      <c r="M1728">
        <v>25</v>
      </c>
      <c r="N1728">
        <v>180.495</v>
      </c>
      <c r="O1728">
        <v>1</v>
      </c>
      <c r="P17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28" t="str">
        <f>IF(Table1[[#This Row],[Fraud_Score]]&gt;=6, "High Risk",IF(Table1[[#This Row],[Fraud_Score]]&gt;=3, "Medium Risk", "Low Risk"))</f>
        <v>Low Risk</v>
      </c>
      <c r="R1728">
        <f>IF(Table1[[#This Row],[Seconds of Use]]=0,0,Table1[[#This Row],[Customer Value]]/Table1[[#This Row],[Seconds of Use]]*100)</f>
        <v>6.2780869565217392</v>
      </c>
    </row>
    <row r="1729" spans="1:18" x14ac:dyDescent="0.35">
      <c r="A1729" s="3" t="s">
        <v>1750</v>
      </c>
      <c r="B1729">
        <v>6</v>
      </c>
      <c r="C1729">
        <v>1</v>
      </c>
      <c r="D1729">
        <v>34</v>
      </c>
      <c r="E1729">
        <v>0</v>
      </c>
      <c r="F1729">
        <v>2153</v>
      </c>
      <c r="G1729">
        <v>39</v>
      </c>
      <c r="H1729">
        <v>36</v>
      </c>
      <c r="I1729">
        <v>32</v>
      </c>
      <c r="J1729">
        <v>3</v>
      </c>
      <c r="K1729">
        <v>1</v>
      </c>
      <c r="L1729">
        <v>2</v>
      </c>
      <c r="M1729">
        <v>30</v>
      </c>
      <c r="N1729">
        <v>231.68</v>
      </c>
      <c r="O1729">
        <v>1</v>
      </c>
      <c r="P17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29" t="str">
        <f>IF(Table1[[#This Row],[Fraud_Score]]&gt;=6, "High Risk",IF(Table1[[#This Row],[Fraud_Score]]&gt;=3, "Medium Risk", "Low Risk"))</f>
        <v>Medium Risk</v>
      </c>
      <c r="R1729">
        <f>IF(Table1[[#This Row],[Seconds of Use]]=0,0,Table1[[#This Row],[Customer Value]]/Table1[[#This Row],[Seconds of Use]]*100)</f>
        <v>10.760798885276358</v>
      </c>
    </row>
    <row r="1730" spans="1:18" x14ac:dyDescent="0.35">
      <c r="A1730" s="3" t="s">
        <v>1751</v>
      </c>
      <c r="B1730">
        <v>0</v>
      </c>
      <c r="C1730">
        <v>0</v>
      </c>
      <c r="D1730">
        <v>34</v>
      </c>
      <c r="E1730">
        <v>0</v>
      </c>
      <c r="F1730">
        <v>0</v>
      </c>
      <c r="G1730">
        <v>0</v>
      </c>
      <c r="H1730">
        <v>2</v>
      </c>
      <c r="I1730">
        <v>0</v>
      </c>
      <c r="J1730">
        <v>3</v>
      </c>
      <c r="K1730">
        <v>1</v>
      </c>
      <c r="L1730">
        <v>2</v>
      </c>
      <c r="M1730">
        <v>30</v>
      </c>
      <c r="N1730">
        <v>8</v>
      </c>
      <c r="O1730">
        <v>1</v>
      </c>
      <c r="P17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0" t="str">
        <f>IF(Table1[[#This Row],[Fraud_Score]]&gt;=6, "High Risk",IF(Table1[[#This Row],[Fraud_Score]]&gt;=3, "Medium Risk", "Low Risk"))</f>
        <v>Low Risk</v>
      </c>
      <c r="R1730">
        <f>IF(Table1[[#This Row],[Seconds of Use]]=0,0,Table1[[#This Row],[Customer Value]]/Table1[[#This Row],[Seconds of Use]]*100)</f>
        <v>0</v>
      </c>
    </row>
    <row r="1731" spans="1:18" x14ac:dyDescent="0.35">
      <c r="A1731" s="3" t="s">
        <v>1752</v>
      </c>
      <c r="B1731">
        <v>0</v>
      </c>
      <c r="C1731">
        <v>0</v>
      </c>
      <c r="D1731">
        <v>34</v>
      </c>
      <c r="E1731">
        <v>0</v>
      </c>
      <c r="F1731">
        <v>1553</v>
      </c>
      <c r="G1731">
        <v>20</v>
      </c>
      <c r="H1731">
        <v>2</v>
      </c>
      <c r="I1731">
        <v>7</v>
      </c>
      <c r="J1731">
        <v>3</v>
      </c>
      <c r="K1731">
        <v>1</v>
      </c>
      <c r="L1731">
        <v>1</v>
      </c>
      <c r="M1731">
        <v>30</v>
      </c>
      <c r="N1731">
        <v>70.92</v>
      </c>
      <c r="O1731">
        <v>0</v>
      </c>
      <c r="P17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1" t="str">
        <f>IF(Table1[[#This Row],[Fraud_Score]]&gt;=6, "High Risk",IF(Table1[[#This Row],[Fraud_Score]]&gt;=3, "Medium Risk", "Low Risk"))</f>
        <v>Low Risk</v>
      </c>
      <c r="R1731">
        <f>IF(Table1[[#This Row],[Seconds of Use]]=0,0,Table1[[#This Row],[Customer Value]]/Table1[[#This Row],[Seconds of Use]]*100)</f>
        <v>4.5666452028332261</v>
      </c>
    </row>
    <row r="1732" spans="1:18" x14ac:dyDescent="0.35">
      <c r="A1732" s="3" t="s">
        <v>1753</v>
      </c>
      <c r="B1732">
        <v>0</v>
      </c>
      <c r="C1732">
        <v>0</v>
      </c>
      <c r="D1732">
        <v>31</v>
      </c>
      <c r="E1732">
        <v>0</v>
      </c>
      <c r="F1732">
        <v>6670</v>
      </c>
      <c r="G1732">
        <v>92</v>
      </c>
      <c r="H1732">
        <v>16</v>
      </c>
      <c r="I1732">
        <v>23</v>
      </c>
      <c r="J1732">
        <v>4</v>
      </c>
      <c r="K1732">
        <v>1</v>
      </c>
      <c r="L1732">
        <v>1</v>
      </c>
      <c r="M1732">
        <v>45</v>
      </c>
      <c r="N1732">
        <v>209.05</v>
      </c>
      <c r="O1732">
        <v>0</v>
      </c>
      <c r="P17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2" t="str">
        <f>IF(Table1[[#This Row],[Fraud_Score]]&gt;=6, "High Risk",IF(Table1[[#This Row],[Fraud_Score]]&gt;=3, "Medium Risk", "Low Risk"))</f>
        <v>Low Risk</v>
      </c>
      <c r="R1732">
        <f>IF(Table1[[#This Row],[Seconds of Use]]=0,0,Table1[[#This Row],[Customer Value]]/Table1[[#This Row],[Seconds of Use]]*100)</f>
        <v>3.1341829085457276</v>
      </c>
    </row>
    <row r="1733" spans="1:18" x14ac:dyDescent="0.35">
      <c r="A1733" s="3" t="s">
        <v>1754</v>
      </c>
      <c r="B1733">
        <v>0</v>
      </c>
      <c r="C1733">
        <v>0</v>
      </c>
      <c r="D1733">
        <v>34</v>
      </c>
      <c r="E1733">
        <v>0</v>
      </c>
      <c r="F1733">
        <v>513</v>
      </c>
      <c r="G1733">
        <v>2</v>
      </c>
      <c r="H1733">
        <v>11</v>
      </c>
      <c r="I1733">
        <v>5</v>
      </c>
      <c r="J1733">
        <v>4</v>
      </c>
      <c r="K1733">
        <v>1</v>
      </c>
      <c r="L1733">
        <v>2</v>
      </c>
      <c r="M1733">
        <v>45</v>
      </c>
      <c r="N1733">
        <v>40.375</v>
      </c>
      <c r="O1733">
        <v>1</v>
      </c>
      <c r="P17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3" t="str">
        <f>IF(Table1[[#This Row],[Fraud_Score]]&gt;=6, "High Risk",IF(Table1[[#This Row],[Fraud_Score]]&gt;=3, "Medium Risk", "Low Risk"))</f>
        <v>Low Risk</v>
      </c>
      <c r="R1733">
        <f>IF(Table1[[#This Row],[Seconds of Use]]=0,0,Table1[[#This Row],[Customer Value]]/Table1[[#This Row],[Seconds of Use]]*100)</f>
        <v>7.8703703703703702</v>
      </c>
    </row>
    <row r="1734" spans="1:18" x14ac:dyDescent="0.35">
      <c r="A1734" s="3" t="s">
        <v>1755</v>
      </c>
      <c r="B1734">
        <v>0</v>
      </c>
      <c r="C1734">
        <v>0</v>
      </c>
      <c r="D1734">
        <v>34</v>
      </c>
      <c r="E1734">
        <v>0</v>
      </c>
      <c r="F1734">
        <v>0</v>
      </c>
      <c r="G1734">
        <v>0</v>
      </c>
      <c r="H1734">
        <v>6</v>
      </c>
      <c r="I1734">
        <v>0</v>
      </c>
      <c r="J1734">
        <v>5</v>
      </c>
      <c r="K1734">
        <v>1</v>
      </c>
      <c r="L1734">
        <v>1</v>
      </c>
      <c r="M1734">
        <v>55</v>
      </c>
      <c r="N1734">
        <v>9</v>
      </c>
      <c r="O1734">
        <v>0</v>
      </c>
      <c r="P17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4" t="str">
        <f>IF(Table1[[#This Row],[Fraud_Score]]&gt;=6, "High Risk",IF(Table1[[#This Row],[Fraud_Score]]&gt;=3, "Medium Risk", "Low Risk"))</f>
        <v>Low Risk</v>
      </c>
      <c r="R1734">
        <f>IF(Table1[[#This Row],[Seconds of Use]]=0,0,Table1[[#This Row],[Customer Value]]/Table1[[#This Row],[Seconds of Use]]*100)</f>
        <v>0</v>
      </c>
    </row>
    <row r="1735" spans="1:18" x14ac:dyDescent="0.35">
      <c r="A1735" s="3" t="s">
        <v>1756</v>
      </c>
      <c r="B1735">
        <v>22</v>
      </c>
      <c r="C1735">
        <v>0</v>
      </c>
      <c r="D1735">
        <v>29</v>
      </c>
      <c r="E1735">
        <v>2</v>
      </c>
      <c r="F1735">
        <v>15960</v>
      </c>
      <c r="G1735">
        <v>233</v>
      </c>
      <c r="H1735">
        <v>2</v>
      </c>
      <c r="I1735">
        <v>81</v>
      </c>
      <c r="J1735">
        <v>2</v>
      </c>
      <c r="K1735">
        <v>1</v>
      </c>
      <c r="L1735">
        <v>1</v>
      </c>
      <c r="M1735">
        <v>25</v>
      </c>
      <c r="N1735">
        <v>737.68499999999995</v>
      </c>
      <c r="O1735">
        <v>0</v>
      </c>
      <c r="P17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735" t="str">
        <f>IF(Table1[[#This Row],[Fraud_Score]]&gt;=6, "High Risk",IF(Table1[[#This Row],[Fraud_Score]]&gt;=3, "Medium Risk", "Low Risk"))</f>
        <v>Medium Risk</v>
      </c>
      <c r="R1735">
        <f>IF(Table1[[#This Row],[Seconds of Use]]=0,0,Table1[[#This Row],[Customer Value]]/Table1[[#This Row],[Seconds of Use]]*100)</f>
        <v>4.6220864661654133</v>
      </c>
    </row>
    <row r="1736" spans="1:18" x14ac:dyDescent="0.35">
      <c r="A1736" s="3" t="s">
        <v>1757</v>
      </c>
      <c r="B1736">
        <v>3</v>
      </c>
      <c r="C1736">
        <v>0</v>
      </c>
      <c r="D1736">
        <v>32</v>
      </c>
      <c r="E1736">
        <v>2</v>
      </c>
      <c r="F1736">
        <v>6850</v>
      </c>
      <c r="G1736">
        <v>111</v>
      </c>
      <c r="H1736">
        <v>273</v>
      </c>
      <c r="I1736">
        <v>34</v>
      </c>
      <c r="J1736">
        <v>2</v>
      </c>
      <c r="K1736">
        <v>2</v>
      </c>
      <c r="L1736">
        <v>1</v>
      </c>
      <c r="M1736">
        <v>25</v>
      </c>
      <c r="N1736">
        <v>1541.7449999999999</v>
      </c>
      <c r="O1736">
        <v>0</v>
      </c>
      <c r="P17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36" t="str">
        <f>IF(Table1[[#This Row],[Fraud_Score]]&gt;=6, "High Risk",IF(Table1[[#This Row],[Fraud_Score]]&gt;=3, "Medium Risk", "Low Risk"))</f>
        <v>Low Risk</v>
      </c>
      <c r="R1736">
        <f>IF(Table1[[#This Row],[Seconds of Use]]=0,0,Table1[[#This Row],[Customer Value]]/Table1[[#This Row],[Seconds of Use]]*100)</f>
        <v>22.507226277372261</v>
      </c>
    </row>
    <row r="1737" spans="1:18" x14ac:dyDescent="0.35">
      <c r="A1737" s="3" t="s">
        <v>1758</v>
      </c>
      <c r="B1737">
        <v>0</v>
      </c>
      <c r="C1737">
        <v>0</v>
      </c>
      <c r="D1737">
        <v>34</v>
      </c>
      <c r="E1737">
        <v>0</v>
      </c>
      <c r="F1737">
        <v>3603</v>
      </c>
      <c r="G1737">
        <v>77</v>
      </c>
      <c r="H1737">
        <v>4</v>
      </c>
      <c r="I1737">
        <v>29</v>
      </c>
      <c r="J1737">
        <v>2</v>
      </c>
      <c r="K1737">
        <v>1</v>
      </c>
      <c r="L1737">
        <v>1</v>
      </c>
      <c r="M1737">
        <v>25</v>
      </c>
      <c r="N1737">
        <v>183.6</v>
      </c>
      <c r="O1737">
        <v>0</v>
      </c>
      <c r="P17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7" t="str">
        <f>IF(Table1[[#This Row],[Fraud_Score]]&gt;=6, "High Risk",IF(Table1[[#This Row],[Fraud_Score]]&gt;=3, "Medium Risk", "Low Risk"))</f>
        <v>Low Risk</v>
      </c>
      <c r="R1737">
        <f>IF(Table1[[#This Row],[Seconds of Use]]=0,0,Table1[[#This Row],[Customer Value]]/Table1[[#This Row],[Seconds of Use]]*100)</f>
        <v>5.0957535387177355</v>
      </c>
    </row>
    <row r="1738" spans="1:18" x14ac:dyDescent="0.35">
      <c r="A1738" s="3" t="s">
        <v>1759</v>
      </c>
      <c r="B1738">
        <v>0</v>
      </c>
      <c r="C1738">
        <v>0</v>
      </c>
      <c r="D1738">
        <v>33</v>
      </c>
      <c r="E1738">
        <v>0</v>
      </c>
      <c r="F1738">
        <v>1550</v>
      </c>
      <c r="G1738">
        <v>39</v>
      </c>
      <c r="H1738">
        <v>40</v>
      </c>
      <c r="I1738">
        <v>21</v>
      </c>
      <c r="J1738">
        <v>3</v>
      </c>
      <c r="K1738">
        <v>1</v>
      </c>
      <c r="L1738">
        <v>2</v>
      </c>
      <c r="M1738">
        <v>30</v>
      </c>
      <c r="N1738">
        <v>223.56</v>
      </c>
      <c r="O1738">
        <v>0</v>
      </c>
      <c r="P17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8" t="str">
        <f>IF(Table1[[#This Row],[Fraud_Score]]&gt;=6, "High Risk",IF(Table1[[#This Row],[Fraud_Score]]&gt;=3, "Medium Risk", "Low Risk"))</f>
        <v>Low Risk</v>
      </c>
      <c r="R1738">
        <f>IF(Table1[[#This Row],[Seconds of Use]]=0,0,Table1[[#This Row],[Customer Value]]/Table1[[#This Row],[Seconds of Use]]*100)</f>
        <v>14.423225806451612</v>
      </c>
    </row>
    <row r="1739" spans="1:18" x14ac:dyDescent="0.35">
      <c r="A1739" s="3" t="s">
        <v>1760</v>
      </c>
      <c r="B1739">
        <v>3</v>
      </c>
      <c r="C1739">
        <v>0</v>
      </c>
      <c r="D1739">
        <v>34</v>
      </c>
      <c r="E1739">
        <v>0</v>
      </c>
      <c r="F1739">
        <v>2665</v>
      </c>
      <c r="G1739">
        <v>48</v>
      </c>
      <c r="H1739">
        <v>177</v>
      </c>
      <c r="I1739">
        <v>24</v>
      </c>
      <c r="J1739">
        <v>2</v>
      </c>
      <c r="K1739">
        <v>1</v>
      </c>
      <c r="L1739">
        <v>1</v>
      </c>
      <c r="M1739">
        <v>25</v>
      </c>
      <c r="N1739">
        <v>918.58500000000004</v>
      </c>
      <c r="O1739">
        <v>0</v>
      </c>
      <c r="P17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39" t="str">
        <f>IF(Table1[[#This Row],[Fraud_Score]]&gt;=6, "High Risk",IF(Table1[[#This Row],[Fraud_Score]]&gt;=3, "Medium Risk", "Low Risk"))</f>
        <v>Low Risk</v>
      </c>
      <c r="R1739">
        <f>IF(Table1[[#This Row],[Seconds of Use]]=0,0,Table1[[#This Row],[Customer Value]]/Table1[[#This Row],[Seconds of Use]]*100)</f>
        <v>34.468480300187622</v>
      </c>
    </row>
    <row r="1740" spans="1:18" x14ac:dyDescent="0.35">
      <c r="A1740" s="3" t="s">
        <v>1761</v>
      </c>
      <c r="B1740">
        <v>1</v>
      </c>
      <c r="C1740">
        <v>0</v>
      </c>
      <c r="D1740">
        <v>25</v>
      </c>
      <c r="E1740">
        <v>0</v>
      </c>
      <c r="F1740">
        <v>1200</v>
      </c>
      <c r="G1740">
        <v>31</v>
      </c>
      <c r="H1740">
        <v>195</v>
      </c>
      <c r="I1740">
        <v>12</v>
      </c>
      <c r="J1740">
        <v>2</v>
      </c>
      <c r="K1740">
        <v>2</v>
      </c>
      <c r="L1740">
        <v>1</v>
      </c>
      <c r="M1740">
        <v>25</v>
      </c>
      <c r="N1740">
        <v>932.89499999999998</v>
      </c>
      <c r="O1740">
        <v>0</v>
      </c>
      <c r="P17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40" t="str">
        <f>IF(Table1[[#This Row],[Fraud_Score]]&gt;=6, "High Risk",IF(Table1[[#This Row],[Fraud_Score]]&gt;=3, "Medium Risk", "Low Risk"))</f>
        <v>Low Risk</v>
      </c>
      <c r="R1740">
        <f>IF(Table1[[#This Row],[Seconds of Use]]=0,0,Table1[[#This Row],[Customer Value]]/Table1[[#This Row],[Seconds of Use]]*100)</f>
        <v>77.741249999999994</v>
      </c>
    </row>
    <row r="1741" spans="1:18" x14ac:dyDescent="0.35">
      <c r="A1741" s="3" t="s">
        <v>1762</v>
      </c>
      <c r="B1741">
        <v>1</v>
      </c>
      <c r="C1741">
        <v>0</v>
      </c>
      <c r="D1741">
        <v>24</v>
      </c>
      <c r="E1741">
        <v>0</v>
      </c>
      <c r="F1741">
        <v>1453</v>
      </c>
      <c r="G1741">
        <v>34</v>
      </c>
      <c r="H1741">
        <v>32</v>
      </c>
      <c r="I1741">
        <v>69</v>
      </c>
      <c r="J1741">
        <v>4</v>
      </c>
      <c r="K1741">
        <v>1</v>
      </c>
      <c r="L1741">
        <v>1</v>
      </c>
      <c r="M1741">
        <v>45</v>
      </c>
      <c r="N1741">
        <v>117.175</v>
      </c>
      <c r="O1741">
        <v>0</v>
      </c>
      <c r="P17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741" t="str">
        <f>IF(Table1[[#This Row],[Fraud_Score]]&gt;=6, "High Risk",IF(Table1[[#This Row],[Fraud_Score]]&gt;=3, "Medium Risk", "Low Risk"))</f>
        <v>Low Risk</v>
      </c>
      <c r="R1741">
        <f>IF(Table1[[#This Row],[Seconds of Use]]=0,0,Table1[[#This Row],[Customer Value]]/Table1[[#This Row],[Seconds of Use]]*100)</f>
        <v>8.0643496214728145</v>
      </c>
    </row>
    <row r="1742" spans="1:18" x14ac:dyDescent="0.35">
      <c r="A1742" s="3" t="s">
        <v>1763</v>
      </c>
      <c r="B1742">
        <v>8</v>
      </c>
      <c r="C1742">
        <v>0</v>
      </c>
      <c r="D1742">
        <v>25</v>
      </c>
      <c r="E1742">
        <v>0</v>
      </c>
      <c r="F1742">
        <v>585</v>
      </c>
      <c r="G1742">
        <v>20</v>
      </c>
      <c r="H1742">
        <v>12</v>
      </c>
      <c r="I1742">
        <v>8</v>
      </c>
      <c r="J1742">
        <v>2</v>
      </c>
      <c r="K1742">
        <v>1</v>
      </c>
      <c r="L1742">
        <v>2</v>
      </c>
      <c r="M1742">
        <v>25</v>
      </c>
      <c r="N1742">
        <v>81.224999999999994</v>
      </c>
      <c r="O1742">
        <v>0</v>
      </c>
      <c r="P17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42" t="str">
        <f>IF(Table1[[#This Row],[Fraud_Score]]&gt;=6, "High Risk",IF(Table1[[#This Row],[Fraud_Score]]&gt;=3, "Medium Risk", "Low Risk"))</f>
        <v>Low Risk</v>
      </c>
      <c r="R1742">
        <f>IF(Table1[[#This Row],[Seconds of Use]]=0,0,Table1[[#This Row],[Customer Value]]/Table1[[#This Row],[Seconds of Use]]*100)</f>
        <v>13.884615384615383</v>
      </c>
    </row>
    <row r="1743" spans="1:18" x14ac:dyDescent="0.35">
      <c r="A1743" s="3" t="s">
        <v>1764</v>
      </c>
      <c r="B1743">
        <v>0</v>
      </c>
      <c r="C1743">
        <v>0</v>
      </c>
      <c r="D1743">
        <v>24</v>
      </c>
      <c r="E1743">
        <v>0</v>
      </c>
      <c r="F1743">
        <v>710</v>
      </c>
      <c r="G1743">
        <v>5</v>
      </c>
      <c r="H1743">
        <v>23</v>
      </c>
      <c r="I1743">
        <v>4</v>
      </c>
      <c r="J1743">
        <v>4</v>
      </c>
      <c r="K1743">
        <v>1</v>
      </c>
      <c r="L1743">
        <v>2</v>
      </c>
      <c r="M1743">
        <v>45</v>
      </c>
      <c r="N1743">
        <v>75.375</v>
      </c>
      <c r="O1743">
        <v>0</v>
      </c>
      <c r="P17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43" t="str">
        <f>IF(Table1[[#This Row],[Fraud_Score]]&gt;=6, "High Risk",IF(Table1[[#This Row],[Fraud_Score]]&gt;=3, "Medium Risk", "Low Risk"))</f>
        <v>Low Risk</v>
      </c>
      <c r="R1743">
        <f>IF(Table1[[#This Row],[Seconds of Use]]=0,0,Table1[[#This Row],[Customer Value]]/Table1[[#This Row],[Seconds of Use]]*100)</f>
        <v>10.616197183098592</v>
      </c>
    </row>
    <row r="1744" spans="1:18" x14ac:dyDescent="0.35">
      <c r="A1744" s="3" t="s">
        <v>1765</v>
      </c>
      <c r="B1744">
        <v>7</v>
      </c>
      <c r="C1744">
        <v>0</v>
      </c>
      <c r="D1744">
        <v>23</v>
      </c>
      <c r="E1744">
        <v>0</v>
      </c>
      <c r="F1744">
        <v>1110</v>
      </c>
      <c r="G1744">
        <v>27</v>
      </c>
      <c r="H1744">
        <v>21</v>
      </c>
      <c r="I1744">
        <v>14</v>
      </c>
      <c r="J1744">
        <v>2</v>
      </c>
      <c r="K1744">
        <v>1</v>
      </c>
      <c r="L1744">
        <v>1</v>
      </c>
      <c r="M1744">
        <v>25</v>
      </c>
      <c r="N1744">
        <v>145.66499999999999</v>
      </c>
      <c r="O1744">
        <v>0</v>
      </c>
      <c r="P17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44" t="str">
        <f>IF(Table1[[#This Row],[Fraud_Score]]&gt;=6, "High Risk",IF(Table1[[#This Row],[Fraud_Score]]&gt;=3, "Medium Risk", "Low Risk"))</f>
        <v>Low Risk</v>
      </c>
      <c r="R1744">
        <f>IF(Table1[[#This Row],[Seconds of Use]]=0,0,Table1[[#This Row],[Customer Value]]/Table1[[#This Row],[Seconds of Use]]*100)</f>
        <v>13.12297297297297</v>
      </c>
    </row>
    <row r="1745" spans="1:18" x14ac:dyDescent="0.35">
      <c r="A1745" s="3" t="s">
        <v>1766</v>
      </c>
      <c r="B1745">
        <v>0</v>
      </c>
      <c r="C1745">
        <v>0</v>
      </c>
      <c r="D1745">
        <v>23</v>
      </c>
      <c r="E1745">
        <v>0</v>
      </c>
      <c r="F1745">
        <v>3110</v>
      </c>
      <c r="G1745">
        <v>56</v>
      </c>
      <c r="H1745">
        <v>10</v>
      </c>
      <c r="I1745">
        <v>24</v>
      </c>
      <c r="J1745">
        <v>3</v>
      </c>
      <c r="K1745">
        <v>1</v>
      </c>
      <c r="L1745">
        <v>1</v>
      </c>
      <c r="M1745">
        <v>30</v>
      </c>
      <c r="N1745">
        <v>166.64</v>
      </c>
      <c r="O1745">
        <v>0</v>
      </c>
      <c r="P17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45" t="str">
        <f>IF(Table1[[#This Row],[Fraud_Score]]&gt;=6, "High Risk",IF(Table1[[#This Row],[Fraud_Score]]&gt;=3, "Medium Risk", "Low Risk"))</f>
        <v>Low Risk</v>
      </c>
      <c r="R1745">
        <f>IF(Table1[[#This Row],[Seconds of Use]]=0,0,Table1[[#This Row],[Customer Value]]/Table1[[#This Row],[Seconds of Use]]*100)</f>
        <v>5.3581993569131825</v>
      </c>
    </row>
    <row r="1746" spans="1:18" x14ac:dyDescent="0.35">
      <c r="A1746" s="3" t="s">
        <v>1767</v>
      </c>
      <c r="B1746">
        <v>0</v>
      </c>
      <c r="C1746">
        <v>0</v>
      </c>
      <c r="D1746">
        <v>16</v>
      </c>
      <c r="E1746">
        <v>0</v>
      </c>
      <c r="F1746">
        <v>1580</v>
      </c>
      <c r="G1746">
        <v>21</v>
      </c>
      <c r="H1746">
        <v>30</v>
      </c>
      <c r="I1746">
        <v>15</v>
      </c>
      <c r="J1746">
        <v>2</v>
      </c>
      <c r="K1746">
        <v>1</v>
      </c>
      <c r="L1746">
        <v>1</v>
      </c>
      <c r="M1746">
        <v>25</v>
      </c>
      <c r="N1746">
        <v>207.04499999999999</v>
      </c>
      <c r="O1746">
        <v>0</v>
      </c>
      <c r="P17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46" t="str">
        <f>IF(Table1[[#This Row],[Fraud_Score]]&gt;=6, "High Risk",IF(Table1[[#This Row],[Fraud_Score]]&gt;=3, "Medium Risk", "Low Risk"))</f>
        <v>Low Risk</v>
      </c>
      <c r="R1746">
        <f>IF(Table1[[#This Row],[Seconds of Use]]=0,0,Table1[[#This Row],[Customer Value]]/Table1[[#This Row],[Seconds of Use]]*100)</f>
        <v>13.104113924050631</v>
      </c>
    </row>
    <row r="1747" spans="1:18" x14ac:dyDescent="0.35">
      <c r="A1747" s="3" t="s">
        <v>1768</v>
      </c>
      <c r="B1747">
        <v>13</v>
      </c>
      <c r="C1747">
        <v>0</v>
      </c>
      <c r="D1747">
        <v>15</v>
      </c>
      <c r="E1747">
        <v>0</v>
      </c>
      <c r="F1747">
        <v>6277</v>
      </c>
      <c r="G1747">
        <v>136</v>
      </c>
      <c r="H1747">
        <v>87</v>
      </c>
      <c r="I1747">
        <v>43</v>
      </c>
      <c r="J1747">
        <v>1</v>
      </c>
      <c r="K1747">
        <v>2</v>
      </c>
      <c r="L1747">
        <v>1</v>
      </c>
      <c r="M1747">
        <v>15</v>
      </c>
      <c r="N1747">
        <v>831.21500000000003</v>
      </c>
      <c r="O1747">
        <v>0</v>
      </c>
      <c r="P17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47" t="str">
        <f>IF(Table1[[#This Row],[Fraud_Score]]&gt;=6, "High Risk",IF(Table1[[#This Row],[Fraud_Score]]&gt;=3, "Medium Risk", "Low Risk"))</f>
        <v>Medium Risk</v>
      </c>
      <c r="R1747">
        <f>IF(Table1[[#This Row],[Seconds of Use]]=0,0,Table1[[#This Row],[Customer Value]]/Table1[[#This Row],[Seconds of Use]]*100)</f>
        <v>13.242233551059424</v>
      </c>
    </row>
    <row r="1748" spans="1:18" x14ac:dyDescent="0.35">
      <c r="A1748" s="3" t="s">
        <v>1769</v>
      </c>
      <c r="B1748">
        <v>9</v>
      </c>
      <c r="C1748">
        <v>0</v>
      </c>
      <c r="D1748">
        <v>13</v>
      </c>
      <c r="E1748">
        <v>0</v>
      </c>
      <c r="F1748">
        <v>8817</v>
      </c>
      <c r="G1748">
        <v>166</v>
      </c>
      <c r="H1748">
        <v>75</v>
      </c>
      <c r="I1748">
        <v>41</v>
      </c>
      <c r="J1748">
        <v>4</v>
      </c>
      <c r="K1748">
        <v>1</v>
      </c>
      <c r="L1748">
        <v>1</v>
      </c>
      <c r="M1748">
        <v>45</v>
      </c>
      <c r="N1748">
        <v>412.07499999999999</v>
      </c>
      <c r="O1748">
        <v>0</v>
      </c>
      <c r="P17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48" t="str">
        <f>IF(Table1[[#This Row],[Fraud_Score]]&gt;=6, "High Risk",IF(Table1[[#This Row],[Fraud_Score]]&gt;=3, "Medium Risk", "Low Risk"))</f>
        <v>Medium Risk</v>
      </c>
      <c r="R1748">
        <f>IF(Table1[[#This Row],[Seconds of Use]]=0,0,Table1[[#This Row],[Customer Value]]/Table1[[#This Row],[Seconds of Use]]*100)</f>
        <v>4.6736418282862653</v>
      </c>
    </row>
    <row r="1749" spans="1:18" x14ac:dyDescent="0.35">
      <c r="A1749" s="3" t="s">
        <v>1770</v>
      </c>
      <c r="B1749">
        <v>5</v>
      </c>
      <c r="C1749">
        <v>0</v>
      </c>
      <c r="D1749">
        <v>14</v>
      </c>
      <c r="E1749">
        <v>2</v>
      </c>
      <c r="F1749">
        <v>2737</v>
      </c>
      <c r="G1749">
        <v>40</v>
      </c>
      <c r="H1749">
        <v>33</v>
      </c>
      <c r="I1749">
        <v>20</v>
      </c>
      <c r="J1749">
        <v>3</v>
      </c>
      <c r="K1749">
        <v>1</v>
      </c>
      <c r="L1749">
        <v>1</v>
      </c>
      <c r="M1749">
        <v>30</v>
      </c>
      <c r="N1749">
        <v>243.08</v>
      </c>
      <c r="O1749">
        <v>0</v>
      </c>
      <c r="P17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49" t="str">
        <f>IF(Table1[[#This Row],[Fraud_Score]]&gt;=6, "High Risk",IF(Table1[[#This Row],[Fraud_Score]]&gt;=3, "Medium Risk", "Low Risk"))</f>
        <v>Low Risk</v>
      </c>
      <c r="R1749">
        <f>IF(Table1[[#This Row],[Seconds of Use]]=0,0,Table1[[#This Row],[Customer Value]]/Table1[[#This Row],[Seconds of Use]]*100)</f>
        <v>8.8812568505663148</v>
      </c>
    </row>
    <row r="1750" spans="1:18" x14ac:dyDescent="0.35">
      <c r="A1750" s="3" t="s">
        <v>1771</v>
      </c>
      <c r="B1750">
        <v>0</v>
      </c>
      <c r="C1750">
        <v>0</v>
      </c>
      <c r="D1750">
        <v>7</v>
      </c>
      <c r="E1750">
        <v>0</v>
      </c>
      <c r="F1750">
        <v>4275</v>
      </c>
      <c r="G1750">
        <v>35</v>
      </c>
      <c r="H1750">
        <v>217</v>
      </c>
      <c r="I1750">
        <v>11</v>
      </c>
      <c r="J1750">
        <v>3</v>
      </c>
      <c r="K1750">
        <v>1</v>
      </c>
      <c r="L1750">
        <v>1</v>
      </c>
      <c r="M1750">
        <v>30</v>
      </c>
      <c r="N1750">
        <v>1040.4000000000001</v>
      </c>
      <c r="O1750">
        <v>0</v>
      </c>
      <c r="P17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0" t="str">
        <f>IF(Table1[[#This Row],[Fraud_Score]]&gt;=6, "High Risk",IF(Table1[[#This Row],[Fraud_Score]]&gt;=3, "Medium Risk", "Low Risk"))</f>
        <v>Low Risk</v>
      </c>
      <c r="R1750">
        <f>IF(Table1[[#This Row],[Seconds of Use]]=0,0,Table1[[#This Row],[Customer Value]]/Table1[[#This Row],[Seconds of Use]]*100)</f>
        <v>24.336842105263159</v>
      </c>
    </row>
    <row r="1751" spans="1:18" x14ac:dyDescent="0.35">
      <c r="A1751" s="3" t="s">
        <v>1772</v>
      </c>
      <c r="B1751">
        <v>0</v>
      </c>
      <c r="C1751">
        <v>1</v>
      </c>
      <c r="D1751">
        <v>7</v>
      </c>
      <c r="E1751">
        <v>0</v>
      </c>
      <c r="F1751">
        <v>1372</v>
      </c>
      <c r="G1751">
        <v>14</v>
      </c>
      <c r="H1751">
        <v>2</v>
      </c>
      <c r="I1751">
        <v>8</v>
      </c>
      <c r="J1751">
        <v>2</v>
      </c>
      <c r="K1751">
        <v>1</v>
      </c>
      <c r="L1751">
        <v>1</v>
      </c>
      <c r="M1751">
        <v>25</v>
      </c>
      <c r="N1751">
        <v>71.37</v>
      </c>
      <c r="O1751">
        <v>1</v>
      </c>
      <c r="P17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51" t="str">
        <f>IF(Table1[[#This Row],[Fraud_Score]]&gt;=6, "High Risk",IF(Table1[[#This Row],[Fraud_Score]]&gt;=3, "Medium Risk", "Low Risk"))</f>
        <v>Medium Risk</v>
      </c>
      <c r="R1751">
        <f>IF(Table1[[#This Row],[Seconds of Use]]=0,0,Table1[[#This Row],[Customer Value]]/Table1[[#This Row],[Seconds of Use]]*100)</f>
        <v>5.2018950437317786</v>
      </c>
    </row>
    <row r="1752" spans="1:18" x14ac:dyDescent="0.35">
      <c r="A1752" s="3" t="s">
        <v>1773</v>
      </c>
      <c r="B1752">
        <v>1</v>
      </c>
      <c r="C1752">
        <v>0</v>
      </c>
      <c r="D1752">
        <v>36</v>
      </c>
      <c r="E1752">
        <v>0</v>
      </c>
      <c r="F1752">
        <v>3875</v>
      </c>
      <c r="G1752">
        <v>64</v>
      </c>
      <c r="H1752">
        <v>0</v>
      </c>
      <c r="I1752">
        <v>12</v>
      </c>
      <c r="J1752">
        <v>2</v>
      </c>
      <c r="K1752">
        <v>1</v>
      </c>
      <c r="L1752">
        <v>1</v>
      </c>
      <c r="M1752">
        <v>25</v>
      </c>
      <c r="N1752">
        <v>177.255</v>
      </c>
      <c r="O1752">
        <v>0</v>
      </c>
      <c r="P17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2" t="str">
        <f>IF(Table1[[#This Row],[Fraud_Score]]&gt;=6, "High Risk",IF(Table1[[#This Row],[Fraud_Score]]&gt;=3, "Medium Risk", "Low Risk"))</f>
        <v>Low Risk</v>
      </c>
      <c r="R1752">
        <f>IF(Table1[[#This Row],[Seconds of Use]]=0,0,Table1[[#This Row],[Customer Value]]/Table1[[#This Row],[Seconds of Use]]*100)</f>
        <v>4.5743225806451608</v>
      </c>
    </row>
    <row r="1753" spans="1:18" x14ac:dyDescent="0.35">
      <c r="A1753" s="3" t="s">
        <v>1774</v>
      </c>
      <c r="B1753">
        <v>0</v>
      </c>
      <c r="C1753">
        <v>0</v>
      </c>
      <c r="D1753">
        <v>37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2</v>
      </c>
      <c r="K1753">
        <v>1</v>
      </c>
      <c r="L1753">
        <v>2</v>
      </c>
      <c r="M1753">
        <v>25</v>
      </c>
      <c r="N1753">
        <v>0</v>
      </c>
      <c r="O1753">
        <v>0</v>
      </c>
      <c r="P17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3" t="str">
        <f>IF(Table1[[#This Row],[Fraud_Score]]&gt;=6, "High Risk",IF(Table1[[#This Row],[Fraud_Score]]&gt;=3, "Medium Risk", "Low Risk"))</f>
        <v>Low Risk</v>
      </c>
      <c r="R1753">
        <f>IF(Table1[[#This Row],[Seconds of Use]]=0,0,Table1[[#This Row],[Customer Value]]/Table1[[#This Row],[Seconds of Use]]*100)</f>
        <v>0</v>
      </c>
    </row>
    <row r="1754" spans="1:18" x14ac:dyDescent="0.35">
      <c r="A1754" s="3" t="s">
        <v>1775</v>
      </c>
      <c r="B1754">
        <v>3</v>
      </c>
      <c r="C1754">
        <v>0</v>
      </c>
      <c r="D1754">
        <v>35</v>
      </c>
      <c r="E1754">
        <v>0</v>
      </c>
      <c r="F1754">
        <v>1958</v>
      </c>
      <c r="G1754">
        <v>53</v>
      </c>
      <c r="H1754">
        <v>343</v>
      </c>
      <c r="I1754">
        <v>19</v>
      </c>
      <c r="J1754">
        <v>2</v>
      </c>
      <c r="K1754">
        <v>1</v>
      </c>
      <c r="L1754">
        <v>1</v>
      </c>
      <c r="M1754">
        <v>25</v>
      </c>
      <c r="N1754">
        <v>1633.9949999999999</v>
      </c>
      <c r="O1754">
        <v>0</v>
      </c>
      <c r="P17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4" t="str">
        <f>IF(Table1[[#This Row],[Fraud_Score]]&gt;=6, "High Risk",IF(Table1[[#This Row],[Fraud_Score]]&gt;=3, "Medium Risk", "Low Risk"))</f>
        <v>Low Risk</v>
      </c>
      <c r="R1754">
        <f>IF(Table1[[#This Row],[Seconds of Use]]=0,0,Table1[[#This Row],[Customer Value]]/Table1[[#This Row],[Seconds of Use]]*100)</f>
        <v>83.452247191011224</v>
      </c>
    </row>
    <row r="1755" spans="1:18" x14ac:dyDescent="0.35">
      <c r="A1755" s="3" t="s">
        <v>1776</v>
      </c>
      <c r="B1755">
        <v>3</v>
      </c>
      <c r="C1755">
        <v>0</v>
      </c>
      <c r="D1755">
        <v>36</v>
      </c>
      <c r="E1755">
        <v>0</v>
      </c>
      <c r="F1755">
        <v>3703</v>
      </c>
      <c r="G1755">
        <v>59</v>
      </c>
      <c r="H1755">
        <v>0</v>
      </c>
      <c r="I1755">
        <v>30</v>
      </c>
      <c r="J1755">
        <v>2</v>
      </c>
      <c r="K1755">
        <v>1</v>
      </c>
      <c r="L1755">
        <v>1</v>
      </c>
      <c r="M1755">
        <v>25</v>
      </c>
      <c r="N1755">
        <v>169.29</v>
      </c>
      <c r="O1755">
        <v>0</v>
      </c>
      <c r="P17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5" t="str">
        <f>IF(Table1[[#This Row],[Fraud_Score]]&gt;=6, "High Risk",IF(Table1[[#This Row],[Fraud_Score]]&gt;=3, "Medium Risk", "Low Risk"))</f>
        <v>Low Risk</v>
      </c>
      <c r="R1755">
        <f>IF(Table1[[#This Row],[Seconds of Use]]=0,0,Table1[[#This Row],[Customer Value]]/Table1[[#This Row],[Seconds of Use]]*100)</f>
        <v>4.5716986227383201</v>
      </c>
    </row>
    <row r="1756" spans="1:18" x14ac:dyDescent="0.35">
      <c r="A1756" s="3" t="s">
        <v>1777</v>
      </c>
      <c r="B1756">
        <v>0</v>
      </c>
      <c r="C1756">
        <v>0</v>
      </c>
      <c r="D1756">
        <v>36</v>
      </c>
      <c r="E1756">
        <v>0</v>
      </c>
      <c r="F1756">
        <v>1898</v>
      </c>
      <c r="G1756">
        <v>51</v>
      </c>
      <c r="H1756">
        <v>0</v>
      </c>
      <c r="I1756">
        <v>28</v>
      </c>
      <c r="J1756">
        <v>1</v>
      </c>
      <c r="K1756">
        <v>1</v>
      </c>
      <c r="L1756">
        <v>1</v>
      </c>
      <c r="M1756">
        <v>15</v>
      </c>
      <c r="N1756">
        <v>107.19499999999999</v>
      </c>
      <c r="O1756">
        <v>0</v>
      </c>
      <c r="P17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6" t="str">
        <f>IF(Table1[[#This Row],[Fraud_Score]]&gt;=6, "High Risk",IF(Table1[[#This Row],[Fraud_Score]]&gt;=3, "Medium Risk", "Low Risk"))</f>
        <v>Low Risk</v>
      </c>
      <c r="R1756">
        <f>IF(Table1[[#This Row],[Seconds of Use]]=0,0,Table1[[#This Row],[Customer Value]]/Table1[[#This Row],[Seconds of Use]]*100)</f>
        <v>5.6477871443624865</v>
      </c>
    </row>
    <row r="1757" spans="1:18" x14ac:dyDescent="0.35">
      <c r="A1757" s="3" t="s">
        <v>1778</v>
      </c>
      <c r="B1757">
        <v>4</v>
      </c>
      <c r="C1757">
        <v>0</v>
      </c>
      <c r="D1757">
        <v>36</v>
      </c>
      <c r="E1757">
        <v>0</v>
      </c>
      <c r="F1757">
        <v>3280</v>
      </c>
      <c r="G1757">
        <v>75</v>
      </c>
      <c r="H1757">
        <v>16</v>
      </c>
      <c r="I1757">
        <v>23</v>
      </c>
      <c r="J1757">
        <v>2</v>
      </c>
      <c r="K1757">
        <v>1</v>
      </c>
      <c r="L1757">
        <v>1</v>
      </c>
      <c r="M1757">
        <v>25</v>
      </c>
      <c r="N1757">
        <v>222.97499999999999</v>
      </c>
      <c r="O1757">
        <v>0</v>
      </c>
      <c r="P17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7" t="str">
        <f>IF(Table1[[#This Row],[Fraud_Score]]&gt;=6, "High Risk",IF(Table1[[#This Row],[Fraud_Score]]&gt;=3, "Medium Risk", "Low Risk"))</f>
        <v>Low Risk</v>
      </c>
      <c r="R1757">
        <f>IF(Table1[[#This Row],[Seconds of Use]]=0,0,Table1[[#This Row],[Customer Value]]/Table1[[#This Row],[Seconds of Use]]*100)</f>
        <v>6.7980182926829267</v>
      </c>
    </row>
    <row r="1758" spans="1:18" x14ac:dyDescent="0.35">
      <c r="A1758" s="3" t="s">
        <v>1779</v>
      </c>
      <c r="B1758">
        <v>0</v>
      </c>
      <c r="C1758">
        <v>0</v>
      </c>
      <c r="D1758">
        <v>36</v>
      </c>
      <c r="E1758">
        <v>0</v>
      </c>
      <c r="F1758">
        <v>1865</v>
      </c>
      <c r="G1758">
        <v>32</v>
      </c>
      <c r="H1758">
        <v>269</v>
      </c>
      <c r="I1758">
        <v>13</v>
      </c>
      <c r="J1758">
        <v>3</v>
      </c>
      <c r="K1758">
        <v>1</v>
      </c>
      <c r="L1758">
        <v>1</v>
      </c>
      <c r="M1758">
        <v>30</v>
      </c>
      <c r="N1758">
        <v>1151.8800000000001</v>
      </c>
      <c r="O1758">
        <v>0</v>
      </c>
      <c r="P17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58" t="str">
        <f>IF(Table1[[#This Row],[Fraud_Score]]&gt;=6, "High Risk",IF(Table1[[#This Row],[Fraud_Score]]&gt;=3, "Medium Risk", "Low Risk"))</f>
        <v>Low Risk</v>
      </c>
      <c r="R1758">
        <f>IF(Table1[[#This Row],[Seconds of Use]]=0,0,Table1[[#This Row],[Customer Value]]/Table1[[#This Row],[Seconds of Use]]*100)</f>
        <v>61.763002680965151</v>
      </c>
    </row>
    <row r="1759" spans="1:18" x14ac:dyDescent="0.35">
      <c r="A1759" s="3" t="s">
        <v>1780</v>
      </c>
      <c r="B1759">
        <v>6</v>
      </c>
      <c r="C1759">
        <v>0</v>
      </c>
      <c r="D1759">
        <v>35</v>
      </c>
      <c r="E1759">
        <v>1</v>
      </c>
      <c r="F1759">
        <v>8620</v>
      </c>
      <c r="G1759">
        <v>114</v>
      </c>
      <c r="H1759">
        <v>128</v>
      </c>
      <c r="I1759">
        <v>38</v>
      </c>
      <c r="J1759">
        <v>3</v>
      </c>
      <c r="K1759">
        <v>1</v>
      </c>
      <c r="L1759">
        <v>1</v>
      </c>
      <c r="M1759">
        <v>30</v>
      </c>
      <c r="N1759">
        <v>861.36</v>
      </c>
      <c r="O1759">
        <v>0</v>
      </c>
      <c r="P17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59" t="str">
        <f>IF(Table1[[#This Row],[Fraud_Score]]&gt;=6, "High Risk",IF(Table1[[#This Row],[Fraud_Score]]&gt;=3, "Medium Risk", "Low Risk"))</f>
        <v>Low Risk</v>
      </c>
      <c r="R1759">
        <f>IF(Table1[[#This Row],[Seconds of Use]]=0,0,Table1[[#This Row],[Customer Value]]/Table1[[#This Row],[Seconds of Use]]*100)</f>
        <v>9.9925754060324827</v>
      </c>
    </row>
    <row r="1760" spans="1:18" x14ac:dyDescent="0.35">
      <c r="A1760" s="3" t="s">
        <v>1781</v>
      </c>
      <c r="B1760">
        <v>0</v>
      </c>
      <c r="C1760">
        <v>0</v>
      </c>
      <c r="D1760">
        <v>36</v>
      </c>
      <c r="E1760">
        <v>0</v>
      </c>
      <c r="F1760">
        <v>13278</v>
      </c>
      <c r="G1760">
        <v>162</v>
      </c>
      <c r="H1760">
        <v>0</v>
      </c>
      <c r="I1760">
        <v>39</v>
      </c>
      <c r="J1760">
        <v>3</v>
      </c>
      <c r="K1760">
        <v>1</v>
      </c>
      <c r="L1760">
        <v>1</v>
      </c>
      <c r="M1760">
        <v>30</v>
      </c>
      <c r="N1760">
        <v>537.6</v>
      </c>
      <c r="O1760">
        <v>0</v>
      </c>
      <c r="P17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60" t="str">
        <f>IF(Table1[[#This Row],[Fraud_Score]]&gt;=6, "High Risk",IF(Table1[[#This Row],[Fraud_Score]]&gt;=3, "Medium Risk", "Low Risk"))</f>
        <v>Medium Risk</v>
      </c>
      <c r="R1760">
        <f>IF(Table1[[#This Row],[Seconds of Use]]=0,0,Table1[[#This Row],[Customer Value]]/Table1[[#This Row],[Seconds of Use]]*100)</f>
        <v>4.0488025305015816</v>
      </c>
    </row>
    <row r="1761" spans="1:18" x14ac:dyDescent="0.35">
      <c r="A1761" s="3" t="s">
        <v>1782</v>
      </c>
      <c r="B1761">
        <v>0</v>
      </c>
      <c r="C1761">
        <v>0</v>
      </c>
      <c r="D1761">
        <v>36</v>
      </c>
      <c r="E1761">
        <v>0</v>
      </c>
      <c r="F1761">
        <v>4020</v>
      </c>
      <c r="G1761">
        <v>76</v>
      </c>
      <c r="H1761">
        <v>0</v>
      </c>
      <c r="I1761">
        <v>20</v>
      </c>
      <c r="J1761">
        <v>3</v>
      </c>
      <c r="K1761">
        <v>1</v>
      </c>
      <c r="L1761">
        <v>1</v>
      </c>
      <c r="M1761">
        <v>30</v>
      </c>
      <c r="N1761">
        <v>163.84</v>
      </c>
      <c r="O1761">
        <v>0</v>
      </c>
      <c r="P17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61" t="str">
        <f>IF(Table1[[#This Row],[Fraud_Score]]&gt;=6, "High Risk",IF(Table1[[#This Row],[Fraud_Score]]&gt;=3, "Medium Risk", "Low Risk"))</f>
        <v>Low Risk</v>
      </c>
      <c r="R1761">
        <f>IF(Table1[[#This Row],[Seconds of Use]]=0,0,Table1[[#This Row],[Customer Value]]/Table1[[#This Row],[Seconds of Use]]*100)</f>
        <v>4.0756218905472634</v>
      </c>
    </row>
    <row r="1762" spans="1:18" x14ac:dyDescent="0.35">
      <c r="A1762" s="3" t="s">
        <v>1783</v>
      </c>
      <c r="B1762">
        <v>0</v>
      </c>
      <c r="C1762">
        <v>0</v>
      </c>
      <c r="D1762">
        <v>36</v>
      </c>
      <c r="E1762">
        <v>0</v>
      </c>
      <c r="F1762">
        <v>5423</v>
      </c>
      <c r="G1762">
        <v>88</v>
      </c>
      <c r="H1762">
        <v>0</v>
      </c>
      <c r="I1762">
        <v>7</v>
      </c>
      <c r="J1762">
        <v>2</v>
      </c>
      <c r="K1762">
        <v>1</v>
      </c>
      <c r="L1762">
        <v>1</v>
      </c>
      <c r="M1762">
        <v>25</v>
      </c>
      <c r="N1762">
        <v>247.995</v>
      </c>
      <c r="O1762">
        <v>0</v>
      </c>
      <c r="P17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62" t="str">
        <f>IF(Table1[[#This Row],[Fraud_Score]]&gt;=6, "High Risk",IF(Table1[[#This Row],[Fraud_Score]]&gt;=3, "Medium Risk", "Low Risk"))</f>
        <v>Low Risk</v>
      </c>
      <c r="R1762">
        <f>IF(Table1[[#This Row],[Seconds of Use]]=0,0,Table1[[#This Row],[Customer Value]]/Table1[[#This Row],[Seconds of Use]]*100)</f>
        <v>4.573022312373225</v>
      </c>
    </row>
    <row r="1763" spans="1:18" x14ac:dyDescent="0.35">
      <c r="A1763" s="3" t="s">
        <v>1784</v>
      </c>
      <c r="B1763">
        <v>2</v>
      </c>
      <c r="C1763">
        <v>0</v>
      </c>
      <c r="D1763">
        <v>36</v>
      </c>
      <c r="E1763">
        <v>0</v>
      </c>
      <c r="F1763">
        <v>1743</v>
      </c>
      <c r="G1763">
        <v>47</v>
      </c>
      <c r="H1763">
        <v>0</v>
      </c>
      <c r="I1763">
        <v>12</v>
      </c>
      <c r="J1763">
        <v>3</v>
      </c>
      <c r="K1763">
        <v>1</v>
      </c>
      <c r="L1763">
        <v>2</v>
      </c>
      <c r="M1763">
        <v>30</v>
      </c>
      <c r="N1763">
        <v>71.599999999999994</v>
      </c>
      <c r="O1763">
        <v>0</v>
      </c>
      <c r="P17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63" t="str">
        <f>IF(Table1[[#This Row],[Fraud_Score]]&gt;=6, "High Risk",IF(Table1[[#This Row],[Fraud_Score]]&gt;=3, "Medium Risk", "Low Risk"))</f>
        <v>Low Risk</v>
      </c>
      <c r="R1763">
        <f>IF(Table1[[#This Row],[Seconds of Use]]=0,0,Table1[[#This Row],[Customer Value]]/Table1[[#This Row],[Seconds of Use]]*100)</f>
        <v>4.107860011474469</v>
      </c>
    </row>
    <row r="1764" spans="1:18" x14ac:dyDescent="0.35">
      <c r="A1764" s="3" t="s">
        <v>1785</v>
      </c>
      <c r="B1764">
        <v>18</v>
      </c>
      <c r="C1764">
        <v>0</v>
      </c>
      <c r="D1764">
        <v>36</v>
      </c>
      <c r="E1764">
        <v>2</v>
      </c>
      <c r="F1764">
        <v>14645</v>
      </c>
      <c r="G1764">
        <v>218</v>
      </c>
      <c r="H1764">
        <v>38</v>
      </c>
      <c r="I1764">
        <v>27</v>
      </c>
      <c r="J1764">
        <v>3</v>
      </c>
      <c r="K1764">
        <v>1</v>
      </c>
      <c r="L1764">
        <v>1</v>
      </c>
      <c r="M1764">
        <v>30</v>
      </c>
      <c r="N1764">
        <v>746.52</v>
      </c>
      <c r="O1764">
        <v>0</v>
      </c>
      <c r="P17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764" t="str">
        <f>IF(Table1[[#This Row],[Fraud_Score]]&gt;=6, "High Risk",IF(Table1[[#This Row],[Fraud_Score]]&gt;=3, "Medium Risk", "Low Risk"))</f>
        <v>Medium Risk</v>
      </c>
      <c r="R1764">
        <f>IF(Table1[[#This Row],[Seconds of Use]]=0,0,Table1[[#This Row],[Customer Value]]/Table1[[#This Row],[Seconds of Use]]*100)</f>
        <v>5.097439399112325</v>
      </c>
    </row>
    <row r="1765" spans="1:18" x14ac:dyDescent="0.35">
      <c r="A1765" s="3" t="s">
        <v>1786</v>
      </c>
      <c r="B1765">
        <v>0</v>
      </c>
      <c r="C1765">
        <v>0</v>
      </c>
      <c r="D1765">
        <v>36</v>
      </c>
      <c r="E1765">
        <v>0</v>
      </c>
      <c r="F1765">
        <v>2600</v>
      </c>
      <c r="G1765">
        <v>20</v>
      </c>
      <c r="H1765">
        <v>467</v>
      </c>
      <c r="I1765">
        <v>3</v>
      </c>
      <c r="J1765">
        <v>3</v>
      </c>
      <c r="K1765">
        <v>1</v>
      </c>
      <c r="L1765">
        <v>1</v>
      </c>
      <c r="M1765">
        <v>30</v>
      </c>
      <c r="N1765">
        <v>1972.8</v>
      </c>
      <c r="O1765">
        <v>0</v>
      </c>
      <c r="P17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65" t="str">
        <f>IF(Table1[[#This Row],[Fraud_Score]]&gt;=6, "High Risk",IF(Table1[[#This Row],[Fraud_Score]]&gt;=3, "Medium Risk", "Low Risk"))</f>
        <v>Low Risk</v>
      </c>
      <c r="R1765">
        <f>IF(Table1[[#This Row],[Seconds of Use]]=0,0,Table1[[#This Row],[Customer Value]]/Table1[[#This Row],[Seconds of Use]]*100)</f>
        <v>75.876923076923077</v>
      </c>
    </row>
    <row r="1766" spans="1:18" x14ac:dyDescent="0.35">
      <c r="A1766" s="3" t="s">
        <v>1787</v>
      </c>
      <c r="B1766">
        <v>2</v>
      </c>
      <c r="C1766">
        <v>0</v>
      </c>
      <c r="D1766">
        <v>35</v>
      </c>
      <c r="E1766">
        <v>0</v>
      </c>
      <c r="F1766">
        <v>14990</v>
      </c>
      <c r="G1766">
        <v>175</v>
      </c>
      <c r="H1766">
        <v>134</v>
      </c>
      <c r="I1766">
        <v>25</v>
      </c>
      <c r="J1766">
        <v>2</v>
      </c>
      <c r="K1766">
        <v>1</v>
      </c>
      <c r="L1766">
        <v>1</v>
      </c>
      <c r="M1766">
        <v>25</v>
      </c>
      <c r="N1766">
        <v>1285.425</v>
      </c>
      <c r="O1766">
        <v>0</v>
      </c>
      <c r="P17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66" t="str">
        <f>IF(Table1[[#This Row],[Fraud_Score]]&gt;=6, "High Risk",IF(Table1[[#This Row],[Fraud_Score]]&gt;=3, "Medium Risk", "Low Risk"))</f>
        <v>Medium Risk</v>
      </c>
      <c r="R1766">
        <f>IF(Table1[[#This Row],[Seconds of Use]]=0,0,Table1[[#This Row],[Customer Value]]/Table1[[#This Row],[Seconds of Use]]*100)</f>
        <v>8.575216811207472</v>
      </c>
    </row>
    <row r="1767" spans="1:18" x14ac:dyDescent="0.35">
      <c r="A1767" s="3" t="s">
        <v>1788</v>
      </c>
      <c r="B1767">
        <v>0</v>
      </c>
      <c r="C1767">
        <v>0</v>
      </c>
      <c r="D1767">
        <v>35</v>
      </c>
      <c r="E1767">
        <v>0</v>
      </c>
      <c r="F1767">
        <v>6005</v>
      </c>
      <c r="G1767">
        <v>79</v>
      </c>
      <c r="H1767">
        <v>170</v>
      </c>
      <c r="I1767">
        <v>21</v>
      </c>
      <c r="J1767">
        <v>3</v>
      </c>
      <c r="K1767">
        <v>1</v>
      </c>
      <c r="L1767">
        <v>1</v>
      </c>
      <c r="M1767">
        <v>30</v>
      </c>
      <c r="N1767">
        <v>923.36</v>
      </c>
      <c r="O1767">
        <v>0</v>
      </c>
      <c r="P17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67" t="str">
        <f>IF(Table1[[#This Row],[Fraud_Score]]&gt;=6, "High Risk",IF(Table1[[#This Row],[Fraud_Score]]&gt;=3, "Medium Risk", "Low Risk"))</f>
        <v>Low Risk</v>
      </c>
      <c r="R1767">
        <f>IF(Table1[[#This Row],[Seconds of Use]]=0,0,Table1[[#This Row],[Customer Value]]/Table1[[#This Row],[Seconds of Use]]*100)</f>
        <v>15.376519567027477</v>
      </c>
    </row>
    <row r="1768" spans="1:18" x14ac:dyDescent="0.35">
      <c r="A1768" s="3" t="s">
        <v>1789</v>
      </c>
      <c r="B1768">
        <v>0</v>
      </c>
      <c r="C1768">
        <v>0</v>
      </c>
      <c r="D1768">
        <v>35</v>
      </c>
      <c r="E1768">
        <v>0</v>
      </c>
      <c r="F1768">
        <v>380</v>
      </c>
      <c r="G1768">
        <v>7</v>
      </c>
      <c r="H1768">
        <v>0</v>
      </c>
      <c r="I1768">
        <v>6</v>
      </c>
      <c r="J1768">
        <v>2</v>
      </c>
      <c r="K1768">
        <v>1</v>
      </c>
      <c r="L1768">
        <v>2</v>
      </c>
      <c r="M1768">
        <v>25</v>
      </c>
      <c r="N1768">
        <v>17.414999999999999</v>
      </c>
      <c r="O1768">
        <v>0</v>
      </c>
      <c r="P17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68" t="str">
        <f>IF(Table1[[#This Row],[Fraud_Score]]&gt;=6, "High Risk",IF(Table1[[#This Row],[Fraud_Score]]&gt;=3, "Medium Risk", "Low Risk"))</f>
        <v>Low Risk</v>
      </c>
      <c r="R1768">
        <f>IF(Table1[[#This Row],[Seconds of Use]]=0,0,Table1[[#This Row],[Customer Value]]/Table1[[#This Row],[Seconds of Use]]*100)</f>
        <v>4.5828947368421051</v>
      </c>
    </row>
    <row r="1769" spans="1:18" x14ac:dyDescent="0.35">
      <c r="A1769" s="3" t="s">
        <v>1790</v>
      </c>
      <c r="B1769">
        <v>0</v>
      </c>
      <c r="C1769">
        <v>0</v>
      </c>
      <c r="D1769">
        <v>36</v>
      </c>
      <c r="E1769">
        <v>0</v>
      </c>
      <c r="F1769">
        <v>215</v>
      </c>
      <c r="G1769">
        <v>7</v>
      </c>
      <c r="H1769">
        <v>0</v>
      </c>
      <c r="I1769">
        <v>3</v>
      </c>
      <c r="J1769">
        <v>2</v>
      </c>
      <c r="K1769">
        <v>1</v>
      </c>
      <c r="L1769">
        <v>2</v>
      </c>
      <c r="M1769">
        <v>25</v>
      </c>
      <c r="N1769">
        <v>9.99</v>
      </c>
      <c r="O1769">
        <v>0</v>
      </c>
      <c r="P17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69" t="str">
        <f>IF(Table1[[#This Row],[Fraud_Score]]&gt;=6, "High Risk",IF(Table1[[#This Row],[Fraud_Score]]&gt;=3, "Medium Risk", "Low Risk"))</f>
        <v>Low Risk</v>
      </c>
      <c r="R1769">
        <f>IF(Table1[[#This Row],[Seconds of Use]]=0,0,Table1[[#This Row],[Customer Value]]/Table1[[#This Row],[Seconds of Use]]*100)</f>
        <v>4.6465116279069765</v>
      </c>
    </row>
    <row r="1770" spans="1:18" x14ac:dyDescent="0.35">
      <c r="A1770" s="3" t="s">
        <v>1791</v>
      </c>
      <c r="B1770">
        <v>0</v>
      </c>
      <c r="C1770">
        <v>0</v>
      </c>
      <c r="D1770">
        <v>35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2</v>
      </c>
      <c r="K1770">
        <v>1</v>
      </c>
      <c r="L1770">
        <v>2</v>
      </c>
      <c r="M1770">
        <v>25</v>
      </c>
      <c r="N1770">
        <v>0</v>
      </c>
      <c r="O1770">
        <v>1</v>
      </c>
      <c r="P17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70" t="str">
        <f>IF(Table1[[#This Row],[Fraud_Score]]&gt;=6, "High Risk",IF(Table1[[#This Row],[Fraud_Score]]&gt;=3, "Medium Risk", "Low Risk"))</f>
        <v>Low Risk</v>
      </c>
      <c r="R1770">
        <f>IF(Table1[[#This Row],[Seconds of Use]]=0,0,Table1[[#This Row],[Customer Value]]/Table1[[#This Row],[Seconds of Use]]*100)</f>
        <v>0</v>
      </c>
    </row>
    <row r="1771" spans="1:18" x14ac:dyDescent="0.35">
      <c r="A1771" s="3" t="s">
        <v>1792</v>
      </c>
      <c r="B1771">
        <v>0</v>
      </c>
      <c r="C1771">
        <v>0</v>
      </c>
      <c r="D1771">
        <v>35</v>
      </c>
      <c r="E1771">
        <v>0</v>
      </c>
      <c r="F1771">
        <v>7013</v>
      </c>
      <c r="G1771">
        <v>120</v>
      </c>
      <c r="H1771">
        <v>368</v>
      </c>
      <c r="I1771">
        <v>38</v>
      </c>
      <c r="J1771">
        <v>2</v>
      </c>
      <c r="K1771">
        <v>1</v>
      </c>
      <c r="L1771">
        <v>1</v>
      </c>
      <c r="M1771">
        <v>25</v>
      </c>
      <c r="N1771">
        <v>1976.9849999999999</v>
      </c>
      <c r="O1771">
        <v>0</v>
      </c>
      <c r="P17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71" t="str">
        <f>IF(Table1[[#This Row],[Fraud_Score]]&gt;=6, "High Risk",IF(Table1[[#This Row],[Fraud_Score]]&gt;=3, "Medium Risk", "Low Risk"))</f>
        <v>Low Risk</v>
      </c>
      <c r="R1771">
        <f>IF(Table1[[#This Row],[Seconds of Use]]=0,0,Table1[[#This Row],[Customer Value]]/Table1[[#This Row],[Seconds of Use]]*100)</f>
        <v>28.190289462426922</v>
      </c>
    </row>
    <row r="1772" spans="1:18" x14ac:dyDescent="0.35">
      <c r="A1772" s="3" t="s">
        <v>1793</v>
      </c>
      <c r="B1772">
        <v>0</v>
      </c>
      <c r="C1772">
        <v>0</v>
      </c>
      <c r="D1772">
        <v>35</v>
      </c>
      <c r="E1772">
        <v>0</v>
      </c>
      <c r="F1772">
        <v>10970</v>
      </c>
      <c r="G1772">
        <v>147</v>
      </c>
      <c r="H1772">
        <v>0</v>
      </c>
      <c r="I1772">
        <v>42</v>
      </c>
      <c r="J1772">
        <v>3</v>
      </c>
      <c r="K1772">
        <v>1</v>
      </c>
      <c r="L1772">
        <v>1</v>
      </c>
      <c r="M1772">
        <v>30</v>
      </c>
      <c r="N1772">
        <v>444.68</v>
      </c>
      <c r="O1772">
        <v>0</v>
      </c>
      <c r="P17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72" t="str">
        <f>IF(Table1[[#This Row],[Fraud_Score]]&gt;=6, "High Risk",IF(Table1[[#This Row],[Fraud_Score]]&gt;=3, "Medium Risk", "Low Risk"))</f>
        <v>Medium Risk</v>
      </c>
      <c r="R1772">
        <f>IF(Table1[[#This Row],[Seconds of Use]]=0,0,Table1[[#This Row],[Customer Value]]/Table1[[#This Row],[Seconds of Use]]*100)</f>
        <v>4.053600729261623</v>
      </c>
    </row>
    <row r="1773" spans="1:18" x14ac:dyDescent="0.35">
      <c r="A1773" s="3" t="s">
        <v>1794</v>
      </c>
      <c r="B1773">
        <v>1</v>
      </c>
      <c r="C1773">
        <v>0</v>
      </c>
      <c r="D1773">
        <v>35</v>
      </c>
      <c r="E1773">
        <v>0</v>
      </c>
      <c r="F1773">
        <v>6223</v>
      </c>
      <c r="G1773">
        <v>68</v>
      </c>
      <c r="H1773">
        <v>92</v>
      </c>
      <c r="I1773">
        <v>32</v>
      </c>
      <c r="J1773">
        <v>2</v>
      </c>
      <c r="K1773">
        <v>1</v>
      </c>
      <c r="L1773">
        <v>1</v>
      </c>
      <c r="M1773">
        <v>25</v>
      </c>
      <c r="N1773">
        <v>697.09500000000003</v>
      </c>
      <c r="O1773">
        <v>0</v>
      </c>
      <c r="P17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73" t="str">
        <f>IF(Table1[[#This Row],[Fraud_Score]]&gt;=6, "High Risk",IF(Table1[[#This Row],[Fraud_Score]]&gt;=3, "Medium Risk", "Low Risk"))</f>
        <v>Low Risk</v>
      </c>
      <c r="R1773">
        <f>IF(Table1[[#This Row],[Seconds of Use]]=0,0,Table1[[#This Row],[Customer Value]]/Table1[[#This Row],[Seconds of Use]]*100)</f>
        <v>11.201912260967379</v>
      </c>
    </row>
    <row r="1774" spans="1:18" x14ac:dyDescent="0.35">
      <c r="A1774" s="3" t="s">
        <v>1795</v>
      </c>
      <c r="B1774">
        <v>16</v>
      </c>
      <c r="C1774">
        <v>1</v>
      </c>
      <c r="D1774">
        <v>31</v>
      </c>
      <c r="E1774">
        <v>0</v>
      </c>
      <c r="F1774">
        <v>460</v>
      </c>
      <c r="G1774">
        <v>40</v>
      </c>
      <c r="H1774">
        <v>0</v>
      </c>
      <c r="I1774">
        <v>12</v>
      </c>
      <c r="J1774">
        <v>2</v>
      </c>
      <c r="K1774">
        <v>1</v>
      </c>
      <c r="L1774">
        <v>2</v>
      </c>
      <c r="M1774">
        <v>25</v>
      </c>
      <c r="N1774">
        <v>22.5</v>
      </c>
      <c r="O1774">
        <v>1</v>
      </c>
      <c r="P17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774" t="str">
        <f>IF(Table1[[#This Row],[Fraud_Score]]&gt;=6, "High Risk",IF(Table1[[#This Row],[Fraud_Score]]&gt;=3, "Medium Risk", "Low Risk"))</f>
        <v>Medium Risk</v>
      </c>
      <c r="R1774">
        <f>IF(Table1[[#This Row],[Seconds of Use]]=0,0,Table1[[#This Row],[Customer Value]]/Table1[[#This Row],[Seconds of Use]]*100)</f>
        <v>4.8913043478260869</v>
      </c>
    </row>
    <row r="1775" spans="1:18" x14ac:dyDescent="0.35">
      <c r="A1775" s="3" t="s">
        <v>1796</v>
      </c>
      <c r="B1775">
        <v>14</v>
      </c>
      <c r="C1775">
        <v>0</v>
      </c>
      <c r="D1775">
        <v>34</v>
      </c>
      <c r="E1775">
        <v>7</v>
      </c>
      <c r="F1775">
        <v>9940</v>
      </c>
      <c r="G1775">
        <v>86</v>
      </c>
      <c r="H1775">
        <v>0</v>
      </c>
      <c r="I1775">
        <v>37</v>
      </c>
      <c r="J1775">
        <v>4</v>
      </c>
      <c r="K1775">
        <v>1</v>
      </c>
      <c r="L1775">
        <v>1</v>
      </c>
      <c r="M1775">
        <v>45</v>
      </c>
      <c r="N1775">
        <v>250.65</v>
      </c>
      <c r="O1775">
        <v>0</v>
      </c>
      <c r="P17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775" t="str">
        <f>IF(Table1[[#This Row],[Fraud_Score]]&gt;=6, "High Risk",IF(Table1[[#This Row],[Fraud_Score]]&gt;=3, "Medium Risk", "Low Risk"))</f>
        <v>Low Risk</v>
      </c>
      <c r="R1775">
        <f>IF(Table1[[#This Row],[Seconds of Use]]=0,0,Table1[[#This Row],[Customer Value]]/Table1[[#This Row],[Seconds of Use]]*100)</f>
        <v>2.5216297786720321</v>
      </c>
    </row>
    <row r="1776" spans="1:18" x14ac:dyDescent="0.35">
      <c r="A1776" s="3" t="s">
        <v>1797</v>
      </c>
      <c r="B1776">
        <v>6</v>
      </c>
      <c r="C1776">
        <v>0</v>
      </c>
      <c r="D1776">
        <v>34</v>
      </c>
      <c r="E1776">
        <v>0</v>
      </c>
      <c r="F1776">
        <v>5323</v>
      </c>
      <c r="G1776">
        <v>91</v>
      </c>
      <c r="H1776">
        <v>10</v>
      </c>
      <c r="I1776">
        <v>19</v>
      </c>
      <c r="J1776">
        <v>2</v>
      </c>
      <c r="K1776">
        <v>1</v>
      </c>
      <c r="L1776">
        <v>1</v>
      </c>
      <c r="M1776">
        <v>25</v>
      </c>
      <c r="N1776">
        <v>288.63</v>
      </c>
      <c r="O1776">
        <v>1</v>
      </c>
      <c r="P17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76" t="str">
        <f>IF(Table1[[#This Row],[Fraud_Score]]&gt;=6, "High Risk",IF(Table1[[#This Row],[Fraud_Score]]&gt;=3, "Medium Risk", "Low Risk"))</f>
        <v>Low Risk</v>
      </c>
      <c r="R1776">
        <f>IF(Table1[[#This Row],[Seconds of Use]]=0,0,Table1[[#This Row],[Customer Value]]/Table1[[#This Row],[Seconds of Use]]*100)</f>
        <v>5.4223182415930866</v>
      </c>
    </row>
    <row r="1777" spans="1:18" x14ac:dyDescent="0.35">
      <c r="A1777" s="3" t="s">
        <v>1798</v>
      </c>
      <c r="B1777">
        <v>0</v>
      </c>
      <c r="C1777">
        <v>0</v>
      </c>
      <c r="D1777">
        <v>32</v>
      </c>
      <c r="E1777">
        <v>0</v>
      </c>
      <c r="F1777">
        <v>2345</v>
      </c>
      <c r="G1777">
        <v>15</v>
      </c>
      <c r="H1777">
        <v>0</v>
      </c>
      <c r="I1777">
        <v>9</v>
      </c>
      <c r="J1777">
        <v>3</v>
      </c>
      <c r="K1777">
        <v>1</v>
      </c>
      <c r="L1777">
        <v>1</v>
      </c>
      <c r="M1777">
        <v>30</v>
      </c>
      <c r="N1777">
        <v>94.4</v>
      </c>
      <c r="O1777">
        <v>0</v>
      </c>
      <c r="P17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77" t="str">
        <f>IF(Table1[[#This Row],[Fraud_Score]]&gt;=6, "High Risk",IF(Table1[[#This Row],[Fraud_Score]]&gt;=3, "Medium Risk", "Low Risk"))</f>
        <v>Low Risk</v>
      </c>
      <c r="R1777">
        <f>IF(Table1[[#This Row],[Seconds of Use]]=0,0,Table1[[#This Row],[Customer Value]]/Table1[[#This Row],[Seconds of Use]]*100)</f>
        <v>4.0255863539445631</v>
      </c>
    </row>
    <row r="1778" spans="1:18" x14ac:dyDescent="0.35">
      <c r="A1778" s="3" t="s">
        <v>1799</v>
      </c>
      <c r="B1778">
        <v>2</v>
      </c>
      <c r="C1778">
        <v>1</v>
      </c>
      <c r="D1778">
        <v>33</v>
      </c>
      <c r="E1778">
        <v>0</v>
      </c>
      <c r="F1778">
        <v>2495</v>
      </c>
      <c r="G1778">
        <v>34</v>
      </c>
      <c r="H1778">
        <v>0</v>
      </c>
      <c r="I1778">
        <v>11</v>
      </c>
      <c r="J1778">
        <v>2</v>
      </c>
      <c r="K1778">
        <v>1</v>
      </c>
      <c r="L1778">
        <v>2</v>
      </c>
      <c r="M1778">
        <v>25</v>
      </c>
      <c r="N1778">
        <v>113.80500000000001</v>
      </c>
      <c r="O1778">
        <v>1</v>
      </c>
      <c r="P17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78" t="str">
        <f>IF(Table1[[#This Row],[Fraud_Score]]&gt;=6, "High Risk",IF(Table1[[#This Row],[Fraud_Score]]&gt;=3, "Medium Risk", "Low Risk"))</f>
        <v>Medium Risk</v>
      </c>
      <c r="R1778">
        <f>IF(Table1[[#This Row],[Seconds of Use]]=0,0,Table1[[#This Row],[Customer Value]]/Table1[[#This Row],[Seconds of Use]]*100)</f>
        <v>4.5613226452905815</v>
      </c>
    </row>
    <row r="1779" spans="1:18" x14ac:dyDescent="0.35">
      <c r="A1779" s="3" t="s">
        <v>1800</v>
      </c>
      <c r="B1779">
        <v>2</v>
      </c>
      <c r="C1779">
        <v>0</v>
      </c>
      <c r="D1779">
        <v>34</v>
      </c>
      <c r="E1779">
        <v>0</v>
      </c>
      <c r="F1779">
        <v>1773</v>
      </c>
      <c r="G1779">
        <v>37</v>
      </c>
      <c r="H1779">
        <v>18</v>
      </c>
      <c r="I1779">
        <v>26</v>
      </c>
      <c r="J1779">
        <v>3</v>
      </c>
      <c r="K1779">
        <v>1</v>
      </c>
      <c r="L1779">
        <v>2</v>
      </c>
      <c r="M1779">
        <v>30</v>
      </c>
      <c r="N1779">
        <v>144.4</v>
      </c>
      <c r="O1779">
        <v>1</v>
      </c>
      <c r="P17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79" t="str">
        <f>IF(Table1[[#This Row],[Fraud_Score]]&gt;=6, "High Risk",IF(Table1[[#This Row],[Fraud_Score]]&gt;=3, "Medium Risk", "Low Risk"))</f>
        <v>Low Risk</v>
      </c>
      <c r="R1779">
        <f>IF(Table1[[#This Row],[Seconds of Use]]=0,0,Table1[[#This Row],[Customer Value]]/Table1[[#This Row],[Seconds of Use]]*100)</f>
        <v>8.1443880428652005</v>
      </c>
    </row>
    <row r="1780" spans="1:18" x14ac:dyDescent="0.35">
      <c r="A1780" s="3" t="s">
        <v>1801</v>
      </c>
      <c r="B1780">
        <v>0</v>
      </c>
      <c r="C1780">
        <v>0</v>
      </c>
      <c r="D1780">
        <v>34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3</v>
      </c>
      <c r="K1780">
        <v>1</v>
      </c>
      <c r="L1780">
        <v>2</v>
      </c>
      <c r="M1780">
        <v>30</v>
      </c>
      <c r="N1780">
        <v>0</v>
      </c>
      <c r="O1780">
        <v>1</v>
      </c>
      <c r="P17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0" t="str">
        <f>IF(Table1[[#This Row],[Fraud_Score]]&gt;=6, "High Risk",IF(Table1[[#This Row],[Fraud_Score]]&gt;=3, "Medium Risk", "Low Risk"))</f>
        <v>Low Risk</v>
      </c>
      <c r="R1780">
        <f>IF(Table1[[#This Row],[Seconds of Use]]=0,0,Table1[[#This Row],[Customer Value]]/Table1[[#This Row],[Seconds of Use]]*100)</f>
        <v>0</v>
      </c>
    </row>
    <row r="1781" spans="1:18" x14ac:dyDescent="0.35">
      <c r="A1781" s="3" t="s">
        <v>1802</v>
      </c>
      <c r="B1781">
        <v>0</v>
      </c>
      <c r="C1781">
        <v>0</v>
      </c>
      <c r="D1781">
        <v>34</v>
      </c>
      <c r="E1781">
        <v>0</v>
      </c>
      <c r="F1781">
        <v>1173</v>
      </c>
      <c r="G1781">
        <v>18</v>
      </c>
      <c r="H1781">
        <v>0</v>
      </c>
      <c r="I1781">
        <v>1</v>
      </c>
      <c r="J1781">
        <v>3</v>
      </c>
      <c r="K1781">
        <v>1</v>
      </c>
      <c r="L1781">
        <v>1</v>
      </c>
      <c r="M1781">
        <v>30</v>
      </c>
      <c r="N1781">
        <v>47.64</v>
      </c>
      <c r="O1781">
        <v>0</v>
      </c>
      <c r="P17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1" t="str">
        <f>IF(Table1[[#This Row],[Fraud_Score]]&gt;=6, "High Risk",IF(Table1[[#This Row],[Fraud_Score]]&gt;=3, "Medium Risk", "Low Risk"))</f>
        <v>Low Risk</v>
      </c>
      <c r="R1781">
        <f>IF(Table1[[#This Row],[Seconds of Use]]=0,0,Table1[[#This Row],[Customer Value]]/Table1[[#This Row],[Seconds of Use]]*100)</f>
        <v>4.0613810741687981</v>
      </c>
    </row>
    <row r="1782" spans="1:18" x14ac:dyDescent="0.35">
      <c r="A1782" s="3" t="s">
        <v>1803</v>
      </c>
      <c r="B1782">
        <v>0</v>
      </c>
      <c r="C1782">
        <v>0</v>
      </c>
      <c r="D1782">
        <v>31</v>
      </c>
      <c r="E1782">
        <v>0</v>
      </c>
      <c r="F1782">
        <v>6290</v>
      </c>
      <c r="G1782">
        <v>90</v>
      </c>
      <c r="H1782">
        <v>0</v>
      </c>
      <c r="I1782">
        <v>17</v>
      </c>
      <c r="J1782">
        <v>4</v>
      </c>
      <c r="K1782">
        <v>1</v>
      </c>
      <c r="L1782">
        <v>1</v>
      </c>
      <c r="M1782">
        <v>45</v>
      </c>
      <c r="N1782">
        <v>159.5</v>
      </c>
      <c r="O1782">
        <v>0</v>
      </c>
      <c r="P17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2" t="str">
        <f>IF(Table1[[#This Row],[Fraud_Score]]&gt;=6, "High Risk",IF(Table1[[#This Row],[Fraud_Score]]&gt;=3, "Medium Risk", "Low Risk"))</f>
        <v>Low Risk</v>
      </c>
      <c r="R1782">
        <f>IF(Table1[[#This Row],[Seconds of Use]]=0,0,Table1[[#This Row],[Customer Value]]/Table1[[#This Row],[Seconds of Use]]*100)</f>
        <v>2.5357710651828298</v>
      </c>
    </row>
    <row r="1783" spans="1:18" x14ac:dyDescent="0.35">
      <c r="A1783" s="3" t="s">
        <v>1804</v>
      </c>
      <c r="B1783">
        <v>0</v>
      </c>
      <c r="C1783">
        <v>0</v>
      </c>
      <c r="D1783">
        <v>34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4</v>
      </c>
      <c r="K1783">
        <v>1</v>
      </c>
      <c r="L1783">
        <v>2</v>
      </c>
      <c r="M1783">
        <v>45</v>
      </c>
      <c r="N1783">
        <v>0</v>
      </c>
      <c r="O1783">
        <v>1</v>
      </c>
      <c r="P17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3" t="str">
        <f>IF(Table1[[#This Row],[Fraud_Score]]&gt;=6, "High Risk",IF(Table1[[#This Row],[Fraud_Score]]&gt;=3, "Medium Risk", "Low Risk"))</f>
        <v>Low Risk</v>
      </c>
      <c r="R1783">
        <f>IF(Table1[[#This Row],[Seconds of Use]]=0,0,Table1[[#This Row],[Customer Value]]/Table1[[#This Row],[Seconds of Use]]*100)</f>
        <v>0</v>
      </c>
    </row>
    <row r="1784" spans="1:18" x14ac:dyDescent="0.35">
      <c r="A1784" s="3" t="s">
        <v>1805</v>
      </c>
      <c r="B1784">
        <v>0</v>
      </c>
      <c r="C1784">
        <v>0</v>
      </c>
      <c r="D1784">
        <v>34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5</v>
      </c>
      <c r="K1784">
        <v>1</v>
      </c>
      <c r="L1784">
        <v>1</v>
      </c>
      <c r="M1784">
        <v>55</v>
      </c>
      <c r="N1784">
        <v>0</v>
      </c>
      <c r="O1784">
        <v>0</v>
      </c>
      <c r="P17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4" t="str">
        <f>IF(Table1[[#This Row],[Fraud_Score]]&gt;=6, "High Risk",IF(Table1[[#This Row],[Fraud_Score]]&gt;=3, "Medium Risk", "Low Risk"))</f>
        <v>Low Risk</v>
      </c>
      <c r="R1784">
        <f>IF(Table1[[#This Row],[Seconds of Use]]=0,0,Table1[[#This Row],[Customer Value]]/Table1[[#This Row],[Seconds of Use]]*100)</f>
        <v>0</v>
      </c>
    </row>
    <row r="1785" spans="1:18" x14ac:dyDescent="0.35">
      <c r="A1785" s="3" t="s">
        <v>1806</v>
      </c>
      <c r="B1785">
        <v>18</v>
      </c>
      <c r="C1785">
        <v>0</v>
      </c>
      <c r="D1785">
        <v>29</v>
      </c>
      <c r="E1785">
        <v>2</v>
      </c>
      <c r="F1785">
        <v>15580</v>
      </c>
      <c r="G1785">
        <v>231</v>
      </c>
      <c r="H1785">
        <v>0</v>
      </c>
      <c r="I1785">
        <v>75</v>
      </c>
      <c r="J1785">
        <v>2</v>
      </c>
      <c r="K1785">
        <v>1</v>
      </c>
      <c r="L1785">
        <v>1</v>
      </c>
      <c r="M1785">
        <v>25</v>
      </c>
      <c r="N1785">
        <v>711.495</v>
      </c>
      <c r="O1785">
        <v>0</v>
      </c>
      <c r="P17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785" t="str">
        <f>IF(Table1[[#This Row],[Fraud_Score]]&gt;=6, "High Risk",IF(Table1[[#This Row],[Fraud_Score]]&gt;=3, "Medium Risk", "Low Risk"))</f>
        <v>Medium Risk</v>
      </c>
      <c r="R1785">
        <f>IF(Table1[[#This Row],[Seconds of Use]]=0,0,Table1[[#This Row],[Customer Value]]/Table1[[#This Row],[Seconds of Use]]*100)</f>
        <v>4.5667201540436455</v>
      </c>
    </row>
    <row r="1786" spans="1:18" x14ac:dyDescent="0.35">
      <c r="A1786" s="3" t="s">
        <v>1807</v>
      </c>
      <c r="B1786">
        <v>0</v>
      </c>
      <c r="C1786">
        <v>0</v>
      </c>
      <c r="D1786">
        <v>32</v>
      </c>
      <c r="E1786">
        <v>2</v>
      </c>
      <c r="F1786">
        <v>6470</v>
      </c>
      <c r="G1786">
        <v>109</v>
      </c>
      <c r="H1786">
        <v>255</v>
      </c>
      <c r="I1786">
        <v>28</v>
      </c>
      <c r="J1786">
        <v>2</v>
      </c>
      <c r="K1786">
        <v>2</v>
      </c>
      <c r="L1786">
        <v>1</v>
      </c>
      <c r="M1786">
        <v>25</v>
      </c>
      <c r="N1786">
        <v>1443.5550000000001</v>
      </c>
      <c r="O1786">
        <v>0</v>
      </c>
      <c r="P17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86" t="str">
        <f>IF(Table1[[#This Row],[Fraud_Score]]&gt;=6, "High Risk",IF(Table1[[#This Row],[Fraud_Score]]&gt;=3, "Medium Risk", "Low Risk"))</f>
        <v>Low Risk</v>
      </c>
      <c r="R1786">
        <f>IF(Table1[[#This Row],[Seconds of Use]]=0,0,Table1[[#This Row],[Customer Value]]/Table1[[#This Row],[Seconds of Use]]*100)</f>
        <v>22.311514683153014</v>
      </c>
    </row>
    <row r="1787" spans="1:18" x14ac:dyDescent="0.35">
      <c r="A1787" s="3" t="s">
        <v>1808</v>
      </c>
      <c r="B1787">
        <v>0</v>
      </c>
      <c r="C1787">
        <v>0</v>
      </c>
      <c r="D1787">
        <v>34</v>
      </c>
      <c r="E1787">
        <v>0</v>
      </c>
      <c r="F1787">
        <v>3223</v>
      </c>
      <c r="G1787">
        <v>75</v>
      </c>
      <c r="H1787">
        <v>0</v>
      </c>
      <c r="I1787">
        <v>23</v>
      </c>
      <c r="J1787">
        <v>2</v>
      </c>
      <c r="K1787">
        <v>1</v>
      </c>
      <c r="L1787">
        <v>1</v>
      </c>
      <c r="M1787">
        <v>25</v>
      </c>
      <c r="N1787">
        <v>148.41</v>
      </c>
      <c r="O1787">
        <v>0</v>
      </c>
      <c r="P17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7" t="str">
        <f>IF(Table1[[#This Row],[Fraud_Score]]&gt;=6, "High Risk",IF(Table1[[#This Row],[Fraud_Score]]&gt;=3, "Medium Risk", "Low Risk"))</f>
        <v>Low Risk</v>
      </c>
      <c r="R1787">
        <f>IF(Table1[[#This Row],[Seconds of Use]]=0,0,Table1[[#This Row],[Customer Value]]/Table1[[#This Row],[Seconds of Use]]*100)</f>
        <v>4.6047161030096184</v>
      </c>
    </row>
    <row r="1788" spans="1:18" x14ac:dyDescent="0.35">
      <c r="A1788" s="3" t="s">
        <v>1809</v>
      </c>
      <c r="B1788">
        <v>0</v>
      </c>
      <c r="C1788">
        <v>0</v>
      </c>
      <c r="D1788">
        <v>33</v>
      </c>
      <c r="E1788">
        <v>0</v>
      </c>
      <c r="F1788">
        <v>1170</v>
      </c>
      <c r="G1788">
        <v>37</v>
      </c>
      <c r="H1788">
        <v>22</v>
      </c>
      <c r="I1788">
        <v>15</v>
      </c>
      <c r="J1788">
        <v>3</v>
      </c>
      <c r="K1788">
        <v>1</v>
      </c>
      <c r="L1788">
        <v>2</v>
      </c>
      <c r="M1788">
        <v>30</v>
      </c>
      <c r="N1788">
        <v>136.28</v>
      </c>
      <c r="O1788">
        <v>0</v>
      </c>
      <c r="P17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8" t="str">
        <f>IF(Table1[[#This Row],[Fraud_Score]]&gt;=6, "High Risk",IF(Table1[[#This Row],[Fraud_Score]]&gt;=3, "Medium Risk", "Low Risk"))</f>
        <v>Low Risk</v>
      </c>
      <c r="R1788">
        <f>IF(Table1[[#This Row],[Seconds of Use]]=0,0,Table1[[#This Row],[Customer Value]]/Table1[[#This Row],[Seconds of Use]]*100)</f>
        <v>11.647863247863247</v>
      </c>
    </row>
    <row r="1789" spans="1:18" x14ac:dyDescent="0.35">
      <c r="A1789" s="3" t="s">
        <v>1810</v>
      </c>
      <c r="B1789">
        <v>0</v>
      </c>
      <c r="C1789">
        <v>0</v>
      </c>
      <c r="D1789">
        <v>34</v>
      </c>
      <c r="E1789">
        <v>0</v>
      </c>
      <c r="F1789">
        <v>2285</v>
      </c>
      <c r="G1789">
        <v>46</v>
      </c>
      <c r="H1789">
        <v>159</v>
      </c>
      <c r="I1789">
        <v>18</v>
      </c>
      <c r="J1789">
        <v>2</v>
      </c>
      <c r="K1789">
        <v>1</v>
      </c>
      <c r="L1789">
        <v>1</v>
      </c>
      <c r="M1789">
        <v>25</v>
      </c>
      <c r="N1789">
        <v>820.39499999999998</v>
      </c>
      <c r="O1789">
        <v>0</v>
      </c>
      <c r="P17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89" t="str">
        <f>IF(Table1[[#This Row],[Fraud_Score]]&gt;=6, "High Risk",IF(Table1[[#This Row],[Fraud_Score]]&gt;=3, "Medium Risk", "Low Risk"))</f>
        <v>Low Risk</v>
      </c>
      <c r="R1789">
        <f>IF(Table1[[#This Row],[Seconds of Use]]=0,0,Table1[[#This Row],[Customer Value]]/Table1[[#This Row],[Seconds of Use]]*100)</f>
        <v>35.903501094091908</v>
      </c>
    </row>
    <row r="1790" spans="1:18" x14ac:dyDescent="0.35">
      <c r="A1790" s="3" t="s">
        <v>1811</v>
      </c>
      <c r="B1790">
        <v>0</v>
      </c>
      <c r="C1790">
        <v>0</v>
      </c>
      <c r="D1790">
        <v>25</v>
      </c>
      <c r="E1790">
        <v>0</v>
      </c>
      <c r="F1790">
        <v>820</v>
      </c>
      <c r="G1790">
        <v>29</v>
      </c>
      <c r="H1790">
        <v>177</v>
      </c>
      <c r="I1790">
        <v>6</v>
      </c>
      <c r="J1790">
        <v>2</v>
      </c>
      <c r="K1790">
        <v>2</v>
      </c>
      <c r="L1790">
        <v>1</v>
      </c>
      <c r="M1790">
        <v>25</v>
      </c>
      <c r="N1790">
        <v>834.70500000000004</v>
      </c>
      <c r="O1790">
        <v>0</v>
      </c>
      <c r="P17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90" t="str">
        <f>IF(Table1[[#This Row],[Fraud_Score]]&gt;=6, "High Risk",IF(Table1[[#This Row],[Fraud_Score]]&gt;=3, "Medium Risk", "Low Risk"))</f>
        <v>Low Risk</v>
      </c>
      <c r="R1790">
        <f>IF(Table1[[#This Row],[Seconds of Use]]=0,0,Table1[[#This Row],[Customer Value]]/Table1[[#This Row],[Seconds of Use]]*100)</f>
        <v>101.79329268292683</v>
      </c>
    </row>
    <row r="1791" spans="1:18" x14ac:dyDescent="0.35">
      <c r="A1791" s="3" t="s">
        <v>1812</v>
      </c>
      <c r="B1791">
        <v>0</v>
      </c>
      <c r="C1791">
        <v>0</v>
      </c>
      <c r="D1791">
        <v>24</v>
      </c>
      <c r="E1791">
        <v>0</v>
      </c>
      <c r="F1791">
        <v>1073</v>
      </c>
      <c r="G1791">
        <v>32</v>
      </c>
      <c r="H1791">
        <v>14</v>
      </c>
      <c r="I1791">
        <v>63</v>
      </c>
      <c r="J1791">
        <v>4</v>
      </c>
      <c r="K1791">
        <v>1</v>
      </c>
      <c r="L1791">
        <v>1</v>
      </c>
      <c r="M1791">
        <v>45</v>
      </c>
      <c r="N1791">
        <v>62.625</v>
      </c>
      <c r="O1791">
        <v>0</v>
      </c>
      <c r="P17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791" t="str">
        <f>IF(Table1[[#This Row],[Fraud_Score]]&gt;=6, "High Risk",IF(Table1[[#This Row],[Fraud_Score]]&gt;=3, "Medium Risk", "Low Risk"))</f>
        <v>Low Risk</v>
      </c>
      <c r="R1791">
        <f>IF(Table1[[#This Row],[Seconds of Use]]=0,0,Table1[[#This Row],[Customer Value]]/Table1[[#This Row],[Seconds of Use]]*100)</f>
        <v>5.8364398881640263</v>
      </c>
    </row>
    <row r="1792" spans="1:18" x14ac:dyDescent="0.35">
      <c r="A1792" s="3" t="s">
        <v>1813</v>
      </c>
      <c r="B1792">
        <v>4</v>
      </c>
      <c r="C1792">
        <v>0</v>
      </c>
      <c r="D1792">
        <v>25</v>
      </c>
      <c r="E1792">
        <v>0</v>
      </c>
      <c r="F1792">
        <v>205</v>
      </c>
      <c r="G1792">
        <v>18</v>
      </c>
      <c r="H1792">
        <v>0</v>
      </c>
      <c r="I1792">
        <v>2</v>
      </c>
      <c r="J1792">
        <v>2</v>
      </c>
      <c r="K1792">
        <v>1</v>
      </c>
      <c r="L1792">
        <v>2</v>
      </c>
      <c r="M1792">
        <v>25</v>
      </c>
      <c r="N1792">
        <v>10.035</v>
      </c>
      <c r="O1792">
        <v>0</v>
      </c>
      <c r="P17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92" t="str">
        <f>IF(Table1[[#This Row],[Fraud_Score]]&gt;=6, "High Risk",IF(Table1[[#This Row],[Fraud_Score]]&gt;=3, "Medium Risk", "Low Risk"))</f>
        <v>Low Risk</v>
      </c>
      <c r="R1792">
        <f>IF(Table1[[#This Row],[Seconds of Use]]=0,0,Table1[[#This Row],[Customer Value]]/Table1[[#This Row],[Seconds of Use]]*100)</f>
        <v>4.8951219512195125</v>
      </c>
    </row>
    <row r="1793" spans="1:18" x14ac:dyDescent="0.35">
      <c r="A1793" s="3" t="s">
        <v>1814</v>
      </c>
      <c r="B1793">
        <v>0</v>
      </c>
      <c r="C1793">
        <v>0</v>
      </c>
      <c r="D1793">
        <v>24</v>
      </c>
      <c r="E1793">
        <v>0</v>
      </c>
      <c r="F1793">
        <v>0</v>
      </c>
      <c r="G1793">
        <v>0</v>
      </c>
      <c r="H1793">
        <v>5</v>
      </c>
      <c r="I1793">
        <v>0</v>
      </c>
      <c r="J1793">
        <v>4</v>
      </c>
      <c r="K1793">
        <v>1</v>
      </c>
      <c r="L1793">
        <v>2</v>
      </c>
      <c r="M1793">
        <v>45</v>
      </c>
      <c r="N1793">
        <v>12.5</v>
      </c>
      <c r="O1793">
        <v>0</v>
      </c>
      <c r="P17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93" t="str">
        <f>IF(Table1[[#This Row],[Fraud_Score]]&gt;=6, "High Risk",IF(Table1[[#This Row],[Fraud_Score]]&gt;=3, "Medium Risk", "Low Risk"))</f>
        <v>Low Risk</v>
      </c>
      <c r="R1793">
        <f>IF(Table1[[#This Row],[Seconds of Use]]=0,0,Table1[[#This Row],[Customer Value]]/Table1[[#This Row],[Seconds of Use]]*100)</f>
        <v>0</v>
      </c>
    </row>
    <row r="1794" spans="1:18" x14ac:dyDescent="0.35">
      <c r="A1794" s="3" t="s">
        <v>1815</v>
      </c>
      <c r="B1794">
        <v>3</v>
      </c>
      <c r="C1794">
        <v>0</v>
      </c>
      <c r="D1794">
        <v>23</v>
      </c>
      <c r="E1794">
        <v>0</v>
      </c>
      <c r="F1794">
        <v>730</v>
      </c>
      <c r="G1794">
        <v>25</v>
      </c>
      <c r="H1794">
        <v>3</v>
      </c>
      <c r="I1794">
        <v>8</v>
      </c>
      <c r="J1794">
        <v>2</v>
      </c>
      <c r="K1794">
        <v>1</v>
      </c>
      <c r="L1794">
        <v>1</v>
      </c>
      <c r="M1794">
        <v>25</v>
      </c>
      <c r="N1794">
        <v>47.475000000000001</v>
      </c>
      <c r="O1794">
        <v>0</v>
      </c>
      <c r="P17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94" t="str">
        <f>IF(Table1[[#This Row],[Fraud_Score]]&gt;=6, "High Risk",IF(Table1[[#This Row],[Fraud_Score]]&gt;=3, "Medium Risk", "Low Risk"))</f>
        <v>Low Risk</v>
      </c>
      <c r="R1794">
        <f>IF(Table1[[#This Row],[Seconds of Use]]=0,0,Table1[[#This Row],[Customer Value]]/Table1[[#This Row],[Seconds of Use]]*100)</f>
        <v>6.5034246575342474</v>
      </c>
    </row>
    <row r="1795" spans="1:18" x14ac:dyDescent="0.35">
      <c r="A1795" s="3" t="s">
        <v>1816</v>
      </c>
      <c r="B1795">
        <v>0</v>
      </c>
      <c r="C1795">
        <v>0</v>
      </c>
      <c r="D1795">
        <v>23</v>
      </c>
      <c r="E1795">
        <v>0</v>
      </c>
      <c r="F1795">
        <v>2730</v>
      </c>
      <c r="G1795">
        <v>54</v>
      </c>
      <c r="H1795">
        <v>0</v>
      </c>
      <c r="I1795">
        <v>18</v>
      </c>
      <c r="J1795">
        <v>3</v>
      </c>
      <c r="K1795">
        <v>1</v>
      </c>
      <c r="L1795">
        <v>1</v>
      </c>
      <c r="M1795">
        <v>30</v>
      </c>
      <c r="N1795">
        <v>111.36</v>
      </c>
      <c r="O1795">
        <v>0</v>
      </c>
      <c r="P17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95" t="str">
        <f>IF(Table1[[#This Row],[Fraud_Score]]&gt;=6, "High Risk",IF(Table1[[#This Row],[Fraud_Score]]&gt;=3, "Medium Risk", "Low Risk"))</f>
        <v>Low Risk</v>
      </c>
      <c r="R1795">
        <f>IF(Table1[[#This Row],[Seconds of Use]]=0,0,Table1[[#This Row],[Customer Value]]/Table1[[#This Row],[Seconds of Use]]*100)</f>
        <v>4.0791208791208788</v>
      </c>
    </row>
    <row r="1796" spans="1:18" x14ac:dyDescent="0.35">
      <c r="A1796" s="3" t="s">
        <v>1817</v>
      </c>
      <c r="B1796">
        <v>0</v>
      </c>
      <c r="C1796">
        <v>0</v>
      </c>
      <c r="D1796">
        <v>16</v>
      </c>
      <c r="E1796">
        <v>0</v>
      </c>
      <c r="F1796">
        <v>1200</v>
      </c>
      <c r="G1796">
        <v>19</v>
      </c>
      <c r="H1796">
        <v>12</v>
      </c>
      <c r="I1796">
        <v>9</v>
      </c>
      <c r="J1796">
        <v>2</v>
      </c>
      <c r="K1796">
        <v>1</v>
      </c>
      <c r="L1796">
        <v>1</v>
      </c>
      <c r="M1796">
        <v>25</v>
      </c>
      <c r="N1796">
        <v>108.855</v>
      </c>
      <c r="O1796">
        <v>0</v>
      </c>
      <c r="P17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96" t="str">
        <f>IF(Table1[[#This Row],[Fraud_Score]]&gt;=6, "High Risk",IF(Table1[[#This Row],[Fraud_Score]]&gt;=3, "Medium Risk", "Low Risk"))</f>
        <v>Low Risk</v>
      </c>
      <c r="R1796">
        <f>IF(Table1[[#This Row],[Seconds of Use]]=0,0,Table1[[#This Row],[Customer Value]]/Table1[[#This Row],[Seconds of Use]]*100)</f>
        <v>9.0712500000000009</v>
      </c>
    </row>
    <row r="1797" spans="1:18" x14ac:dyDescent="0.35">
      <c r="A1797" s="3" t="s">
        <v>1818</v>
      </c>
      <c r="B1797">
        <v>9</v>
      </c>
      <c r="C1797">
        <v>0</v>
      </c>
      <c r="D1797">
        <v>15</v>
      </c>
      <c r="E1797">
        <v>0</v>
      </c>
      <c r="F1797">
        <v>5897</v>
      </c>
      <c r="G1797">
        <v>134</v>
      </c>
      <c r="H1797">
        <v>69</v>
      </c>
      <c r="I1797">
        <v>37</v>
      </c>
      <c r="J1797">
        <v>1</v>
      </c>
      <c r="K1797">
        <v>2</v>
      </c>
      <c r="L1797">
        <v>1</v>
      </c>
      <c r="M1797">
        <v>15</v>
      </c>
      <c r="N1797">
        <v>711.20500000000004</v>
      </c>
      <c r="O1797">
        <v>0</v>
      </c>
      <c r="P17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797" t="str">
        <f>IF(Table1[[#This Row],[Fraud_Score]]&gt;=6, "High Risk",IF(Table1[[#This Row],[Fraud_Score]]&gt;=3, "Medium Risk", "Low Risk"))</f>
        <v>Low Risk</v>
      </c>
      <c r="R1797">
        <f>IF(Table1[[#This Row],[Seconds of Use]]=0,0,Table1[[#This Row],[Customer Value]]/Table1[[#This Row],[Seconds of Use]]*100)</f>
        <v>12.06045446837375</v>
      </c>
    </row>
    <row r="1798" spans="1:18" x14ac:dyDescent="0.35">
      <c r="A1798" s="3" t="s">
        <v>1819</v>
      </c>
      <c r="B1798">
        <v>5</v>
      </c>
      <c r="C1798">
        <v>0</v>
      </c>
      <c r="D1798">
        <v>13</v>
      </c>
      <c r="E1798">
        <v>0</v>
      </c>
      <c r="F1798">
        <v>8437</v>
      </c>
      <c r="G1798">
        <v>164</v>
      </c>
      <c r="H1798">
        <v>57</v>
      </c>
      <c r="I1798">
        <v>35</v>
      </c>
      <c r="J1798">
        <v>4</v>
      </c>
      <c r="K1798">
        <v>1</v>
      </c>
      <c r="L1798">
        <v>1</v>
      </c>
      <c r="M1798">
        <v>45</v>
      </c>
      <c r="N1798">
        <v>357.52499999999998</v>
      </c>
      <c r="O1798">
        <v>0</v>
      </c>
      <c r="P17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798" t="str">
        <f>IF(Table1[[#This Row],[Fraud_Score]]&gt;=6, "High Risk",IF(Table1[[#This Row],[Fraud_Score]]&gt;=3, "Medium Risk", "Low Risk"))</f>
        <v>Medium Risk</v>
      </c>
      <c r="R1798">
        <f>IF(Table1[[#This Row],[Seconds of Use]]=0,0,Table1[[#This Row],[Customer Value]]/Table1[[#This Row],[Seconds of Use]]*100)</f>
        <v>4.2375844494488559</v>
      </c>
    </row>
    <row r="1799" spans="1:18" x14ac:dyDescent="0.35">
      <c r="A1799" s="3" t="s">
        <v>1820</v>
      </c>
      <c r="B1799">
        <v>1</v>
      </c>
      <c r="C1799">
        <v>0</v>
      </c>
      <c r="D1799">
        <v>14</v>
      </c>
      <c r="E1799">
        <v>2</v>
      </c>
      <c r="F1799">
        <v>2357</v>
      </c>
      <c r="G1799">
        <v>38</v>
      </c>
      <c r="H1799">
        <v>15</v>
      </c>
      <c r="I1799">
        <v>14</v>
      </c>
      <c r="J1799">
        <v>3</v>
      </c>
      <c r="K1799">
        <v>1</v>
      </c>
      <c r="L1799">
        <v>1</v>
      </c>
      <c r="M1799">
        <v>30</v>
      </c>
      <c r="N1799">
        <v>155.80000000000001</v>
      </c>
      <c r="O1799">
        <v>0</v>
      </c>
      <c r="P17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799" t="str">
        <f>IF(Table1[[#This Row],[Fraud_Score]]&gt;=6, "High Risk",IF(Table1[[#This Row],[Fraud_Score]]&gt;=3, "Medium Risk", "Low Risk"))</f>
        <v>Low Risk</v>
      </c>
      <c r="R1799">
        <f>IF(Table1[[#This Row],[Seconds of Use]]=0,0,Table1[[#This Row],[Customer Value]]/Table1[[#This Row],[Seconds of Use]]*100)</f>
        <v>6.6100975816716172</v>
      </c>
    </row>
    <row r="1800" spans="1:18" x14ac:dyDescent="0.35">
      <c r="A1800" s="3" t="s">
        <v>1821</v>
      </c>
      <c r="B1800">
        <v>0</v>
      </c>
      <c r="C1800">
        <v>0</v>
      </c>
      <c r="D1800">
        <v>7</v>
      </c>
      <c r="E1800">
        <v>0</v>
      </c>
      <c r="F1800">
        <v>3895</v>
      </c>
      <c r="G1800">
        <v>33</v>
      </c>
      <c r="H1800">
        <v>199</v>
      </c>
      <c r="I1800">
        <v>5</v>
      </c>
      <c r="J1800">
        <v>3</v>
      </c>
      <c r="K1800">
        <v>1</v>
      </c>
      <c r="L1800">
        <v>1</v>
      </c>
      <c r="M1800">
        <v>30</v>
      </c>
      <c r="N1800">
        <v>953.12</v>
      </c>
      <c r="O1800">
        <v>0</v>
      </c>
      <c r="P18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0" t="str">
        <f>IF(Table1[[#This Row],[Fraud_Score]]&gt;=6, "High Risk",IF(Table1[[#This Row],[Fraud_Score]]&gt;=3, "Medium Risk", "Low Risk"))</f>
        <v>Low Risk</v>
      </c>
      <c r="R1800">
        <f>IF(Table1[[#This Row],[Seconds of Use]]=0,0,Table1[[#This Row],[Customer Value]]/Table1[[#This Row],[Seconds of Use]]*100)</f>
        <v>24.470346598202823</v>
      </c>
    </row>
    <row r="1801" spans="1:18" x14ac:dyDescent="0.35">
      <c r="A1801" s="3" t="s">
        <v>1822</v>
      </c>
      <c r="B1801">
        <v>0</v>
      </c>
      <c r="C1801">
        <v>0</v>
      </c>
      <c r="D1801">
        <v>7</v>
      </c>
      <c r="E1801">
        <v>0</v>
      </c>
      <c r="F1801">
        <v>992</v>
      </c>
      <c r="G1801">
        <v>12</v>
      </c>
      <c r="H1801">
        <v>0</v>
      </c>
      <c r="I1801">
        <v>2</v>
      </c>
      <c r="J1801">
        <v>2</v>
      </c>
      <c r="K1801">
        <v>1</v>
      </c>
      <c r="L1801">
        <v>1</v>
      </c>
      <c r="M1801">
        <v>25</v>
      </c>
      <c r="N1801">
        <v>45.18</v>
      </c>
      <c r="O1801">
        <v>1</v>
      </c>
      <c r="P18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1" t="str">
        <f>IF(Table1[[#This Row],[Fraud_Score]]&gt;=6, "High Risk",IF(Table1[[#This Row],[Fraud_Score]]&gt;=3, "Medium Risk", "Low Risk"))</f>
        <v>Low Risk</v>
      </c>
      <c r="R1801">
        <f>IF(Table1[[#This Row],[Seconds of Use]]=0,0,Table1[[#This Row],[Customer Value]]/Table1[[#This Row],[Seconds of Use]]*100)</f>
        <v>4.554435483870968</v>
      </c>
    </row>
    <row r="1802" spans="1:18" x14ac:dyDescent="0.35">
      <c r="A1802" s="3" t="s">
        <v>1823</v>
      </c>
      <c r="B1802">
        <v>1</v>
      </c>
      <c r="C1802">
        <v>0</v>
      </c>
      <c r="D1802">
        <v>31</v>
      </c>
      <c r="E1802">
        <v>0</v>
      </c>
      <c r="F1802">
        <v>4065</v>
      </c>
      <c r="G1802">
        <v>59</v>
      </c>
      <c r="H1802">
        <v>0</v>
      </c>
      <c r="I1802">
        <v>14</v>
      </c>
      <c r="J1802">
        <v>2</v>
      </c>
      <c r="K1802">
        <v>1</v>
      </c>
      <c r="L1802">
        <v>1</v>
      </c>
      <c r="M1802">
        <v>25</v>
      </c>
      <c r="N1802">
        <v>185.58</v>
      </c>
      <c r="O1802">
        <v>0</v>
      </c>
      <c r="P18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2" t="str">
        <f>IF(Table1[[#This Row],[Fraud_Score]]&gt;=6, "High Risk",IF(Table1[[#This Row],[Fraud_Score]]&gt;=3, "Medium Risk", "Low Risk"))</f>
        <v>Low Risk</v>
      </c>
      <c r="R1802">
        <f>IF(Table1[[#This Row],[Seconds of Use]]=0,0,Table1[[#This Row],[Customer Value]]/Table1[[#This Row],[Seconds of Use]]*100)</f>
        <v>4.5653136531365313</v>
      </c>
    </row>
    <row r="1803" spans="1:18" x14ac:dyDescent="0.35">
      <c r="A1803" s="3" t="s">
        <v>1824</v>
      </c>
      <c r="B1803">
        <v>0</v>
      </c>
      <c r="C1803">
        <v>0</v>
      </c>
      <c r="D1803">
        <v>32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2</v>
      </c>
      <c r="K1803">
        <v>1</v>
      </c>
      <c r="L1803">
        <v>2</v>
      </c>
      <c r="M1803">
        <v>25</v>
      </c>
      <c r="N1803">
        <v>0</v>
      </c>
      <c r="O1803">
        <v>0</v>
      </c>
      <c r="P18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3" t="str">
        <f>IF(Table1[[#This Row],[Fraud_Score]]&gt;=6, "High Risk",IF(Table1[[#This Row],[Fraud_Score]]&gt;=3, "Medium Risk", "Low Risk"))</f>
        <v>Low Risk</v>
      </c>
      <c r="R1803">
        <f>IF(Table1[[#This Row],[Seconds of Use]]=0,0,Table1[[#This Row],[Customer Value]]/Table1[[#This Row],[Seconds of Use]]*100)</f>
        <v>0</v>
      </c>
    </row>
    <row r="1804" spans="1:18" x14ac:dyDescent="0.35">
      <c r="A1804" s="3" t="s">
        <v>1825</v>
      </c>
      <c r="B1804">
        <v>3</v>
      </c>
      <c r="C1804">
        <v>0</v>
      </c>
      <c r="D1804">
        <v>30</v>
      </c>
      <c r="E1804">
        <v>0</v>
      </c>
      <c r="F1804">
        <v>2148</v>
      </c>
      <c r="G1804">
        <v>48</v>
      </c>
      <c r="H1804">
        <v>344</v>
      </c>
      <c r="I1804">
        <v>21</v>
      </c>
      <c r="J1804">
        <v>2</v>
      </c>
      <c r="K1804">
        <v>1</v>
      </c>
      <c r="L1804">
        <v>1</v>
      </c>
      <c r="M1804">
        <v>25</v>
      </c>
      <c r="N1804">
        <v>1646.82</v>
      </c>
      <c r="O1804">
        <v>0</v>
      </c>
      <c r="P18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4" t="str">
        <f>IF(Table1[[#This Row],[Fraud_Score]]&gt;=6, "High Risk",IF(Table1[[#This Row],[Fraud_Score]]&gt;=3, "Medium Risk", "Low Risk"))</f>
        <v>Low Risk</v>
      </c>
      <c r="R1804">
        <f>IF(Table1[[#This Row],[Seconds of Use]]=0,0,Table1[[#This Row],[Customer Value]]/Table1[[#This Row],[Seconds of Use]]*100)</f>
        <v>76.667597765363126</v>
      </c>
    </row>
    <row r="1805" spans="1:18" x14ac:dyDescent="0.35">
      <c r="A1805" s="3" t="s">
        <v>1826</v>
      </c>
      <c r="B1805">
        <v>3</v>
      </c>
      <c r="C1805">
        <v>0</v>
      </c>
      <c r="D1805">
        <v>31</v>
      </c>
      <c r="E1805">
        <v>0</v>
      </c>
      <c r="F1805">
        <v>3893</v>
      </c>
      <c r="G1805">
        <v>54</v>
      </c>
      <c r="H1805">
        <v>0</v>
      </c>
      <c r="I1805">
        <v>32</v>
      </c>
      <c r="J1805">
        <v>1</v>
      </c>
      <c r="K1805">
        <v>1</v>
      </c>
      <c r="L1805">
        <v>1</v>
      </c>
      <c r="M1805">
        <v>15</v>
      </c>
      <c r="N1805">
        <v>217.08500000000001</v>
      </c>
      <c r="O1805">
        <v>0</v>
      </c>
      <c r="P18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5" t="str">
        <f>IF(Table1[[#This Row],[Fraud_Score]]&gt;=6, "High Risk",IF(Table1[[#This Row],[Fraud_Score]]&gt;=3, "Medium Risk", "Low Risk"))</f>
        <v>Low Risk</v>
      </c>
      <c r="R1805">
        <f>IF(Table1[[#This Row],[Seconds of Use]]=0,0,Table1[[#This Row],[Customer Value]]/Table1[[#This Row],[Seconds of Use]]*100)</f>
        <v>5.5762907783200619</v>
      </c>
    </row>
    <row r="1806" spans="1:18" x14ac:dyDescent="0.35">
      <c r="A1806" s="3" t="s">
        <v>1827</v>
      </c>
      <c r="B1806">
        <v>0</v>
      </c>
      <c r="C1806">
        <v>0</v>
      </c>
      <c r="D1806">
        <v>31</v>
      </c>
      <c r="E1806">
        <v>0</v>
      </c>
      <c r="F1806">
        <v>2088</v>
      </c>
      <c r="G1806">
        <v>46</v>
      </c>
      <c r="H1806">
        <v>0</v>
      </c>
      <c r="I1806">
        <v>30</v>
      </c>
      <c r="J1806">
        <v>1</v>
      </c>
      <c r="K1806">
        <v>1</v>
      </c>
      <c r="L1806">
        <v>1</v>
      </c>
      <c r="M1806">
        <v>15</v>
      </c>
      <c r="N1806">
        <v>117.37</v>
      </c>
      <c r="O1806">
        <v>0</v>
      </c>
      <c r="P18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6" t="str">
        <f>IF(Table1[[#This Row],[Fraud_Score]]&gt;=6, "High Risk",IF(Table1[[#This Row],[Fraud_Score]]&gt;=3, "Medium Risk", "Low Risk"))</f>
        <v>Low Risk</v>
      </c>
      <c r="R1806">
        <f>IF(Table1[[#This Row],[Seconds of Use]]=0,0,Table1[[#This Row],[Customer Value]]/Table1[[#This Row],[Seconds of Use]]*100)</f>
        <v>5.6211685823754793</v>
      </c>
    </row>
    <row r="1807" spans="1:18" x14ac:dyDescent="0.35">
      <c r="A1807" s="3" t="s">
        <v>1828</v>
      </c>
      <c r="B1807">
        <v>4</v>
      </c>
      <c r="C1807">
        <v>0</v>
      </c>
      <c r="D1807">
        <v>31</v>
      </c>
      <c r="E1807">
        <v>0</v>
      </c>
      <c r="F1807">
        <v>3470</v>
      </c>
      <c r="G1807">
        <v>70</v>
      </c>
      <c r="H1807">
        <v>17</v>
      </c>
      <c r="I1807">
        <v>25</v>
      </c>
      <c r="J1807">
        <v>2</v>
      </c>
      <c r="K1807">
        <v>1</v>
      </c>
      <c r="L1807">
        <v>1</v>
      </c>
      <c r="M1807">
        <v>25</v>
      </c>
      <c r="N1807">
        <v>235.8</v>
      </c>
      <c r="O1807">
        <v>0</v>
      </c>
      <c r="P18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7" t="str">
        <f>IF(Table1[[#This Row],[Fraud_Score]]&gt;=6, "High Risk",IF(Table1[[#This Row],[Fraud_Score]]&gt;=3, "Medium Risk", "Low Risk"))</f>
        <v>Low Risk</v>
      </c>
      <c r="R1807">
        <f>IF(Table1[[#This Row],[Seconds of Use]]=0,0,Table1[[#This Row],[Customer Value]]/Table1[[#This Row],[Seconds of Use]]*100)</f>
        <v>6.7953890489913542</v>
      </c>
    </row>
    <row r="1808" spans="1:18" x14ac:dyDescent="0.35">
      <c r="A1808" s="3" t="s">
        <v>1829</v>
      </c>
      <c r="B1808">
        <v>0</v>
      </c>
      <c r="C1808">
        <v>0</v>
      </c>
      <c r="D1808">
        <v>31</v>
      </c>
      <c r="E1808">
        <v>0</v>
      </c>
      <c r="F1808">
        <v>2055</v>
      </c>
      <c r="G1808">
        <v>27</v>
      </c>
      <c r="H1808">
        <v>270</v>
      </c>
      <c r="I1808">
        <v>15</v>
      </c>
      <c r="J1808">
        <v>3</v>
      </c>
      <c r="K1808">
        <v>1</v>
      </c>
      <c r="L1808">
        <v>1</v>
      </c>
      <c r="M1808">
        <v>30</v>
      </c>
      <c r="N1808">
        <v>1163.28</v>
      </c>
      <c r="O1808">
        <v>0</v>
      </c>
      <c r="P18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8" t="str">
        <f>IF(Table1[[#This Row],[Fraud_Score]]&gt;=6, "High Risk",IF(Table1[[#This Row],[Fraud_Score]]&gt;=3, "Medium Risk", "Low Risk"))</f>
        <v>Low Risk</v>
      </c>
      <c r="R1808">
        <f>IF(Table1[[#This Row],[Seconds of Use]]=0,0,Table1[[#This Row],[Customer Value]]/Table1[[#This Row],[Seconds of Use]]*100)</f>
        <v>56.607299270072986</v>
      </c>
    </row>
    <row r="1809" spans="1:18" x14ac:dyDescent="0.35">
      <c r="A1809" s="3" t="s">
        <v>1830</v>
      </c>
      <c r="B1809">
        <v>6</v>
      </c>
      <c r="C1809">
        <v>0</v>
      </c>
      <c r="D1809">
        <v>30</v>
      </c>
      <c r="E1809">
        <v>0</v>
      </c>
      <c r="F1809">
        <v>8810</v>
      </c>
      <c r="G1809">
        <v>109</v>
      </c>
      <c r="H1809">
        <v>129</v>
      </c>
      <c r="I1809">
        <v>40</v>
      </c>
      <c r="J1809">
        <v>3</v>
      </c>
      <c r="K1809">
        <v>1</v>
      </c>
      <c r="L1809">
        <v>1</v>
      </c>
      <c r="M1809">
        <v>30</v>
      </c>
      <c r="N1809">
        <v>872.76</v>
      </c>
      <c r="O1809">
        <v>0</v>
      </c>
      <c r="P18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09" t="str">
        <f>IF(Table1[[#This Row],[Fraud_Score]]&gt;=6, "High Risk",IF(Table1[[#This Row],[Fraud_Score]]&gt;=3, "Medium Risk", "Low Risk"))</f>
        <v>Low Risk</v>
      </c>
      <c r="R1809">
        <f>IF(Table1[[#This Row],[Seconds of Use]]=0,0,Table1[[#This Row],[Customer Value]]/Table1[[#This Row],[Seconds of Use]]*100)</f>
        <v>9.9064699205448363</v>
      </c>
    </row>
    <row r="1810" spans="1:18" x14ac:dyDescent="0.35">
      <c r="A1810" s="3" t="s">
        <v>1831</v>
      </c>
      <c r="B1810">
        <v>0</v>
      </c>
      <c r="C1810">
        <v>0</v>
      </c>
      <c r="D1810">
        <v>31</v>
      </c>
      <c r="E1810">
        <v>0</v>
      </c>
      <c r="F1810">
        <v>13468</v>
      </c>
      <c r="G1810">
        <v>157</v>
      </c>
      <c r="H1810">
        <v>0</v>
      </c>
      <c r="I1810">
        <v>41</v>
      </c>
      <c r="J1810">
        <v>3</v>
      </c>
      <c r="K1810">
        <v>1</v>
      </c>
      <c r="L1810">
        <v>1</v>
      </c>
      <c r="M1810">
        <v>30</v>
      </c>
      <c r="N1810">
        <v>545</v>
      </c>
      <c r="O1810">
        <v>0</v>
      </c>
      <c r="P18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10" t="str">
        <f>IF(Table1[[#This Row],[Fraud_Score]]&gt;=6, "High Risk",IF(Table1[[#This Row],[Fraud_Score]]&gt;=3, "Medium Risk", "Low Risk"))</f>
        <v>Medium Risk</v>
      </c>
      <c r="R1810">
        <f>IF(Table1[[#This Row],[Seconds of Use]]=0,0,Table1[[#This Row],[Customer Value]]/Table1[[#This Row],[Seconds of Use]]*100)</f>
        <v>4.0466290466290467</v>
      </c>
    </row>
    <row r="1811" spans="1:18" x14ac:dyDescent="0.35">
      <c r="A1811" s="3" t="s">
        <v>1832</v>
      </c>
      <c r="B1811">
        <v>0</v>
      </c>
      <c r="C1811">
        <v>0</v>
      </c>
      <c r="D1811">
        <v>31</v>
      </c>
      <c r="E1811">
        <v>0</v>
      </c>
      <c r="F1811">
        <v>4210</v>
      </c>
      <c r="G1811">
        <v>71</v>
      </c>
      <c r="H1811">
        <v>0</v>
      </c>
      <c r="I1811">
        <v>22</v>
      </c>
      <c r="J1811">
        <v>3</v>
      </c>
      <c r="K1811">
        <v>1</v>
      </c>
      <c r="L1811">
        <v>1</v>
      </c>
      <c r="M1811">
        <v>30</v>
      </c>
      <c r="N1811">
        <v>171.24</v>
      </c>
      <c r="O1811">
        <v>0</v>
      </c>
      <c r="P18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11" t="str">
        <f>IF(Table1[[#This Row],[Fraud_Score]]&gt;=6, "High Risk",IF(Table1[[#This Row],[Fraud_Score]]&gt;=3, "Medium Risk", "Low Risk"))</f>
        <v>Low Risk</v>
      </c>
      <c r="R1811">
        <f>IF(Table1[[#This Row],[Seconds of Use]]=0,0,Table1[[#This Row],[Customer Value]]/Table1[[#This Row],[Seconds of Use]]*100)</f>
        <v>4.0674584323040381</v>
      </c>
    </row>
    <row r="1812" spans="1:18" x14ac:dyDescent="0.35">
      <c r="A1812" s="3" t="s">
        <v>1833</v>
      </c>
      <c r="B1812">
        <v>0</v>
      </c>
      <c r="C1812">
        <v>0</v>
      </c>
      <c r="D1812">
        <v>31</v>
      </c>
      <c r="E1812">
        <v>0</v>
      </c>
      <c r="F1812">
        <v>5613</v>
      </c>
      <c r="G1812">
        <v>83</v>
      </c>
      <c r="H1812">
        <v>0</v>
      </c>
      <c r="I1812">
        <v>9</v>
      </c>
      <c r="J1812">
        <v>2</v>
      </c>
      <c r="K1812">
        <v>1</v>
      </c>
      <c r="L1812">
        <v>1</v>
      </c>
      <c r="M1812">
        <v>25</v>
      </c>
      <c r="N1812">
        <v>256.32</v>
      </c>
      <c r="O1812">
        <v>0</v>
      </c>
      <c r="P18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12" t="str">
        <f>IF(Table1[[#This Row],[Fraud_Score]]&gt;=6, "High Risk",IF(Table1[[#This Row],[Fraud_Score]]&gt;=3, "Medium Risk", "Low Risk"))</f>
        <v>Low Risk</v>
      </c>
      <c r="R1812">
        <f>IF(Table1[[#This Row],[Seconds of Use]]=0,0,Table1[[#This Row],[Customer Value]]/Table1[[#This Row],[Seconds of Use]]*100)</f>
        <v>4.566541956173169</v>
      </c>
    </row>
    <row r="1813" spans="1:18" x14ac:dyDescent="0.35">
      <c r="A1813" s="3" t="s">
        <v>1834</v>
      </c>
      <c r="B1813">
        <v>2</v>
      </c>
      <c r="C1813">
        <v>0</v>
      </c>
      <c r="D1813">
        <v>31</v>
      </c>
      <c r="E1813">
        <v>0</v>
      </c>
      <c r="F1813">
        <v>1933</v>
      </c>
      <c r="G1813">
        <v>42</v>
      </c>
      <c r="H1813">
        <v>0</v>
      </c>
      <c r="I1813">
        <v>14</v>
      </c>
      <c r="J1813">
        <v>3</v>
      </c>
      <c r="K1813">
        <v>1</v>
      </c>
      <c r="L1813">
        <v>2</v>
      </c>
      <c r="M1813">
        <v>30</v>
      </c>
      <c r="N1813">
        <v>79</v>
      </c>
      <c r="O1813">
        <v>0</v>
      </c>
      <c r="P18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13" t="str">
        <f>IF(Table1[[#This Row],[Fraud_Score]]&gt;=6, "High Risk",IF(Table1[[#This Row],[Fraud_Score]]&gt;=3, "Medium Risk", "Low Risk"))</f>
        <v>Low Risk</v>
      </c>
      <c r="R1813">
        <f>IF(Table1[[#This Row],[Seconds of Use]]=0,0,Table1[[#This Row],[Customer Value]]/Table1[[#This Row],[Seconds of Use]]*100)</f>
        <v>4.0869115364718054</v>
      </c>
    </row>
    <row r="1814" spans="1:18" x14ac:dyDescent="0.35">
      <c r="A1814" s="3" t="s">
        <v>1835</v>
      </c>
      <c r="B1814">
        <v>18</v>
      </c>
      <c r="C1814">
        <v>0</v>
      </c>
      <c r="D1814">
        <v>31</v>
      </c>
      <c r="E1814">
        <v>1</v>
      </c>
      <c r="F1814">
        <v>14835</v>
      </c>
      <c r="G1814">
        <v>213</v>
      </c>
      <c r="H1814">
        <v>39</v>
      </c>
      <c r="I1814">
        <v>29</v>
      </c>
      <c r="J1814">
        <v>2</v>
      </c>
      <c r="K1814">
        <v>1</v>
      </c>
      <c r="L1814">
        <v>1</v>
      </c>
      <c r="M1814">
        <v>25</v>
      </c>
      <c r="N1814">
        <v>852.66</v>
      </c>
      <c r="O1814">
        <v>0</v>
      </c>
      <c r="P18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814" t="str">
        <f>IF(Table1[[#This Row],[Fraud_Score]]&gt;=6, "High Risk",IF(Table1[[#This Row],[Fraud_Score]]&gt;=3, "Medium Risk", "Low Risk"))</f>
        <v>Medium Risk</v>
      </c>
      <c r="R1814">
        <f>IF(Table1[[#This Row],[Seconds of Use]]=0,0,Table1[[#This Row],[Customer Value]]/Table1[[#This Row],[Seconds of Use]]*100)</f>
        <v>5.7476238624873606</v>
      </c>
    </row>
    <row r="1815" spans="1:18" x14ac:dyDescent="0.35">
      <c r="A1815" s="3" t="s">
        <v>1836</v>
      </c>
      <c r="B1815">
        <v>0</v>
      </c>
      <c r="C1815">
        <v>0</v>
      </c>
      <c r="D1815">
        <v>31</v>
      </c>
      <c r="E1815">
        <v>0</v>
      </c>
      <c r="F1815">
        <v>2790</v>
      </c>
      <c r="G1815">
        <v>15</v>
      </c>
      <c r="H1815">
        <v>468</v>
      </c>
      <c r="I1815">
        <v>5</v>
      </c>
      <c r="J1815">
        <v>3</v>
      </c>
      <c r="K1815">
        <v>1</v>
      </c>
      <c r="L1815">
        <v>1</v>
      </c>
      <c r="M1815">
        <v>30</v>
      </c>
      <c r="N1815">
        <v>1984.2</v>
      </c>
      <c r="O1815">
        <v>0</v>
      </c>
      <c r="P18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15" t="str">
        <f>IF(Table1[[#This Row],[Fraud_Score]]&gt;=6, "High Risk",IF(Table1[[#This Row],[Fraud_Score]]&gt;=3, "Medium Risk", "Low Risk"))</f>
        <v>Low Risk</v>
      </c>
      <c r="R1815">
        <f>IF(Table1[[#This Row],[Seconds of Use]]=0,0,Table1[[#This Row],[Customer Value]]/Table1[[#This Row],[Seconds of Use]]*100)</f>
        <v>71.118279569892479</v>
      </c>
    </row>
    <row r="1816" spans="1:18" x14ac:dyDescent="0.35">
      <c r="A1816" s="3" t="s">
        <v>1837</v>
      </c>
      <c r="B1816">
        <v>2</v>
      </c>
      <c r="C1816">
        <v>0</v>
      </c>
      <c r="D1816">
        <v>30</v>
      </c>
      <c r="E1816">
        <v>0</v>
      </c>
      <c r="F1816">
        <v>15180</v>
      </c>
      <c r="G1816">
        <v>170</v>
      </c>
      <c r="H1816">
        <v>135</v>
      </c>
      <c r="I1816">
        <v>27</v>
      </c>
      <c r="J1816">
        <v>2</v>
      </c>
      <c r="K1816">
        <v>1</v>
      </c>
      <c r="L1816">
        <v>1</v>
      </c>
      <c r="M1816">
        <v>25</v>
      </c>
      <c r="N1816">
        <v>1298.25</v>
      </c>
      <c r="O1816">
        <v>0</v>
      </c>
      <c r="P18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16" t="str">
        <f>IF(Table1[[#This Row],[Fraud_Score]]&gt;=6, "High Risk",IF(Table1[[#This Row],[Fraud_Score]]&gt;=3, "Medium Risk", "Low Risk"))</f>
        <v>Medium Risk</v>
      </c>
      <c r="R1816">
        <f>IF(Table1[[#This Row],[Seconds of Use]]=0,0,Table1[[#This Row],[Customer Value]]/Table1[[#This Row],[Seconds of Use]]*100)</f>
        <v>8.5523715415019765</v>
      </c>
    </row>
    <row r="1817" spans="1:18" x14ac:dyDescent="0.35">
      <c r="A1817" s="3" t="s">
        <v>1838</v>
      </c>
      <c r="B1817">
        <v>0</v>
      </c>
      <c r="C1817">
        <v>0</v>
      </c>
      <c r="D1817">
        <v>30</v>
      </c>
      <c r="E1817">
        <v>0</v>
      </c>
      <c r="F1817">
        <v>6195</v>
      </c>
      <c r="G1817">
        <v>74</v>
      </c>
      <c r="H1817">
        <v>171</v>
      </c>
      <c r="I1817">
        <v>23</v>
      </c>
      <c r="J1817">
        <v>3</v>
      </c>
      <c r="K1817">
        <v>1</v>
      </c>
      <c r="L1817">
        <v>1</v>
      </c>
      <c r="M1817">
        <v>30</v>
      </c>
      <c r="N1817">
        <v>934.76</v>
      </c>
      <c r="O1817">
        <v>0</v>
      </c>
      <c r="P18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17" t="str">
        <f>IF(Table1[[#This Row],[Fraud_Score]]&gt;=6, "High Risk",IF(Table1[[#This Row],[Fraud_Score]]&gt;=3, "Medium Risk", "Low Risk"))</f>
        <v>Low Risk</v>
      </c>
      <c r="R1817">
        <f>IF(Table1[[#This Row],[Seconds of Use]]=0,0,Table1[[#This Row],[Customer Value]]/Table1[[#This Row],[Seconds of Use]]*100)</f>
        <v>15.088942695722357</v>
      </c>
    </row>
    <row r="1818" spans="1:18" x14ac:dyDescent="0.35">
      <c r="A1818" s="3" t="s">
        <v>1839</v>
      </c>
      <c r="B1818">
        <v>0</v>
      </c>
      <c r="C1818">
        <v>0</v>
      </c>
      <c r="D1818">
        <v>30</v>
      </c>
      <c r="E1818">
        <v>0</v>
      </c>
      <c r="F1818">
        <v>570</v>
      </c>
      <c r="G1818">
        <v>2</v>
      </c>
      <c r="H1818">
        <v>0</v>
      </c>
      <c r="I1818">
        <v>8</v>
      </c>
      <c r="J1818">
        <v>2</v>
      </c>
      <c r="K1818">
        <v>1</v>
      </c>
      <c r="L1818">
        <v>2</v>
      </c>
      <c r="M1818">
        <v>25</v>
      </c>
      <c r="N1818">
        <v>25.74</v>
      </c>
      <c r="O1818">
        <v>0</v>
      </c>
      <c r="P18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18" t="str">
        <f>IF(Table1[[#This Row],[Fraud_Score]]&gt;=6, "High Risk",IF(Table1[[#This Row],[Fraud_Score]]&gt;=3, "Medium Risk", "Low Risk"))</f>
        <v>Low Risk</v>
      </c>
      <c r="R1818">
        <f>IF(Table1[[#This Row],[Seconds of Use]]=0,0,Table1[[#This Row],[Customer Value]]/Table1[[#This Row],[Seconds of Use]]*100)</f>
        <v>4.5157894736842108</v>
      </c>
    </row>
    <row r="1819" spans="1:18" x14ac:dyDescent="0.35">
      <c r="A1819" s="3" t="s">
        <v>1840</v>
      </c>
      <c r="B1819">
        <v>0</v>
      </c>
      <c r="C1819">
        <v>0</v>
      </c>
      <c r="D1819">
        <v>31</v>
      </c>
      <c r="E1819">
        <v>0</v>
      </c>
      <c r="F1819">
        <v>405</v>
      </c>
      <c r="G1819">
        <v>2</v>
      </c>
      <c r="H1819">
        <v>0</v>
      </c>
      <c r="I1819">
        <v>5</v>
      </c>
      <c r="J1819">
        <v>2</v>
      </c>
      <c r="K1819">
        <v>1</v>
      </c>
      <c r="L1819">
        <v>2</v>
      </c>
      <c r="M1819">
        <v>25</v>
      </c>
      <c r="N1819">
        <v>18.315000000000001</v>
      </c>
      <c r="O1819">
        <v>0</v>
      </c>
      <c r="P18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19" t="str">
        <f>IF(Table1[[#This Row],[Fraud_Score]]&gt;=6, "High Risk",IF(Table1[[#This Row],[Fraud_Score]]&gt;=3, "Medium Risk", "Low Risk"))</f>
        <v>Low Risk</v>
      </c>
      <c r="R1819">
        <f>IF(Table1[[#This Row],[Seconds of Use]]=0,0,Table1[[#This Row],[Customer Value]]/Table1[[#This Row],[Seconds of Use]]*100)</f>
        <v>4.522222222222223</v>
      </c>
    </row>
    <row r="1820" spans="1:18" x14ac:dyDescent="0.35">
      <c r="A1820" s="3" t="s">
        <v>1841</v>
      </c>
      <c r="B1820">
        <v>0</v>
      </c>
      <c r="C1820">
        <v>0</v>
      </c>
      <c r="D1820">
        <v>30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2</v>
      </c>
      <c r="K1820">
        <v>1</v>
      </c>
      <c r="L1820">
        <v>2</v>
      </c>
      <c r="M1820">
        <v>25</v>
      </c>
      <c r="N1820">
        <v>0</v>
      </c>
      <c r="O1820">
        <v>1</v>
      </c>
      <c r="P18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20" t="str">
        <f>IF(Table1[[#This Row],[Fraud_Score]]&gt;=6, "High Risk",IF(Table1[[#This Row],[Fraud_Score]]&gt;=3, "Medium Risk", "Low Risk"))</f>
        <v>Low Risk</v>
      </c>
      <c r="R1820">
        <f>IF(Table1[[#This Row],[Seconds of Use]]=0,0,Table1[[#This Row],[Customer Value]]/Table1[[#This Row],[Seconds of Use]]*100)</f>
        <v>0</v>
      </c>
    </row>
    <row r="1821" spans="1:18" x14ac:dyDescent="0.35">
      <c r="A1821" s="3" t="s">
        <v>1842</v>
      </c>
      <c r="B1821">
        <v>0</v>
      </c>
      <c r="C1821">
        <v>0</v>
      </c>
      <c r="D1821">
        <v>30</v>
      </c>
      <c r="E1821">
        <v>0</v>
      </c>
      <c r="F1821">
        <v>7203</v>
      </c>
      <c r="G1821">
        <v>115</v>
      </c>
      <c r="H1821">
        <v>369</v>
      </c>
      <c r="I1821">
        <v>40</v>
      </c>
      <c r="J1821">
        <v>2</v>
      </c>
      <c r="K1821">
        <v>1</v>
      </c>
      <c r="L1821">
        <v>1</v>
      </c>
      <c r="M1821">
        <v>25</v>
      </c>
      <c r="N1821">
        <v>1989.81</v>
      </c>
      <c r="O1821">
        <v>0</v>
      </c>
      <c r="P18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21" t="str">
        <f>IF(Table1[[#This Row],[Fraud_Score]]&gt;=6, "High Risk",IF(Table1[[#This Row],[Fraud_Score]]&gt;=3, "Medium Risk", "Low Risk"))</f>
        <v>Low Risk</v>
      </c>
      <c r="R1821">
        <f>IF(Table1[[#This Row],[Seconds of Use]]=0,0,Table1[[#This Row],[Customer Value]]/Table1[[#This Row],[Seconds of Use]]*100)</f>
        <v>27.624739691795085</v>
      </c>
    </row>
    <row r="1822" spans="1:18" x14ac:dyDescent="0.35">
      <c r="A1822" s="3" t="s">
        <v>1843</v>
      </c>
      <c r="B1822">
        <v>0</v>
      </c>
      <c r="C1822">
        <v>0</v>
      </c>
      <c r="D1822">
        <v>30</v>
      </c>
      <c r="E1822">
        <v>0</v>
      </c>
      <c r="F1822">
        <v>11160</v>
      </c>
      <c r="G1822">
        <v>142</v>
      </c>
      <c r="H1822">
        <v>0</v>
      </c>
      <c r="I1822">
        <v>44</v>
      </c>
      <c r="J1822">
        <v>3</v>
      </c>
      <c r="K1822">
        <v>1</v>
      </c>
      <c r="L1822">
        <v>1</v>
      </c>
      <c r="M1822">
        <v>30</v>
      </c>
      <c r="N1822">
        <v>452.08</v>
      </c>
      <c r="O1822">
        <v>0</v>
      </c>
      <c r="P18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22" t="str">
        <f>IF(Table1[[#This Row],[Fraud_Score]]&gt;=6, "High Risk",IF(Table1[[#This Row],[Fraud_Score]]&gt;=3, "Medium Risk", "Low Risk"))</f>
        <v>Medium Risk</v>
      </c>
      <c r="R1822">
        <f>IF(Table1[[#This Row],[Seconds of Use]]=0,0,Table1[[#This Row],[Customer Value]]/Table1[[#This Row],[Seconds of Use]]*100)</f>
        <v>4.0508960573476704</v>
      </c>
    </row>
    <row r="1823" spans="1:18" x14ac:dyDescent="0.35">
      <c r="A1823" s="3" t="s">
        <v>1844</v>
      </c>
      <c r="B1823">
        <v>1</v>
      </c>
      <c r="C1823">
        <v>0</v>
      </c>
      <c r="D1823">
        <v>30</v>
      </c>
      <c r="E1823">
        <v>0</v>
      </c>
      <c r="F1823">
        <v>6413</v>
      </c>
      <c r="G1823">
        <v>63</v>
      </c>
      <c r="H1823">
        <v>93</v>
      </c>
      <c r="I1823">
        <v>34</v>
      </c>
      <c r="J1823">
        <v>2</v>
      </c>
      <c r="K1823">
        <v>1</v>
      </c>
      <c r="L1823">
        <v>1</v>
      </c>
      <c r="M1823">
        <v>25</v>
      </c>
      <c r="N1823">
        <v>709.92</v>
      </c>
      <c r="O1823">
        <v>0</v>
      </c>
      <c r="P18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23" t="str">
        <f>IF(Table1[[#This Row],[Fraud_Score]]&gt;=6, "High Risk",IF(Table1[[#This Row],[Fraud_Score]]&gt;=3, "Medium Risk", "Low Risk"))</f>
        <v>Low Risk</v>
      </c>
      <c r="R1823">
        <f>IF(Table1[[#This Row],[Seconds of Use]]=0,0,Table1[[#This Row],[Customer Value]]/Table1[[#This Row],[Seconds of Use]]*100)</f>
        <v>11.07001403399345</v>
      </c>
    </row>
    <row r="1824" spans="1:18" x14ac:dyDescent="0.35">
      <c r="A1824" s="3" t="s">
        <v>1845</v>
      </c>
      <c r="B1824">
        <v>16</v>
      </c>
      <c r="C1824">
        <v>0</v>
      </c>
      <c r="D1824">
        <v>26</v>
      </c>
      <c r="E1824">
        <v>0</v>
      </c>
      <c r="F1824">
        <v>650</v>
      </c>
      <c r="G1824">
        <v>35</v>
      </c>
      <c r="H1824">
        <v>1</v>
      </c>
      <c r="I1824">
        <v>14</v>
      </c>
      <c r="J1824">
        <v>2</v>
      </c>
      <c r="K1824">
        <v>1</v>
      </c>
      <c r="L1824">
        <v>2</v>
      </c>
      <c r="M1824">
        <v>25</v>
      </c>
      <c r="N1824">
        <v>35.325000000000003</v>
      </c>
      <c r="O1824">
        <v>1</v>
      </c>
      <c r="P18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24" t="str">
        <f>IF(Table1[[#This Row],[Fraud_Score]]&gt;=6, "High Risk",IF(Table1[[#This Row],[Fraud_Score]]&gt;=3, "Medium Risk", "Low Risk"))</f>
        <v>Medium Risk</v>
      </c>
      <c r="R1824">
        <f>IF(Table1[[#This Row],[Seconds of Use]]=0,0,Table1[[#This Row],[Customer Value]]/Table1[[#This Row],[Seconds of Use]]*100)</f>
        <v>5.4346153846153848</v>
      </c>
    </row>
    <row r="1825" spans="1:18" x14ac:dyDescent="0.35">
      <c r="A1825" s="3" t="s">
        <v>1846</v>
      </c>
      <c r="B1825">
        <v>14</v>
      </c>
      <c r="C1825">
        <v>0</v>
      </c>
      <c r="D1825">
        <v>29</v>
      </c>
      <c r="E1825">
        <v>6</v>
      </c>
      <c r="F1825">
        <v>10130</v>
      </c>
      <c r="G1825">
        <v>81</v>
      </c>
      <c r="H1825">
        <v>0</v>
      </c>
      <c r="I1825">
        <v>39</v>
      </c>
      <c r="J1825">
        <v>4</v>
      </c>
      <c r="K1825">
        <v>1</v>
      </c>
      <c r="L1825">
        <v>1</v>
      </c>
      <c r="M1825">
        <v>45</v>
      </c>
      <c r="N1825">
        <v>255.27500000000001</v>
      </c>
      <c r="O1825">
        <v>0</v>
      </c>
      <c r="P18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825" t="str">
        <f>IF(Table1[[#This Row],[Fraud_Score]]&gt;=6, "High Risk",IF(Table1[[#This Row],[Fraud_Score]]&gt;=3, "Medium Risk", "Low Risk"))</f>
        <v>Low Risk</v>
      </c>
      <c r="R1825">
        <f>IF(Table1[[#This Row],[Seconds of Use]]=0,0,Table1[[#This Row],[Customer Value]]/Table1[[#This Row],[Seconds of Use]]*100)</f>
        <v>2.5199901283316879</v>
      </c>
    </row>
    <row r="1826" spans="1:18" x14ac:dyDescent="0.35">
      <c r="A1826" s="3" t="s">
        <v>1847</v>
      </c>
      <c r="B1826">
        <v>6</v>
      </c>
      <c r="C1826">
        <v>0</v>
      </c>
      <c r="D1826">
        <v>29</v>
      </c>
      <c r="E1826">
        <v>0</v>
      </c>
      <c r="F1826">
        <v>5513</v>
      </c>
      <c r="G1826">
        <v>86</v>
      </c>
      <c r="H1826">
        <v>11</v>
      </c>
      <c r="I1826">
        <v>21</v>
      </c>
      <c r="J1826">
        <v>2</v>
      </c>
      <c r="K1826">
        <v>1</v>
      </c>
      <c r="L1826">
        <v>1</v>
      </c>
      <c r="M1826">
        <v>25</v>
      </c>
      <c r="N1826">
        <v>301.45499999999998</v>
      </c>
      <c r="O1826">
        <v>1</v>
      </c>
      <c r="P18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26" t="str">
        <f>IF(Table1[[#This Row],[Fraud_Score]]&gt;=6, "High Risk",IF(Table1[[#This Row],[Fraud_Score]]&gt;=3, "Medium Risk", "Low Risk"))</f>
        <v>Low Risk</v>
      </c>
      <c r="R1826">
        <f>IF(Table1[[#This Row],[Seconds of Use]]=0,0,Table1[[#This Row],[Customer Value]]/Table1[[#This Row],[Seconds of Use]]*100)</f>
        <v>5.4680754580083439</v>
      </c>
    </row>
    <row r="1827" spans="1:18" x14ac:dyDescent="0.35">
      <c r="A1827" s="3" t="s">
        <v>1848</v>
      </c>
      <c r="B1827">
        <v>0</v>
      </c>
      <c r="C1827">
        <v>0</v>
      </c>
      <c r="D1827">
        <v>27</v>
      </c>
      <c r="E1827">
        <v>0</v>
      </c>
      <c r="F1827">
        <v>2535</v>
      </c>
      <c r="G1827">
        <v>10</v>
      </c>
      <c r="H1827">
        <v>0</v>
      </c>
      <c r="I1827">
        <v>11</v>
      </c>
      <c r="J1827">
        <v>3</v>
      </c>
      <c r="K1827">
        <v>1</v>
      </c>
      <c r="L1827">
        <v>1</v>
      </c>
      <c r="M1827">
        <v>30</v>
      </c>
      <c r="N1827">
        <v>101.8</v>
      </c>
      <c r="O1827">
        <v>0</v>
      </c>
      <c r="P18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27" t="str">
        <f>IF(Table1[[#This Row],[Fraud_Score]]&gt;=6, "High Risk",IF(Table1[[#This Row],[Fraud_Score]]&gt;=3, "Medium Risk", "Low Risk"))</f>
        <v>Low Risk</v>
      </c>
      <c r="R1827">
        <f>IF(Table1[[#This Row],[Seconds of Use]]=0,0,Table1[[#This Row],[Customer Value]]/Table1[[#This Row],[Seconds of Use]]*100)</f>
        <v>4.0157790927021697</v>
      </c>
    </row>
    <row r="1828" spans="1:18" x14ac:dyDescent="0.35">
      <c r="A1828" s="3" t="s">
        <v>1849</v>
      </c>
      <c r="B1828">
        <v>2</v>
      </c>
      <c r="C1828">
        <v>0</v>
      </c>
      <c r="D1828">
        <v>28</v>
      </c>
      <c r="E1828">
        <v>0</v>
      </c>
      <c r="F1828">
        <v>2685</v>
      </c>
      <c r="G1828">
        <v>29</v>
      </c>
      <c r="H1828">
        <v>0</v>
      </c>
      <c r="I1828">
        <v>13</v>
      </c>
      <c r="J1828">
        <v>2</v>
      </c>
      <c r="K1828">
        <v>1</v>
      </c>
      <c r="L1828">
        <v>2</v>
      </c>
      <c r="M1828">
        <v>25</v>
      </c>
      <c r="N1828">
        <v>122.13</v>
      </c>
      <c r="O1828">
        <v>1</v>
      </c>
      <c r="P18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28" t="str">
        <f>IF(Table1[[#This Row],[Fraud_Score]]&gt;=6, "High Risk",IF(Table1[[#This Row],[Fraud_Score]]&gt;=3, "Medium Risk", "Low Risk"))</f>
        <v>Low Risk</v>
      </c>
      <c r="R1828">
        <f>IF(Table1[[#This Row],[Seconds of Use]]=0,0,Table1[[#This Row],[Customer Value]]/Table1[[#This Row],[Seconds of Use]]*100)</f>
        <v>4.5486033519553066</v>
      </c>
    </row>
    <row r="1829" spans="1:18" x14ac:dyDescent="0.35">
      <c r="A1829" s="3" t="s">
        <v>1850</v>
      </c>
      <c r="B1829">
        <v>2</v>
      </c>
      <c r="C1829">
        <v>0</v>
      </c>
      <c r="D1829">
        <v>29</v>
      </c>
      <c r="E1829">
        <v>0</v>
      </c>
      <c r="F1829">
        <v>1963</v>
      </c>
      <c r="G1829">
        <v>32</v>
      </c>
      <c r="H1829">
        <v>19</v>
      </c>
      <c r="I1829">
        <v>28</v>
      </c>
      <c r="J1829">
        <v>3</v>
      </c>
      <c r="K1829">
        <v>1</v>
      </c>
      <c r="L1829">
        <v>2</v>
      </c>
      <c r="M1829">
        <v>30</v>
      </c>
      <c r="N1829">
        <v>155.80000000000001</v>
      </c>
      <c r="O1829">
        <v>1</v>
      </c>
      <c r="P18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29" t="str">
        <f>IF(Table1[[#This Row],[Fraud_Score]]&gt;=6, "High Risk",IF(Table1[[#This Row],[Fraud_Score]]&gt;=3, "Medium Risk", "Low Risk"))</f>
        <v>Low Risk</v>
      </c>
      <c r="R1829">
        <f>IF(Table1[[#This Row],[Seconds of Use]]=0,0,Table1[[#This Row],[Customer Value]]/Table1[[#This Row],[Seconds of Use]]*100)</f>
        <v>7.9368313805399913</v>
      </c>
    </row>
    <row r="1830" spans="1:18" x14ac:dyDescent="0.35">
      <c r="A1830" s="3" t="s">
        <v>1851</v>
      </c>
      <c r="B1830">
        <v>0</v>
      </c>
      <c r="C1830">
        <v>0</v>
      </c>
      <c r="D1830">
        <v>29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2</v>
      </c>
      <c r="K1830">
        <v>1</v>
      </c>
      <c r="L1830">
        <v>2</v>
      </c>
      <c r="M1830">
        <v>25</v>
      </c>
      <c r="N1830">
        <v>0</v>
      </c>
      <c r="O1830">
        <v>1</v>
      </c>
      <c r="P18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0" t="str">
        <f>IF(Table1[[#This Row],[Fraud_Score]]&gt;=6, "High Risk",IF(Table1[[#This Row],[Fraud_Score]]&gt;=3, "Medium Risk", "Low Risk"))</f>
        <v>Low Risk</v>
      </c>
      <c r="R1830">
        <f>IF(Table1[[#This Row],[Seconds of Use]]=0,0,Table1[[#This Row],[Customer Value]]/Table1[[#This Row],[Seconds of Use]]*100)</f>
        <v>0</v>
      </c>
    </row>
    <row r="1831" spans="1:18" x14ac:dyDescent="0.35">
      <c r="A1831" s="3" t="s">
        <v>1852</v>
      </c>
      <c r="B1831">
        <v>0</v>
      </c>
      <c r="C1831">
        <v>0</v>
      </c>
      <c r="D1831">
        <v>29</v>
      </c>
      <c r="E1831">
        <v>0</v>
      </c>
      <c r="F1831">
        <v>1363</v>
      </c>
      <c r="G1831">
        <v>13</v>
      </c>
      <c r="H1831">
        <v>0</v>
      </c>
      <c r="I1831">
        <v>3</v>
      </c>
      <c r="J1831">
        <v>3</v>
      </c>
      <c r="K1831">
        <v>1</v>
      </c>
      <c r="L1831">
        <v>1</v>
      </c>
      <c r="M1831">
        <v>30</v>
      </c>
      <c r="N1831">
        <v>55.04</v>
      </c>
      <c r="O1831">
        <v>0</v>
      </c>
      <c r="P18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1" t="str">
        <f>IF(Table1[[#This Row],[Fraud_Score]]&gt;=6, "High Risk",IF(Table1[[#This Row],[Fraud_Score]]&gt;=3, "Medium Risk", "Low Risk"))</f>
        <v>Low Risk</v>
      </c>
      <c r="R1831">
        <f>IF(Table1[[#This Row],[Seconds of Use]]=0,0,Table1[[#This Row],[Customer Value]]/Table1[[#This Row],[Seconds of Use]]*100)</f>
        <v>4.0381511371973584</v>
      </c>
    </row>
    <row r="1832" spans="1:18" x14ac:dyDescent="0.35">
      <c r="A1832" s="3" t="s">
        <v>1853</v>
      </c>
      <c r="B1832">
        <v>0</v>
      </c>
      <c r="C1832">
        <v>0</v>
      </c>
      <c r="D1832">
        <v>26</v>
      </c>
      <c r="E1832">
        <v>0</v>
      </c>
      <c r="F1832">
        <v>6480</v>
      </c>
      <c r="G1832">
        <v>85</v>
      </c>
      <c r="H1832">
        <v>0</v>
      </c>
      <c r="I1832">
        <v>19</v>
      </c>
      <c r="J1832">
        <v>4</v>
      </c>
      <c r="K1832">
        <v>1</v>
      </c>
      <c r="L1832">
        <v>1</v>
      </c>
      <c r="M1832">
        <v>45</v>
      </c>
      <c r="N1832">
        <v>164.125</v>
      </c>
      <c r="O1832">
        <v>0</v>
      </c>
      <c r="P18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2" t="str">
        <f>IF(Table1[[#This Row],[Fraud_Score]]&gt;=6, "High Risk",IF(Table1[[#This Row],[Fraud_Score]]&gt;=3, "Medium Risk", "Low Risk"))</f>
        <v>Low Risk</v>
      </c>
      <c r="R1832">
        <f>IF(Table1[[#This Row],[Seconds of Use]]=0,0,Table1[[#This Row],[Customer Value]]/Table1[[#This Row],[Seconds of Use]]*100)</f>
        <v>2.5327932098765431</v>
      </c>
    </row>
    <row r="1833" spans="1:18" x14ac:dyDescent="0.35">
      <c r="A1833" s="3" t="s">
        <v>1854</v>
      </c>
      <c r="B1833">
        <v>0</v>
      </c>
      <c r="C1833">
        <v>0</v>
      </c>
      <c r="D1833">
        <v>29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3</v>
      </c>
      <c r="K1833">
        <v>1</v>
      </c>
      <c r="L1833">
        <v>2</v>
      </c>
      <c r="M1833">
        <v>30</v>
      </c>
      <c r="N1833">
        <v>0</v>
      </c>
      <c r="O1833">
        <v>1</v>
      </c>
      <c r="P18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3" t="str">
        <f>IF(Table1[[#This Row],[Fraud_Score]]&gt;=6, "High Risk",IF(Table1[[#This Row],[Fraud_Score]]&gt;=3, "Medium Risk", "Low Risk"))</f>
        <v>Low Risk</v>
      </c>
      <c r="R1833">
        <f>IF(Table1[[#This Row],[Seconds of Use]]=0,0,Table1[[#This Row],[Customer Value]]/Table1[[#This Row],[Seconds of Use]]*100)</f>
        <v>0</v>
      </c>
    </row>
    <row r="1834" spans="1:18" x14ac:dyDescent="0.35">
      <c r="A1834" s="3" t="s">
        <v>1855</v>
      </c>
      <c r="B1834">
        <v>0</v>
      </c>
      <c r="C1834">
        <v>0</v>
      </c>
      <c r="D1834">
        <v>29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4</v>
      </c>
      <c r="K1834">
        <v>1</v>
      </c>
      <c r="L1834">
        <v>1</v>
      </c>
      <c r="M1834">
        <v>45</v>
      </c>
      <c r="N1834">
        <v>0</v>
      </c>
      <c r="O1834">
        <v>0</v>
      </c>
      <c r="P18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4" t="str">
        <f>IF(Table1[[#This Row],[Fraud_Score]]&gt;=6, "High Risk",IF(Table1[[#This Row],[Fraud_Score]]&gt;=3, "Medium Risk", "Low Risk"))</f>
        <v>Low Risk</v>
      </c>
      <c r="R1834">
        <f>IF(Table1[[#This Row],[Seconds of Use]]=0,0,Table1[[#This Row],[Customer Value]]/Table1[[#This Row],[Seconds of Use]]*100)</f>
        <v>0</v>
      </c>
    </row>
    <row r="1835" spans="1:18" x14ac:dyDescent="0.35">
      <c r="A1835" s="3" t="s">
        <v>1856</v>
      </c>
      <c r="B1835">
        <v>18</v>
      </c>
      <c r="C1835">
        <v>0</v>
      </c>
      <c r="D1835">
        <v>24</v>
      </c>
      <c r="E1835">
        <v>1</v>
      </c>
      <c r="F1835">
        <v>15770</v>
      </c>
      <c r="G1835">
        <v>226</v>
      </c>
      <c r="H1835">
        <v>0</v>
      </c>
      <c r="I1835">
        <v>77</v>
      </c>
      <c r="J1835">
        <v>2</v>
      </c>
      <c r="K1835">
        <v>1</v>
      </c>
      <c r="L1835">
        <v>1</v>
      </c>
      <c r="M1835">
        <v>25</v>
      </c>
      <c r="N1835">
        <v>719.82</v>
      </c>
      <c r="O1835">
        <v>0</v>
      </c>
      <c r="P18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835" t="str">
        <f>IF(Table1[[#This Row],[Fraud_Score]]&gt;=6, "High Risk",IF(Table1[[#This Row],[Fraud_Score]]&gt;=3, "Medium Risk", "Low Risk"))</f>
        <v>Medium Risk</v>
      </c>
      <c r="R1835">
        <f>IF(Table1[[#This Row],[Seconds of Use]]=0,0,Table1[[#This Row],[Customer Value]]/Table1[[#This Row],[Seconds of Use]]*100)</f>
        <v>4.5644895370957519</v>
      </c>
    </row>
    <row r="1836" spans="1:18" x14ac:dyDescent="0.35">
      <c r="A1836" s="3" t="s">
        <v>1857</v>
      </c>
      <c r="B1836">
        <v>0</v>
      </c>
      <c r="C1836">
        <v>0</v>
      </c>
      <c r="D1836">
        <v>27</v>
      </c>
      <c r="E1836">
        <v>1</v>
      </c>
      <c r="F1836">
        <v>6660</v>
      </c>
      <c r="G1836">
        <v>104</v>
      </c>
      <c r="H1836">
        <v>256</v>
      </c>
      <c r="I1836">
        <v>30</v>
      </c>
      <c r="J1836">
        <v>2</v>
      </c>
      <c r="K1836">
        <v>2</v>
      </c>
      <c r="L1836">
        <v>1</v>
      </c>
      <c r="M1836">
        <v>25</v>
      </c>
      <c r="N1836">
        <v>1456.38</v>
      </c>
      <c r="O1836">
        <v>0</v>
      </c>
      <c r="P18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36" t="str">
        <f>IF(Table1[[#This Row],[Fraud_Score]]&gt;=6, "High Risk",IF(Table1[[#This Row],[Fraud_Score]]&gt;=3, "Medium Risk", "Low Risk"))</f>
        <v>Low Risk</v>
      </c>
      <c r="R1836">
        <f>IF(Table1[[#This Row],[Seconds of Use]]=0,0,Table1[[#This Row],[Customer Value]]/Table1[[#This Row],[Seconds of Use]]*100)</f>
        <v>21.867567567567569</v>
      </c>
    </row>
    <row r="1837" spans="1:18" x14ac:dyDescent="0.35">
      <c r="A1837" s="3" t="s">
        <v>1858</v>
      </c>
      <c r="B1837">
        <v>0</v>
      </c>
      <c r="C1837">
        <v>0</v>
      </c>
      <c r="D1837">
        <v>29</v>
      </c>
      <c r="E1837">
        <v>0</v>
      </c>
      <c r="F1837">
        <v>3413</v>
      </c>
      <c r="G1837">
        <v>70</v>
      </c>
      <c r="H1837">
        <v>0</v>
      </c>
      <c r="I1837">
        <v>25</v>
      </c>
      <c r="J1837">
        <v>2</v>
      </c>
      <c r="K1837">
        <v>1</v>
      </c>
      <c r="L1837">
        <v>1</v>
      </c>
      <c r="M1837">
        <v>25</v>
      </c>
      <c r="N1837">
        <v>156.73500000000001</v>
      </c>
      <c r="O1837">
        <v>0</v>
      </c>
      <c r="P18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7" t="str">
        <f>IF(Table1[[#This Row],[Fraud_Score]]&gt;=6, "High Risk",IF(Table1[[#This Row],[Fraud_Score]]&gt;=3, "Medium Risk", "Low Risk"))</f>
        <v>Low Risk</v>
      </c>
      <c r="R1837">
        <f>IF(Table1[[#This Row],[Seconds of Use]]=0,0,Table1[[#This Row],[Customer Value]]/Table1[[#This Row],[Seconds of Use]]*100)</f>
        <v>4.5922941693524759</v>
      </c>
    </row>
    <row r="1838" spans="1:18" x14ac:dyDescent="0.35">
      <c r="A1838" s="3" t="s">
        <v>1859</v>
      </c>
      <c r="B1838">
        <v>0</v>
      </c>
      <c r="C1838">
        <v>0</v>
      </c>
      <c r="D1838">
        <v>28</v>
      </c>
      <c r="E1838">
        <v>0</v>
      </c>
      <c r="F1838">
        <v>1360</v>
      </c>
      <c r="G1838">
        <v>32</v>
      </c>
      <c r="H1838">
        <v>23</v>
      </c>
      <c r="I1838">
        <v>17</v>
      </c>
      <c r="J1838">
        <v>3</v>
      </c>
      <c r="K1838">
        <v>1</v>
      </c>
      <c r="L1838">
        <v>2</v>
      </c>
      <c r="M1838">
        <v>30</v>
      </c>
      <c r="N1838">
        <v>147.68</v>
      </c>
      <c r="O1838">
        <v>0</v>
      </c>
      <c r="P18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8" t="str">
        <f>IF(Table1[[#This Row],[Fraud_Score]]&gt;=6, "High Risk",IF(Table1[[#This Row],[Fraud_Score]]&gt;=3, "Medium Risk", "Low Risk"))</f>
        <v>Low Risk</v>
      </c>
      <c r="R1838">
        <f>IF(Table1[[#This Row],[Seconds of Use]]=0,0,Table1[[#This Row],[Customer Value]]/Table1[[#This Row],[Seconds of Use]]*100)</f>
        <v>10.858823529411765</v>
      </c>
    </row>
    <row r="1839" spans="1:18" x14ac:dyDescent="0.35">
      <c r="A1839" s="3" t="s">
        <v>1860</v>
      </c>
      <c r="B1839">
        <v>0</v>
      </c>
      <c r="C1839">
        <v>0</v>
      </c>
      <c r="D1839">
        <v>29</v>
      </c>
      <c r="E1839">
        <v>0</v>
      </c>
      <c r="F1839">
        <v>2475</v>
      </c>
      <c r="G1839">
        <v>41</v>
      </c>
      <c r="H1839">
        <v>160</v>
      </c>
      <c r="I1839">
        <v>20</v>
      </c>
      <c r="J1839">
        <v>2</v>
      </c>
      <c r="K1839">
        <v>1</v>
      </c>
      <c r="L1839">
        <v>1</v>
      </c>
      <c r="M1839">
        <v>25</v>
      </c>
      <c r="N1839">
        <v>833.22</v>
      </c>
      <c r="O1839">
        <v>0</v>
      </c>
      <c r="P18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39" t="str">
        <f>IF(Table1[[#This Row],[Fraud_Score]]&gt;=6, "High Risk",IF(Table1[[#This Row],[Fraud_Score]]&gt;=3, "Medium Risk", "Low Risk"))</f>
        <v>Low Risk</v>
      </c>
      <c r="R1839">
        <f>IF(Table1[[#This Row],[Seconds of Use]]=0,0,Table1[[#This Row],[Customer Value]]/Table1[[#This Row],[Seconds of Use]]*100)</f>
        <v>33.665454545454551</v>
      </c>
    </row>
    <row r="1840" spans="1:18" x14ac:dyDescent="0.35">
      <c r="A1840" s="3" t="s">
        <v>1861</v>
      </c>
      <c r="B1840">
        <v>0</v>
      </c>
      <c r="C1840">
        <v>0</v>
      </c>
      <c r="D1840">
        <v>20</v>
      </c>
      <c r="E1840">
        <v>0</v>
      </c>
      <c r="F1840">
        <v>1010</v>
      </c>
      <c r="G1840">
        <v>24</v>
      </c>
      <c r="H1840">
        <v>178</v>
      </c>
      <c r="I1840">
        <v>8</v>
      </c>
      <c r="J1840">
        <v>2</v>
      </c>
      <c r="K1840">
        <v>2</v>
      </c>
      <c r="L1840">
        <v>1</v>
      </c>
      <c r="M1840">
        <v>25</v>
      </c>
      <c r="N1840">
        <v>847.53</v>
      </c>
      <c r="O1840">
        <v>0</v>
      </c>
      <c r="P18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40" t="str">
        <f>IF(Table1[[#This Row],[Fraud_Score]]&gt;=6, "High Risk",IF(Table1[[#This Row],[Fraud_Score]]&gt;=3, "Medium Risk", "Low Risk"))</f>
        <v>Low Risk</v>
      </c>
      <c r="R1840">
        <f>IF(Table1[[#This Row],[Seconds of Use]]=0,0,Table1[[#This Row],[Customer Value]]/Table1[[#This Row],[Seconds of Use]]*100)</f>
        <v>83.913861386138606</v>
      </c>
    </row>
    <row r="1841" spans="1:18" x14ac:dyDescent="0.35">
      <c r="A1841" s="3" t="s">
        <v>1862</v>
      </c>
      <c r="B1841">
        <v>0</v>
      </c>
      <c r="C1841">
        <v>0</v>
      </c>
      <c r="D1841">
        <v>19</v>
      </c>
      <c r="E1841">
        <v>0</v>
      </c>
      <c r="F1841">
        <v>1263</v>
      </c>
      <c r="G1841">
        <v>27</v>
      </c>
      <c r="H1841">
        <v>15</v>
      </c>
      <c r="I1841">
        <v>65</v>
      </c>
      <c r="J1841">
        <v>4</v>
      </c>
      <c r="K1841">
        <v>1</v>
      </c>
      <c r="L1841">
        <v>1</v>
      </c>
      <c r="M1841">
        <v>45</v>
      </c>
      <c r="N1841">
        <v>69.75</v>
      </c>
      <c r="O1841">
        <v>0</v>
      </c>
      <c r="P18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841" t="str">
        <f>IF(Table1[[#This Row],[Fraud_Score]]&gt;=6, "High Risk",IF(Table1[[#This Row],[Fraud_Score]]&gt;=3, "Medium Risk", "Low Risk"))</f>
        <v>Low Risk</v>
      </c>
      <c r="R1841">
        <f>IF(Table1[[#This Row],[Seconds of Use]]=0,0,Table1[[#This Row],[Customer Value]]/Table1[[#This Row],[Seconds of Use]]*100)</f>
        <v>5.5225653206650831</v>
      </c>
    </row>
    <row r="1842" spans="1:18" x14ac:dyDescent="0.35">
      <c r="A1842" s="3" t="s">
        <v>1863</v>
      </c>
      <c r="B1842">
        <v>4</v>
      </c>
      <c r="C1842">
        <v>0</v>
      </c>
      <c r="D1842">
        <v>20</v>
      </c>
      <c r="E1842">
        <v>0</v>
      </c>
      <c r="F1842">
        <v>395</v>
      </c>
      <c r="G1842">
        <v>13</v>
      </c>
      <c r="H1842">
        <v>0</v>
      </c>
      <c r="I1842">
        <v>4</v>
      </c>
      <c r="J1842">
        <v>2</v>
      </c>
      <c r="K1842">
        <v>1</v>
      </c>
      <c r="L1842">
        <v>2</v>
      </c>
      <c r="M1842">
        <v>25</v>
      </c>
      <c r="N1842">
        <v>18.36</v>
      </c>
      <c r="O1842">
        <v>0</v>
      </c>
      <c r="P18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42" t="str">
        <f>IF(Table1[[#This Row],[Fraud_Score]]&gt;=6, "High Risk",IF(Table1[[#This Row],[Fraud_Score]]&gt;=3, "Medium Risk", "Low Risk"))</f>
        <v>Low Risk</v>
      </c>
      <c r="R1842">
        <f>IF(Table1[[#This Row],[Seconds of Use]]=0,0,Table1[[#This Row],[Customer Value]]/Table1[[#This Row],[Seconds of Use]]*100)</f>
        <v>4.6481012658227847</v>
      </c>
    </row>
    <row r="1843" spans="1:18" x14ac:dyDescent="0.35">
      <c r="A1843" s="3" t="s">
        <v>1864</v>
      </c>
      <c r="B1843">
        <v>0</v>
      </c>
      <c r="C1843">
        <v>0</v>
      </c>
      <c r="D1843">
        <v>19</v>
      </c>
      <c r="E1843">
        <v>0</v>
      </c>
      <c r="F1843">
        <v>520</v>
      </c>
      <c r="G1843">
        <v>4</v>
      </c>
      <c r="H1843">
        <v>6</v>
      </c>
      <c r="I1843">
        <v>2</v>
      </c>
      <c r="J1843">
        <v>4</v>
      </c>
      <c r="K1843">
        <v>1</v>
      </c>
      <c r="L1843">
        <v>2</v>
      </c>
      <c r="M1843">
        <v>45</v>
      </c>
      <c r="N1843">
        <v>28.1</v>
      </c>
      <c r="O1843">
        <v>0</v>
      </c>
      <c r="P18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43" t="str">
        <f>IF(Table1[[#This Row],[Fraud_Score]]&gt;=6, "High Risk",IF(Table1[[#This Row],[Fraud_Score]]&gt;=3, "Medium Risk", "Low Risk"))</f>
        <v>Low Risk</v>
      </c>
      <c r="R1843">
        <f>IF(Table1[[#This Row],[Seconds of Use]]=0,0,Table1[[#This Row],[Customer Value]]/Table1[[#This Row],[Seconds of Use]]*100)</f>
        <v>5.4038461538461542</v>
      </c>
    </row>
    <row r="1844" spans="1:18" x14ac:dyDescent="0.35">
      <c r="A1844" s="3" t="s">
        <v>1865</v>
      </c>
      <c r="B1844">
        <v>3</v>
      </c>
      <c r="C1844">
        <v>0</v>
      </c>
      <c r="D1844">
        <v>18</v>
      </c>
      <c r="E1844">
        <v>0</v>
      </c>
      <c r="F1844">
        <v>920</v>
      </c>
      <c r="G1844">
        <v>20</v>
      </c>
      <c r="H1844">
        <v>4</v>
      </c>
      <c r="I1844">
        <v>10</v>
      </c>
      <c r="J1844">
        <v>1</v>
      </c>
      <c r="K1844">
        <v>1</v>
      </c>
      <c r="L1844">
        <v>1</v>
      </c>
      <c r="M1844">
        <v>15</v>
      </c>
      <c r="N1844">
        <v>73.7</v>
      </c>
      <c r="O1844">
        <v>0</v>
      </c>
      <c r="P18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44" t="str">
        <f>IF(Table1[[#This Row],[Fraud_Score]]&gt;=6, "High Risk",IF(Table1[[#This Row],[Fraud_Score]]&gt;=3, "Medium Risk", "Low Risk"))</f>
        <v>Low Risk</v>
      </c>
      <c r="R1844">
        <f>IF(Table1[[#This Row],[Seconds of Use]]=0,0,Table1[[#This Row],[Customer Value]]/Table1[[#This Row],[Seconds of Use]]*100)</f>
        <v>8.0108695652173925</v>
      </c>
    </row>
    <row r="1845" spans="1:18" x14ac:dyDescent="0.35">
      <c r="A1845" s="3" t="s">
        <v>1866</v>
      </c>
      <c r="B1845">
        <v>0</v>
      </c>
      <c r="C1845">
        <v>0</v>
      </c>
      <c r="D1845">
        <v>18</v>
      </c>
      <c r="E1845">
        <v>0</v>
      </c>
      <c r="F1845">
        <v>2920</v>
      </c>
      <c r="G1845">
        <v>49</v>
      </c>
      <c r="H1845">
        <v>0</v>
      </c>
      <c r="I1845">
        <v>20</v>
      </c>
      <c r="J1845">
        <v>3</v>
      </c>
      <c r="K1845">
        <v>1</v>
      </c>
      <c r="L1845">
        <v>1</v>
      </c>
      <c r="M1845">
        <v>30</v>
      </c>
      <c r="N1845">
        <v>118.76</v>
      </c>
      <c r="O1845">
        <v>0</v>
      </c>
      <c r="P18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45" t="str">
        <f>IF(Table1[[#This Row],[Fraud_Score]]&gt;=6, "High Risk",IF(Table1[[#This Row],[Fraud_Score]]&gt;=3, "Medium Risk", "Low Risk"))</f>
        <v>Low Risk</v>
      </c>
      <c r="R1845">
        <f>IF(Table1[[#This Row],[Seconds of Use]]=0,0,Table1[[#This Row],[Customer Value]]/Table1[[#This Row],[Seconds of Use]]*100)</f>
        <v>4.0671232876712331</v>
      </c>
    </row>
    <row r="1846" spans="1:18" x14ac:dyDescent="0.35">
      <c r="A1846" s="3" t="s">
        <v>1867</v>
      </c>
      <c r="B1846">
        <v>0</v>
      </c>
      <c r="C1846">
        <v>0</v>
      </c>
      <c r="D1846">
        <v>11</v>
      </c>
      <c r="E1846">
        <v>0</v>
      </c>
      <c r="F1846">
        <v>1390</v>
      </c>
      <c r="G1846">
        <v>14</v>
      </c>
      <c r="H1846">
        <v>13</v>
      </c>
      <c r="I1846">
        <v>11</v>
      </c>
      <c r="J1846">
        <v>2</v>
      </c>
      <c r="K1846">
        <v>1</v>
      </c>
      <c r="L1846">
        <v>1</v>
      </c>
      <c r="M1846">
        <v>25</v>
      </c>
      <c r="N1846">
        <v>121.68</v>
      </c>
      <c r="O1846">
        <v>0</v>
      </c>
      <c r="P18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46" t="str">
        <f>IF(Table1[[#This Row],[Fraud_Score]]&gt;=6, "High Risk",IF(Table1[[#This Row],[Fraud_Score]]&gt;=3, "Medium Risk", "Low Risk"))</f>
        <v>Low Risk</v>
      </c>
      <c r="R1846">
        <f>IF(Table1[[#This Row],[Seconds of Use]]=0,0,Table1[[#This Row],[Customer Value]]/Table1[[#This Row],[Seconds of Use]]*100)</f>
        <v>8.7539568345323744</v>
      </c>
    </row>
    <row r="1847" spans="1:18" x14ac:dyDescent="0.35">
      <c r="A1847" s="3" t="s">
        <v>1868</v>
      </c>
      <c r="B1847">
        <v>9</v>
      </c>
      <c r="C1847">
        <v>0</v>
      </c>
      <c r="D1847">
        <v>10</v>
      </c>
      <c r="E1847">
        <v>0</v>
      </c>
      <c r="F1847">
        <v>6087</v>
      </c>
      <c r="G1847">
        <v>129</v>
      </c>
      <c r="H1847">
        <v>70</v>
      </c>
      <c r="I1847">
        <v>39</v>
      </c>
      <c r="J1847">
        <v>1</v>
      </c>
      <c r="K1847">
        <v>2</v>
      </c>
      <c r="L1847">
        <v>1</v>
      </c>
      <c r="M1847">
        <v>15</v>
      </c>
      <c r="N1847">
        <v>726.88</v>
      </c>
      <c r="O1847">
        <v>0</v>
      </c>
      <c r="P18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47" t="str">
        <f>IF(Table1[[#This Row],[Fraud_Score]]&gt;=6, "High Risk",IF(Table1[[#This Row],[Fraud_Score]]&gt;=3, "Medium Risk", "Low Risk"))</f>
        <v>Low Risk</v>
      </c>
      <c r="R1847">
        <f>IF(Table1[[#This Row],[Seconds of Use]]=0,0,Table1[[#This Row],[Customer Value]]/Table1[[#This Row],[Seconds of Use]]*100)</f>
        <v>11.941514703466403</v>
      </c>
    </row>
    <row r="1848" spans="1:18" x14ac:dyDescent="0.35">
      <c r="A1848" s="3" t="s">
        <v>1869</v>
      </c>
      <c r="B1848">
        <v>5</v>
      </c>
      <c r="C1848">
        <v>0</v>
      </c>
      <c r="D1848">
        <v>8</v>
      </c>
      <c r="E1848">
        <v>0</v>
      </c>
      <c r="F1848">
        <v>8627</v>
      </c>
      <c r="G1848">
        <v>159</v>
      </c>
      <c r="H1848">
        <v>58</v>
      </c>
      <c r="I1848">
        <v>37</v>
      </c>
      <c r="J1848">
        <v>4</v>
      </c>
      <c r="K1848">
        <v>1</v>
      </c>
      <c r="L1848">
        <v>1</v>
      </c>
      <c r="M1848">
        <v>45</v>
      </c>
      <c r="N1848">
        <v>364.65</v>
      </c>
      <c r="O1848">
        <v>0</v>
      </c>
      <c r="P18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48" t="str">
        <f>IF(Table1[[#This Row],[Fraud_Score]]&gt;=6, "High Risk",IF(Table1[[#This Row],[Fraud_Score]]&gt;=3, "Medium Risk", "Low Risk"))</f>
        <v>Medium Risk</v>
      </c>
      <c r="R1848">
        <f>IF(Table1[[#This Row],[Seconds of Use]]=0,0,Table1[[#This Row],[Customer Value]]/Table1[[#This Row],[Seconds of Use]]*100)</f>
        <v>4.2268459487655035</v>
      </c>
    </row>
    <row r="1849" spans="1:18" x14ac:dyDescent="0.35">
      <c r="A1849" s="3" t="s">
        <v>1870</v>
      </c>
      <c r="B1849">
        <v>1</v>
      </c>
      <c r="C1849">
        <v>0</v>
      </c>
      <c r="D1849">
        <v>9</v>
      </c>
      <c r="E1849">
        <v>1</v>
      </c>
      <c r="F1849">
        <v>2547</v>
      </c>
      <c r="G1849">
        <v>33</v>
      </c>
      <c r="H1849">
        <v>16</v>
      </c>
      <c r="I1849">
        <v>16</v>
      </c>
      <c r="J1849">
        <v>3</v>
      </c>
      <c r="K1849">
        <v>1</v>
      </c>
      <c r="L1849">
        <v>1</v>
      </c>
      <c r="M1849">
        <v>30</v>
      </c>
      <c r="N1849">
        <v>167.2</v>
      </c>
      <c r="O1849">
        <v>0</v>
      </c>
      <c r="P18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49" t="str">
        <f>IF(Table1[[#This Row],[Fraud_Score]]&gt;=6, "High Risk",IF(Table1[[#This Row],[Fraud_Score]]&gt;=3, "Medium Risk", "Low Risk"))</f>
        <v>Low Risk</v>
      </c>
      <c r="R1849">
        <f>IF(Table1[[#This Row],[Seconds of Use]]=0,0,Table1[[#This Row],[Customer Value]]/Table1[[#This Row],[Seconds of Use]]*100)</f>
        <v>6.5645857872006275</v>
      </c>
    </row>
    <row r="1850" spans="1:18" x14ac:dyDescent="0.35">
      <c r="A1850" s="3" t="s">
        <v>1871</v>
      </c>
      <c r="B1850">
        <v>0</v>
      </c>
      <c r="C1850">
        <v>0</v>
      </c>
      <c r="D1850">
        <v>3</v>
      </c>
      <c r="E1850">
        <v>0</v>
      </c>
      <c r="F1850">
        <v>4085</v>
      </c>
      <c r="G1850">
        <v>28</v>
      </c>
      <c r="H1850">
        <v>200</v>
      </c>
      <c r="I1850">
        <v>7</v>
      </c>
      <c r="J1850">
        <v>2</v>
      </c>
      <c r="K1850">
        <v>1</v>
      </c>
      <c r="L1850">
        <v>1</v>
      </c>
      <c r="M1850">
        <v>25</v>
      </c>
      <c r="N1850">
        <v>1085.085</v>
      </c>
      <c r="O1850">
        <v>0</v>
      </c>
      <c r="P18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0" t="str">
        <f>IF(Table1[[#This Row],[Fraud_Score]]&gt;=6, "High Risk",IF(Table1[[#This Row],[Fraud_Score]]&gt;=3, "Medium Risk", "Low Risk"))</f>
        <v>Low Risk</v>
      </c>
      <c r="R1850">
        <f>IF(Table1[[#This Row],[Seconds of Use]]=0,0,Table1[[#This Row],[Customer Value]]/Table1[[#This Row],[Seconds of Use]]*100)</f>
        <v>26.562668298653612</v>
      </c>
    </row>
    <row r="1851" spans="1:18" x14ac:dyDescent="0.35">
      <c r="A1851" s="3" t="s">
        <v>1872</v>
      </c>
      <c r="B1851">
        <v>0</v>
      </c>
      <c r="C1851">
        <v>0</v>
      </c>
      <c r="D1851">
        <v>3</v>
      </c>
      <c r="E1851">
        <v>0</v>
      </c>
      <c r="F1851">
        <v>1182</v>
      </c>
      <c r="G1851">
        <v>7</v>
      </c>
      <c r="H1851">
        <v>0</v>
      </c>
      <c r="I1851">
        <v>4</v>
      </c>
      <c r="J1851">
        <v>2</v>
      </c>
      <c r="K1851">
        <v>1</v>
      </c>
      <c r="L1851">
        <v>1</v>
      </c>
      <c r="M1851">
        <v>25</v>
      </c>
      <c r="N1851">
        <v>53.505000000000003</v>
      </c>
      <c r="O1851">
        <v>1</v>
      </c>
      <c r="P18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1" t="str">
        <f>IF(Table1[[#This Row],[Fraud_Score]]&gt;=6, "High Risk",IF(Table1[[#This Row],[Fraud_Score]]&gt;=3, "Medium Risk", "Low Risk"))</f>
        <v>Low Risk</v>
      </c>
      <c r="R1851">
        <f>IF(Table1[[#This Row],[Seconds of Use]]=0,0,Table1[[#This Row],[Customer Value]]/Table1[[#This Row],[Seconds of Use]]*100)</f>
        <v>4.5266497461928932</v>
      </c>
    </row>
    <row r="1852" spans="1:18" x14ac:dyDescent="0.35">
      <c r="A1852" s="3" t="s">
        <v>1873</v>
      </c>
      <c r="B1852">
        <v>5</v>
      </c>
      <c r="C1852">
        <v>0</v>
      </c>
      <c r="D1852">
        <v>41</v>
      </c>
      <c r="E1852">
        <v>0</v>
      </c>
      <c r="F1852">
        <v>4065</v>
      </c>
      <c r="G1852">
        <v>71</v>
      </c>
      <c r="H1852">
        <v>6</v>
      </c>
      <c r="I1852">
        <v>16</v>
      </c>
      <c r="J1852">
        <v>3</v>
      </c>
      <c r="K1852">
        <v>1</v>
      </c>
      <c r="L1852">
        <v>1</v>
      </c>
      <c r="M1852">
        <v>30</v>
      </c>
      <c r="N1852">
        <v>189.44</v>
      </c>
      <c r="O1852">
        <v>0</v>
      </c>
      <c r="P18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2" t="str">
        <f>IF(Table1[[#This Row],[Fraud_Score]]&gt;=6, "High Risk",IF(Table1[[#This Row],[Fraud_Score]]&gt;=3, "Medium Risk", "Low Risk"))</f>
        <v>Low Risk</v>
      </c>
      <c r="R1852">
        <f>IF(Table1[[#This Row],[Seconds of Use]]=0,0,Table1[[#This Row],[Customer Value]]/Table1[[#This Row],[Seconds of Use]]*100)</f>
        <v>4.660270602706027</v>
      </c>
    </row>
    <row r="1853" spans="1:18" x14ac:dyDescent="0.35">
      <c r="A1853" s="3" t="s">
        <v>1874</v>
      </c>
      <c r="B1853">
        <v>0</v>
      </c>
      <c r="C1853">
        <v>0</v>
      </c>
      <c r="D1853">
        <v>42</v>
      </c>
      <c r="E1853">
        <v>0</v>
      </c>
      <c r="F1853">
        <v>13</v>
      </c>
      <c r="G1853">
        <v>5</v>
      </c>
      <c r="H1853">
        <v>8</v>
      </c>
      <c r="I1853">
        <v>3</v>
      </c>
      <c r="J1853">
        <v>3</v>
      </c>
      <c r="K1853">
        <v>1</v>
      </c>
      <c r="L1853">
        <v>2</v>
      </c>
      <c r="M1853">
        <v>30</v>
      </c>
      <c r="N1853">
        <v>32.72</v>
      </c>
      <c r="O1853">
        <v>0</v>
      </c>
      <c r="P18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3" t="str">
        <f>IF(Table1[[#This Row],[Fraud_Score]]&gt;=6, "High Risk",IF(Table1[[#This Row],[Fraud_Score]]&gt;=3, "Medium Risk", "Low Risk"))</f>
        <v>Low Risk</v>
      </c>
      <c r="R1853">
        <f>IF(Table1[[#This Row],[Seconds of Use]]=0,0,Table1[[#This Row],[Customer Value]]/Table1[[#This Row],[Seconds of Use]]*100)</f>
        <v>251.69230769230771</v>
      </c>
    </row>
    <row r="1854" spans="1:18" x14ac:dyDescent="0.35">
      <c r="A1854" s="3" t="s">
        <v>1875</v>
      </c>
      <c r="B1854">
        <v>7</v>
      </c>
      <c r="C1854">
        <v>0</v>
      </c>
      <c r="D1854">
        <v>40</v>
      </c>
      <c r="E1854">
        <v>0</v>
      </c>
      <c r="F1854">
        <v>2148</v>
      </c>
      <c r="G1854">
        <v>60</v>
      </c>
      <c r="H1854">
        <v>360</v>
      </c>
      <c r="I1854">
        <v>23</v>
      </c>
      <c r="J1854">
        <v>3</v>
      </c>
      <c r="K1854">
        <v>1</v>
      </c>
      <c r="L1854">
        <v>1</v>
      </c>
      <c r="M1854">
        <v>30</v>
      </c>
      <c r="N1854">
        <v>1528.32</v>
      </c>
      <c r="O1854">
        <v>0</v>
      </c>
      <c r="P18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4" t="str">
        <f>IF(Table1[[#This Row],[Fraud_Score]]&gt;=6, "High Risk",IF(Table1[[#This Row],[Fraud_Score]]&gt;=3, "Medium Risk", "Low Risk"))</f>
        <v>Low Risk</v>
      </c>
      <c r="R1854">
        <f>IF(Table1[[#This Row],[Seconds of Use]]=0,0,Table1[[#This Row],[Customer Value]]/Table1[[#This Row],[Seconds of Use]]*100)</f>
        <v>71.150837988826808</v>
      </c>
    </row>
    <row r="1855" spans="1:18" x14ac:dyDescent="0.35">
      <c r="A1855" s="3" t="s">
        <v>1876</v>
      </c>
      <c r="B1855">
        <v>7</v>
      </c>
      <c r="C1855">
        <v>0</v>
      </c>
      <c r="D1855">
        <v>41</v>
      </c>
      <c r="E1855">
        <v>0</v>
      </c>
      <c r="F1855">
        <v>3893</v>
      </c>
      <c r="G1855">
        <v>66</v>
      </c>
      <c r="H1855">
        <v>2</v>
      </c>
      <c r="I1855">
        <v>34</v>
      </c>
      <c r="J1855">
        <v>1</v>
      </c>
      <c r="K1855">
        <v>1</v>
      </c>
      <c r="L1855">
        <v>1</v>
      </c>
      <c r="M1855">
        <v>15</v>
      </c>
      <c r="N1855">
        <v>228.745</v>
      </c>
      <c r="O1855">
        <v>0</v>
      </c>
      <c r="P18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5" t="str">
        <f>IF(Table1[[#This Row],[Fraud_Score]]&gt;=6, "High Risk",IF(Table1[[#This Row],[Fraud_Score]]&gt;=3, "Medium Risk", "Low Risk"))</f>
        <v>Low Risk</v>
      </c>
      <c r="R1855">
        <f>IF(Table1[[#This Row],[Seconds of Use]]=0,0,Table1[[#This Row],[Customer Value]]/Table1[[#This Row],[Seconds of Use]]*100)</f>
        <v>5.8758027228358589</v>
      </c>
    </row>
    <row r="1856" spans="1:18" x14ac:dyDescent="0.35">
      <c r="A1856" s="3" t="s">
        <v>1877</v>
      </c>
      <c r="B1856">
        <v>0</v>
      </c>
      <c r="C1856">
        <v>0</v>
      </c>
      <c r="D1856">
        <v>41</v>
      </c>
      <c r="E1856">
        <v>0</v>
      </c>
      <c r="F1856">
        <v>2088</v>
      </c>
      <c r="G1856">
        <v>58</v>
      </c>
      <c r="H1856">
        <v>3</v>
      </c>
      <c r="I1856">
        <v>32</v>
      </c>
      <c r="J1856">
        <v>2</v>
      </c>
      <c r="K1856">
        <v>1</v>
      </c>
      <c r="L1856">
        <v>1</v>
      </c>
      <c r="M1856">
        <v>25</v>
      </c>
      <c r="N1856">
        <v>110.07</v>
      </c>
      <c r="O1856">
        <v>0</v>
      </c>
      <c r="P18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6" t="str">
        <f>IF(Table1[[#This Row],[Fraud_Score]]&gt;=6, "High Risk",IF(Table1[[#This Row],[Fraud_Score]]&gt;=3, "Medium Risk", "Low Risk"))</f>
        <v>Low Risk</v>
      </c>
      <c r="R1856">
        <f>IF(Table1[[#This Row],[Seconds of Use]]=0,0,Table1[[#This Row],[Customer Value]]/Table1[[#This Row],[Seconds of Use]]*100)</f>
        <v>5.2715517241379306</v>
      </c>
    </row>
    <row r="1857" spans="1:18" x14ac:dyDescent="0.35">
      <c r="A1857" s="3" t="s">
        <v>1878</v>
      </c>
      <c r="B1857">
        <v>8</v>
      </c>
      <c r="C1857">
        <v>0</v>
      </c>
      <c r="D1857">
        <v>41</v>
      </c>
      <c r="E1857">
        <v>1</v>
      </c>
      <c r="F1857">
        <v>3470</v>
      </c>
      <c r="G1857">
        <v>82</v>
      </c>
      <c r="H1857">
        <v>33</v>
      </c>
      <c r="I1857">
        <v>27</v>
      </c>
      <c r="J1857">
        <v>3</v>
      </c>
      <c r="K1857">
        <v>1</v>
      </c>
      <c r="L1857">
        <v>1</v>
      </c>
      <c r="M1857">
        <v>30</v>
      </c>
      <c r="N1857">
        <v>274.08</v>
      </c>
      <c r="O1857">
        <v>0</v>
      </c>
      <c r="P18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57" t="str">
        <f>IF(Table1[[#This Row],[Fraud_Score]]&gt;=6, "High Risk",IF(Table1[[#This Row],[Fraud_Score]]&gt;=3, "Medium Risk", "Low Risk"))</f>
        <v>Low Risk</v>
      </c>
      <c r="R1857">
        <f>IF(Table1[[#This Row],[Seconds of Use]]=0,0,Table1[[#This Row],[Customer Value]]/Table1[[#This Row],[Seconds of Use]]*100)</f>
        <v>7.8985590778097983</v>
      </c>
    </row>
    <row r="1858" spans="1:18" x14ac:dyDescent="0.35">
      <c r="A1858" s="3" t="s">
        <v>1879</v>
      </c>
      <c r="B1858">
        <v>1</v>
      </c>
      <c r="C1858">
        <v>0</v>
      </c>
      <c r="D1858">
        <v>41</v>
      </c>
      <c r="E1858">
        <v>0</v>
      </c>
      <c r="F1858">
        <v>2055</v>
      </c>
      <c r="G1858">
        <v>39</v>
      </c>
      <c r="H1858">
        <v>286</v>
      </c>
      <c r="I1858">
        <v>17</v>
      </c>
      <c r="J1858">
        <v>3</v>
      </c>
      <c r="K1858">
        <v>1</v>
      </c>
      <c r="L1858">
        <v>1</v>
      </c>
      <c r="M1858">
        <v>30</v>
      </c>
      <c r="N1858">
        <v>1227.76</v>
      </c>
      <c r="O1858">
        <v>0</v>
      </c>
      <c r="P18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58" t="str">
        <f>IF(Table1[[#This Row],[Fraud_Score]]&gt;=6, "High Risk",IF(Table1[[#This Row],[Fraud_Score]]&gt;=3, "Medium Risk", "Low Risk"))</f>
        <v>Low Risk</v>
      </c>
      <c r="R1858">
        <f>IF(Table1[[#This Row],[Seconds of Use]]=0,0,Table1[[#This Row],[Customer Value]]/Table1[[#This Row],[Seconds of Use]]*100)</f>
        <v>59.74501216545012</v>
      </c>
    </row>
    <row r="1859" spans="1:18" x14ac:dyDescent="0.35">
      <c r="A1859" s="3" t="s">
        <v>1880</v>
      </c>
      <c r="B1859">
        <v>10</v>
      </c>
      <c r="C1859">
        <v>0</v>
      </c>
      <c r="D1859">
        <v>40</v>
      </c>
      <c r="E1859">
        <v>2</v>
      </c>
      <c r="F1859">
        <v>8810</v>
      </c>
      <c r="G1859">
        <v>121</v>
      </c>
      <c r="H1859">
        <v>145</v>
      </c>
      <c r="I1859">
        <v>42</v>
      </c>
      <c r="J1859">
        <v>3</v>
      </c>
      <c r="K1859">
        <v>1</v>
      </c>
      <c r="L1859">
        <v>1</v>
      </c>
      <c r="M1859">
        <v>30</v>
      </c>
      <c r="N1859">
        <v>937.24</v>
      </c>
      <c r="O1859">
        <v>0</v>
      </c>
      <c r="P18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59" t="str">
        <f>IF(Table1[[#This Row],[Fraud_Score]]&gt;=6, "High Risk",IF(Table1[[#This Row],[Fraud_Score]]&gt;=3, "Medium Risk", "Low Risk"))</f>
        <v>Low Risk</v>
      </c>
      <c r="R1859">
        <f>IF(Table1[[#This Row],[Seconds of Use]]=0,0,Table1[[#This Row],[Customer Value]]/Table1[[#This Row],[Seconds of Use]]*100)</f>
        <v>10.638365493757094</v>
      </c>
    </row>
    <row r="1860" spans="1:18" x14ac:dyDescent="0.35">
      <c r="A1860" s="3" t="s">
        <v>1881</v>
      </c>
      <c r="B1860">
        <v>4</v>
      </c>
      <c r="C1860">
        <v>0</v>
      </c>
      <c r="D1860">
        <v>41</v>
      </c>
      <c r="E1860">
        <v>0</v>
      </c>
      <c r="F1860">
        <v>13468</v>
      </c>
      <c r="G1860">
        <v>169</v>
      </c>
      <c r="H1860">
        <v>1</v>
      </c>
      <c r="I1860">
        <v>43</v>
      </c>
      <c r="J1860">
        <v>3</v>
      </c>
      <c r="K1860">
        <v>1</v>
      </c>
      <c r="L1860">
        <v>1</v>
      </c>
      <c r="M1860">
        <v>30</v>
      </c>
      <c r="N1860">
        <v>549.48</v>
      </c>
      <c r="O1860">
        <v>0</v>
      </c>
      <c r="P18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60" t="str">
        <f>IF(Table1[[#This Row],[Fraud_Score]]&gt;=6, "High Risk",IF(Table1[[#This Row],[Fraud_Score]]&gt;=3, "Medium Risk", "Low Risk"))</f>
        <v>Medium Risk</v>
      </c>
      <c r="R1860">
        <f>IF(Table1[[#This Row],[Seconds of Use]]=0,0,Table1[[#This Row],[Customer Value]]/Table1[[#This Row],[Seconds of Use]]*100)</f>
        <v>4.0798930798930799</v>
      </c>
    </row>
    <row r="1861" spans="1:18" x14ac:dyDescent="0.35">
      <c r="A1861" s="3" t="s">
        <v>1882</v>
      </c>
      <c r="B1861">
        <v>4</v>
      </c>
      <c r="C1861">
        <v>0</v>
      </c>
      <c r="D1861">
        <v>41</v>
      </c>
      <c r="E1861">
        <v>1</v>
      </c>
      <c r="F1861">
        <v>4210</v>
      </c>
      <c r="G1861">
        <v>83</v>
      </c>
      <c r="H1861">
        <v>3</v>
      </c>
      <c r="I1861">
        <v>24</v>
      </c>
      <c r="J1861">
        <v>3</v>
      </c>
      <c r="K1861">
        <v>1</v>
      </c>
      <c r="L1861">
        <v>1</v>
      </c>
      <c r="M1861">
        <v>30</v>
      </c>
      <c r="N1861">
        <v>183.72</v>
      </c>
      <c r="O1861">
        <v>0</v>
      </c>
      <c r="P18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61" t="str">
        <f>IF(Table1[[#This Row],[Fraud_Score]]&gt;=6, "High Risk",IF(Table1[[#This Row],[Fraud_Score]]&gt;=3, "Medium Risk", "Low Risk"))</f>
        <v>Low Risk</v>
      </c>
      <c r="R1861">
        <f>IF(Table1[[#This Row],[Seconds of Use]]=0,0,Table1[[#This Row],[Customer Value]]/Table1[[#This Row],[Seconds of Use]]*100)</f>
        <v>4.363895486935867</v>
      </c>
    </row>
    <row r="1862" spans="1:18" x14ac:dyDescent="0.35">
      <c r="A1862" s="3" t="s">
        <v>1883</v>
      </c>
      <c r="B1862">
        <v>3</v>
      </c>
      <c r="C1862">
        <v>0</v>
      </c>
      <c r="D1862">
        <v>41</v>
      </c>
      <c r="E1862">
        <v>0</v>
      </c>
      <c r="F1862">
        <v>5613</v>
      </c>
      <c r="G1862">
        <v>95</v>
      </c>
      <c r="H1862">
        <v>8</v>
      </c>
      <c r="I1862">
        <v>11</v>
      </c>
      <c r="J1862">
        <v>3</v>
      </c>
      <c r="K1862">
        <v>1</v>
      </c>
      <c r="L1862">
        <v>1</v>
      </c>
      <c r="M1862">
        <v>30</v>
      </c>
      <c r="N1862">
        <v>260.32</v>
      </c>
      <c r="O1862">
        <v>0</v>
      </c>
      <c r="P18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62" t="str">
        <f>IF(Table1[[#This Row],[Fraud_Score]]&gt;=6, "High Risk",IF(Table1[[#This Row],[Fraud_Score]]&gt;=3, "Medium Risk", "Low Risk"))</f>
        <v>Low Risk</v>
      </c>
      <c r="R1862">
        <f>IF(Table1[[#This Row],[Seconds of Use]]=0,0,Table1[[#This Row],[Customer Value]]/Table1[[#This Row],[Seconds of Use]]*100)</f>
        <v>4.6378050953144481</v>
      </c>
    </row>
    <row r="1863" spans="1:18" x14ac:dyDescent="0.35">
      <c r="A1863" s="3" t="s">
        <v>1884</v>
      </c>
      <c r="B1863">
        <v>6</v>
      </c>
      <c r="C1863">
        <v>0</v>
      </c>
      <c r="D1863">
        <v>41</v>
      </c>
      <c r="E1863">
        <v>0</v>
      </c>
      <c r="F1863">
        <v>1933</v>
      </c>
      <c r="G1863">
        <v>54</v>
      </c>
      <c r="H1863">
        <v>9</v>
      </c>
      <c r="I1863">
        <v>16</v>
      </c>
      <c r="J1863">
        <v>3</v>
      </c>
      <c r="K1863">
        <v>1</v>
      </c>
      <c r="L1863">
        <v>2</v>
      </c>
      <c r="M1863">
        <v>30</v>
      </c>
      <c r="N1863">
        <v>115.48</v>
      </c>
      <c r="O1863">
        <v>0</v>
      </c>
      <c r="P18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63" t="str">
        <f>IF(Table1[[#This Row],[Fraud_Score]]&gt;=6, "High Risk",IF(Table1[[#This Row],[Fraud_Score]]&gt;=3, "Medium Risk", "Low Risk"))</f>
        <v>Low Risk</v>
      </c>
      <c r="R1863">
        <f>IF(Table1[[#This Row],[Seconds of Use]]=0,0,Table1[[#This Row],[Customer Value]]/Table1[[#This Row],[Seconds of Use]]*100)</f>
        <v>5.9741334712881535</v>
      </c>
    </row>
    <row r="1864" spans="1:18" x14ac:dyDescent="0.35">
      <c r="A1864" s="3" t="s">
        <v>1885</v>
      </c>
      <c r="B1864">
        <v>22</v>
      </c>
      <c r="C1864">
        <v>0</v>
      </c>
      <c r="D1864">
        <v>41</v>
      </c>
      <c r="E1864">
        <v>3</v>
      </c>
      <c r="F1864">
        <v>14835</v>
      </c>
      <c r="G1864">
        <v>225</v>
      </c>
      <c r="H1864">
        <v>55</v>
      </c>
      <c r="I1864">
        <v>31</v>
      </c>
      <c r="J1864">
        <v>3</v>
      </c>
      <c r="K1864">
        <v>1</v>
      </c>
      <c r="L1864">
        <v>1</v>
      </c>
      <c r="M1864">
        <v>30</v>
      </c>
      <c r="N1864">
        <v>822.4</v>
      </c>
      <c r="O1864">
        <v>0</v>
      </c>
      <c r="P18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864" t="str">
        <f>IF(Table1[[#This Row],[Fraud_Score]]&gt;=6, "High Risk",IF(Table1[[#This Row],[Fraud_Score]]&gt;=3, "Medium Risk", "Low Risk"))</f>
        <v>Medium Risk</v>
      </c>
      <c r="R1864">
        <f>IF(Table1[[#This Row],[Seconds of Use]]=0,0,Table1[[#This Row],[Customer Value]]/Table1[[#This Row],[Seconds of Use]]*100)</f>
        <v>5.5436467812605326</v>
      </c>
    </row>
    <row r="1865" spans="1:18" x14ac:dyDescent="0.35">
      <c r="A1865" s="3" t="s">
        <v>1886</v>
      </c>
      <c r="B1865">
        <v>1</v>
      </c>
      <c r="C1865">
        <v>0</v>
      </c>
      <c r="D1865">
        <v>41</v>
      </c>
      <c r="E1865">
        <v>1</v>
      </c>
      <c r="F1865">
        <v>2790</v>
      </c>
      <c r="G1865">
        <v>27</v>
      </c>
      <c r="H1865">
        <v>484</v>
      </c>
      <c r="I1865">
        <v>7</v>
      </c>
      <c r="J1865">
        <v>3</v>
      </c>
      <c r="K1865">
        <v>1</v>
      </c>
      <c r="L1865">
        <v>1</v>
      </c>
      <c r="M1865">
        <v>30</v>
      </c>
      <c r="N1865">
        <v>2048.6799999999998</v>
      </c>
      <c r="O1865">
        <v>0</v>
      </c>
      <c r="P18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65" t="str">
        <f>IF(Table1[[#This Row],[Fraud_Score]]&gt;=6, "High Risk",IF(Table1[[#This Row],[Fraud_Score]]&gt;=3, "Medium Risk", "Low Risk"))</f>
        <v>Low Risk</v>
      </c>
      <c r="R1865">
        <f>IF(Table1[[#This Row],[Seconds of Use]]=0,0,Table1[[#This Row],[Customer Value]]/Table1[[#This Row],[Seconds of Use]]*100)</f>
        <v>73.429390681003582</v>
      </c>
    </row>
    <row r="1866" spans="1:18" x14ac:dyDescent="0.35">
      <c r="A1866" s="3" t="s">
        <v>1887</v>
      </c>
      <c r="B1866">
        <v>6</v>
      </c>
      <c r="C1866">
        <v>0</v>
      </c>
      <c r="D1866">
        <v>40</v>
      </c>
      <c r="E1866">
        <v>0</v>
      </c>
      <c r="F1866">
        <v>15180</v>
      </c>
      <c r="G1866">
        <v>182</v>
      </c>
      <c r="H1866">
        <v>151</v>
      </c>
      <c r="I1866">
        <v>29</v>
      </c>
      <c r="J1866">
        <v>2</v>
      </c>
      <c r="K1866">
        <v>1</v>
      </c>
      <c r="L1866">
        <v>1</v>
      </c>
      <c r="M1866">
        <v>25</v>
      </c>
      <c r="N1866">
        <v>1370.79</v>
      </c>
      <c r="O1866">
        <v>0</v>
      </c>
      <c r="P18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66" t="str">
        <f>IF(Table1[[#This Row],[Fraud_Score]]&gt;=6, "High Risk",IF(Table1[[#This Row],[Fraud_Score]]&gt;=3, "Medium Risk", "Low Risk"))</f>
        <v>Medium Risk</v>
      </c>
      <c r="R1866">
        <f>IF(Table1[[#This Row],[Seconds of Use]]=0,0,Table1[[#This Row],[Customer Value]]/Table1[[#This Row],[Seconds of Use]]*100)</f>
        <v>9.030237154150198</v>
      </c>
    </row>
    <row r="1867" spans="1:18" x14ac:dyDescent="0.35">
      <c r="A1867" s="3" t="s">
        <v>1888</v>
      </c>
      <c r="B1867">
        <v>0</v>
      </c>
      <c r="C1867">
        <v>0</v>
      </c>
      <c r="D1867">
        <v>40</v>
      </c>
      <c r="E1867">
        <v>1</v>
      </c>
      <c r="F1867">
        <v>6195</v>
      </c>
      <c r="G1867">
        <v>86</v>
      </c>
      <c r="H1867">
        <v>187</v>
      </c>
      <c r="I1867">
        <v>25</v>
      </c>
      <c r="J1867">
        <v>3</v>
      </c>
      <c r="K1867">
        <v>1</v>
      </c>
      <c r="L1867">
        <v>1</v>
      </c>
      <c r="M1867">
        <v>30</v>
      </c>
      <c r="N1867">
        <v>999.24</v>
      </c>
      <c r="O1867">
        <v>0</v>
      </c>
      <c r="P18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67" t="str">
        <f>IF(Table1[[#This Row],[Fraud_Score]]&gt;=6, "High Risk",IF(Table1[[#This Row],[Fraud_Score]]&gt;=3, "Medium Risk", "Low Risk"))</f>
        <v>Low Risk</v>
      </c>
      <c r="R1867">
        <f>IF(Table1[[#This Row],[Seconds of Use]]=0,0,Table1[[#This Row],[Customer Value]]/Table1[[#This Row],[Seconds of Use]]*100)</f>
        <v>16.129782082324457</v>
      </c>
    </row>
    <row r="1868" spans="1:18" x14ac:dyDescent="0.35">
      <c r="A1868" s="3" t="s">
        <v>1889</v>
      </c>
      <c r="B1868">
        <v>0</v>
      </c>
      <c r="C1868">
        <v>0</v>
      </c>
      <c r="D1868">
        <v>40</v>
      </c>
      <c r="E1868">
        <v>0</v>
      </c>
      <c r="F1868">
        <v>570</v>
      </c>
      <c r="G1868">
        <v>14</v>
      </c>
      <c r="H1868">
        <v>1</v>
      </c>
      <c r="I1868">
        <v>10</v>
      </c>
      <c r="J1868">
        <v>2</v>
      </c>
      <c r="K1868">
        <v>1</v>
      </c>
      <c r="L1868">
        <v>2</v>
      </c>
      <c r="M1868">
        <v>25</v>
      </c>
      <c r="N1868">
        <v>30.78</v>
      </c>
      <c r="O1868">
        <v>0</v>
      </c>
      <c r="P18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68" t="str">
        <f>IF(Table1[[#This Row],[Fraud_Score]]&gt;=6, "High Risk",IF(Table1[[#This Row],[Fraud_Score]]&gt;=3, "Medium Risk", "Low Risk"))</f>
        <v>Low Risk</v>
      </c>
      <c r="R1868">
        <f>IF(Table1[[#This Row],[Seconds of Use]]=0,0,Table1[[#This Row],[Customer Value]]/Table1[[#This Row],[Seconds of Use]]*100)</f>
        <v>5.4</v>
      </c>
    </row>
    <row r="1869" spans="1:18" x14ac:dyDescent="0.35">
      <c r="A1869" s="3" t="s">
        <v>1890</v>
      </c>
      <c r="B1869">
        <v>0</v>
      </c>
      <c r="C1869">
        <v>0</v>
      </c>
      <c r="D1869">
        <v>41</v>
      </c>
      <c r="E1869">
        <v>0</v>
      </c>
      <c r="F1869">
        <v>405</v>
      </c>
      <c r="G1869">
        <v>14</v>
      </c>
      <c r="H1869">
        <v>14</v>
      </c>
      <c r="I1869">
        <v>7</v>
      </c>
      <c r="J1869">
        <v>3</v>
      </c>
      <c r="K1869">
        <v>1</v>
      </c>
      <c r="L1869">
        <v>2</v>
      </c>
      <c r="M1869">
        <v>30</v>
      </c>
      <c r="N1869">
        <v>72.760000000000005</v>
      </c>
      <c r="O1869">
        <v>0</v>
      </c>
      <c r="P18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69" t="str">
        <f>IF(Table1[[#This Row],[Fraud_Score]]&gt;=6, "High Risk",IF(Table1[[#This Row],[Fraud_Score]]&gt;=3, "Medium Risk", "Low Risk"))</f>
        <v>Low Risk</v>
      </c>
      <c r="R1869">
        <f>IF(Table1[[#This Row],[Seconds of Use]]=0,0,Table1[[#This Row],[Customer Value]]/Table1[[#This Row],[Seconds of Use]]*100)</f>
        <v>17.965432098765433</v>
      </c>
    </row>
    <row r="1870" spans="1:18" x14ac:dyDescent="0.35">
      <c r="A1870" s="3" t="s">
        <v>1891</v>
      </c>
      <c r="B1870">
        <v>0</v>
      </c>
      <c r="C1870">
        <v>0</v>
      </c>
      <c r="D1870">
        <v>40</v>
      </c>
      <c r="E1870">
        <v>0</v>
      </c>
      <c r="F1870">
        <v>0</v>
      </c>
      <c r="G1870">
        <v>0</v>
      </c>
      <c r="H1870">
        <v>1</v>
      </c>
      <c r="I1870">
        <v>0</v>
      </c>
      <c r="J1870">
        <v>2</v>
      </c>
      <c r="K1870">
        <v>1</v>
      </c>
      <c r="L1870">
        <v>2</v>
      </c>
      <c r="M1870">
        <v>25</v>
      </c>
      <c r="N1870">
        <v>4.5</v>
      </c>
      <c r="O1870">
        <v>1</v>
      </c>
      <c r="P18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70" t="str">
        <f>IF(Table1[[#This Row],[Fraud_Score]]&gt;=6, "High Risk",IF(Table1[[#This Row],[Fraud_Score]]&gt;=3, "Medium Risk", "Low Risk"))</f>
        <v>Low Risk</v>
      </c>
      <c r="R1870">
        <f>IF(Table1[[#This Row],[Seconds of Use]]=0,0,Table1[[#This Row],[Customer Value]]/Table1[[#This Row],[Seconds of Use]]*100)</f>
        <v>0</v>
      </c>
    </row>
    <row r="1871" spans="1:18" x14ac:dyDescent="0.35">
      <c r="A1871" s="3" t="s">
        <v>1892</v>
      </c>
      <c r="B1871">
        <v>0</v>
      </c>
      <c r="C1871">
        <v>0</v>
      </c>
      <c r="D1871">
        <v>40</v>
      </c>
      <c r="E1871">
        <v>0</v>
      </c>
      <c r="F1871">
        <v>7203</v>
      </c>
      <c r="G1871">
        <v>127</v>
      </c>
      <c r="H1871">
        <v>385</v>
      </c>
      <c r="I1871">
        <v>42</v>
      </c>
      <c r="J1871">
        <v>3</v>
      </c>
      <c r="K1871">
        <v>1</v>
      </c>
      <c r="L1871">
        <v>1</v>
      </c>
      <c r="M1871">
        <v>30</v>
      </c>
      <c r="N1871">
        <v>1833.2</v>
      </c>
      <c r="O1871">
        <v>0</v>
      </c>
      <c r="P18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71" t="str">
        <f>IF(Table1[[#This Row],[Fraud_Score]]&gt;=6, "High Risk",IF(Table1[[#This Row],[Fraud_Score]]&gt;=3, "Medium Risk", "Low Risk"))</f>
        <v>Low Risk</v>
      </c>
      <c r="R1871">
        <f>IF(Table1[[#This Row],[Seconds of Use]]=0,0,Table1[[#This Row],[Customer Value]]/Table1[[#This Row],[Seconds of Use]]*100)</f>
        <v>25.450506733305566</v>
      </c>
    </row>
    <row r="1872" spans="1:18" x14ac:dyDescent="0.35">
      <c r="A1872" s="3" t="s">
        <v>1893</v>
      </c>
      <c r="B1872">
        <v>4</v>
      </c>
      <c r="C1872">
        <v>0</v>
      </c>
      <c r="D1872">
        <v>40</v>
      </c>
      <c r="E1872">
        <v>1</v>
      </c>
      <c r="F1872">
        <v>11160</v>
      </c>
      <c r="G1872">
        <v>154</v>
      </c>
      <c r="H1872">
        <v>12</v>
      </c>
      <c r="I1872">
        <v>46</v>
      </c>
      <c r="J1872">
        <v>4</v>
      </c>
      <c r="K1872">
        <v>1</v>
      </c>
      <c r="L1872">
        <v>1</v>
      </c>
      <c r="M1872">
        <v>45</v>
      </c>
      <c r="N1872">
        <v>312.85000000000002</v>
      </c>
      <c r="O1872">
        <v>0</v>
      </c>
      <c r="P18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872" t="str">
        <f>IF(Table1[[#This Row],[Fraud_Score]]&gt;=6, "High Risk",IF(Table1[[#This Row],[Fraud_Score]]&gt;=3, "Medium Risk", "Low Risk"))</f>
        <v>Low Risk</v>
      </c>
      <c r="R1872">
        <f>IF(Table1[[#This Row],[Seconds of Use]]=0,0,Table1[[#This Row],[Customer Value]]/Table1[[#This Row],[Seconds of Use]]*100)</f>
        <v>2.8033154121863801</v>
      </c>
    </row>
    <row r="1873" spans="1:18" x14ac:dyDescent="0.35">
      <c r="A1873" s="3" t="s">
        <v>1894</v>
      </c>
      <c r="B1873">
        <v>5</v>
      </c>
      <c r="C1873">
        <v>0</v>
      </c>
      <c r="D1873">
        <v>40</v>
      </c>
      <c r="E1873">
        <v>1</v>
      </c>
      <c r="F1873">
        <v>6413</v>
      </c>
      <c r="G1873">
        <v>75</v>
      </c>
      <c r="H1873">
        <v>109</v>
      </c>
      <c r="I1873">
        <v>36</v>
      </c>
      <c r="J1873">
        <v>2</v>
      </c>
      <c r="K1873">
        <v>1</v>
      </c>
      <c r="L1873">
        <v>1</v>
      </c>
      <c r="M1873">
        <v>25</v>
      </c>
      <c r="N1873">
        <v>782.46</v>
      </c>
      <c r="O1873">
        <v>0</v>
      </c>
      <c r="P18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73" t="str">
        <f>IF(Table1[[#This Row],[Fraud_Score]]&gt;=6, "High Risk",IF(Table1[[#This Row],[Fraud_Score]]&gt;=3, "Medium Risk", "Low Risk"))</f>
        <v>Low Risk</v>
      </c>
      <c r="R1873">
        <f>IF(Table1[[#This Row],[Seconds of Use]]=0,0,Table1[[#This Row],[Customer Value]]/Table1[[#This Row],[Seconds of Use]]*100)</f>
        <v>12.201153906128177</v>
      </c>
    </row>
    <row r="1874" spans="1:18" x14ac:dyDescent="0.35">
      <c r="A1874" s="3" t="s">
        <v>1895</v>
      </c>
      <c r="B1874">
        <v>20</v>
      </c>
      <c r="C1874">
        <v>0</v>
      </c>
      <c r="D1874">
        <v>36</v>
      </c>
      <c r="E1874">
        <v>0</v>
      </c>
      <c r="F1874">
        <v>650</v>
      </c>
      <c r="G1874">
        <v>47</v>
      </c>
      <c r="H1874">
        <v>17</v>
      </c>
      <c r="I1874">
        <v>16</v>
      </c>
      <c r="J1874">
        <v>3</v>
      </c>
      <c r="K1874">
        <v>1</v>
      </c>
      <c r="L1874">
        <v>2</v>
      </c>
      <c r="M1874">
        <v>30</v>
      </c>
      <c r="N1874">
        <v>95.88</v>
      </c>
      <c r="O1874">
        <v>1</v>
      </c>
      <c r="P18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74" t="str">
        <f>IF(Table1[[#This Row],[Fraud_Score]]&gt;=6, "High Risk",IF(Table1[[#This Row],[Fraud_Score]]&gt;=3, "Medium Risk", "Low Risk"))</f>
        <v>Medium Risk</v>
      </c>
      <c r="R1874">
        <f>IF(Table1[[#This Row],[Seconds of Use]]=0,0,Table1[[#This Row],[Customer Value]]/Table1[[#This Row],[Seconds of Use]]*100)</f>
        <v>14.750769230769231</v>
      </c>
    </row>
    <row r="1875" spans="1:18" x14ac:dyDescent="0.35">
      <c r="A1875" s="3" t="s">
        <v>1896</v>
      </c>
      <c r="B1875">
        <v>18</v>
      </c>
      <c r="C1875">
        <v>0</v>
      </c>
      <c r="D1875">
        <v>39</v>
      </c>
      <c r="E1875">
        <v>8</v>
      </c>
      <c r="F1875">
        <v>10130</v>
      </c>
      <c r="G1875">
        <v>93</v>
      </c>
      <c r="H1875">
        <v>2</v>
      </c>
      <c r="I1875">
        <v>41</v>
      </c>
      <c r="J1875">
        <v>5</v>
      </c>
      <c r="K1875">
        <v>1</v>
      </c>
      <c r="L1875">
        <v>1</v>
      </c>
      <c r="M1875">
        <v>55</v>
      </c>
      <c r="N1875">
        <v>156.345</v>
      </c>
      <c r="O1875">
        <v>0</v>
      </c>
      <c r="P18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875" t="str">
        <f>IF(Table1[[#This Row],[Fraud_Score]]&gt;=6, "High Risk",IF(Table1[[#This Row],[Fraud_Score]]&gt;=3, "Medium Risk", "Low Risk"))</f>
        <v>Low Risk</v>
      </c>
      <c r="R1875">
        <f>IF(Table1[[#This Row],[Seconds of Use]]=0,0,Table1[[#This Row],[Customer Value]]/Table1[[#This Row],[Seconds of Use]]*100)</f>
        <v>1.543385982230997</v>
      </c>
    </row>
    <row r="1876" spans="1:18" x14ac:dyDescent="0.35">
      <c r="A1876" s="3" t="s">
        <v>1897</v>
      </c>
      <c r="B1876">
        <v>10</v>
      </c>
      <c r="C1876">
        <v>0</v>
      </c>
      <c r="D1876">
        <v>39</v>
      </c>
      <c r="E1876">
        <v>1</v>
      </c>
      <c r="F1876">
        <v>5513</v>
      </c>
      <c r="G1876">
        <v>98</v>
      </c>
      <c r="H1876">
        <v>27</v>
      </c>
      <c r="I1876">
        <v>23</v>
      </c>
      <c r="J1876">
        <v>2</v>
      </c>
      <c r="K1876">
        <v>1</v>
      </c>
      <c r="L1876">
        <v>1</v>
      </c>
      <c r="M1876">
        <v>25</v>
      </c>
      <c r="N1876">
        <v>373.995</v>
      </c>
      <c r="O1876">
        <v>1</v>
      </c>
      <c r="P18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76" t="str">
        <f>IF(Table1[[#This Row],[Fraud_Score]]&gt;=6, "High Risk",IF(Table1[[#This Row],[Fraud_Score]]&gt;=3, "Medium Risk", "Low Risk"))</f>
        <v>Low Risk</v>
      </c>
      <c r="R1876">
        <f>IF(Table1[[#This Row],[Seconds of Use]]=0,0,Table1[[#This Row],[Customer Value]]/Table1[[#This Row],[Seconds of Use]]*100)</f>
        <v>6.7838744785053517</v>
      </c>
    </row>
    <row r="1877" spans="1:18" x14ac:dyDescent="0.35">
      <c r="A1877" s="3" t="s">
        <v>1898</v>
      </c>
      <c r="B1877">
        <v>0</v>
      </c>
      <c r="C1877">
        <v>0</v>
      </c>
      <c r="D1877">
        <v>37</v>
      </c>
      <c r="E1877">
        <v>0</v>
      </c>
      <c r="F1877">
        <v>2535</v>
      </c>
      <c r="G1877">
        <v>22</v>
      </c>
      <c r="H1877">
        <v>1</v>
      </c>
      <c r="I1877">
        <v>13</v>
      </c>
      <c r="J1877">
        <v>3</v>
      </c>
      <c r="K1877">
        <v>1</v>
      </c>
      <c r="L1877">
        <v>1</v>
      </c>
      <c r="M1877">
        <v>30</v>
      </c>
      <c r="N1877">
        <v>106.28</v>
      </c>
      <c r="O1877">
        <v>0</v>
      </c>
      <c r="P18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77" t="str">
        <f>IF(Table1[[#This Row],[Fraud_Score]]&gt;=6, "High Risk",IF(Table1[[#This Row],[Fraud_Score]]&gt;=3, "Medium Risk", "Low Risk"))</f>
        <v>Low Risk</v>
      </c>
      <c r="R1877">
        <f>IF(Table1[[#This Row],[Seconds of Use]]=0,0,Table1[[#This Row],[Customer Value]]/Table1[[#This Row],[Seconds of Use]]*100)</f>
        <v>4.1925049309664697</v>
      </c>
    </row>
    <row r="1878" spans="1:18" x14ac:dyDescent="0.35">
      <c r="A1878" s="3" t="s">
        <v>1899</v>
      </c>
      <c r="B1878">
        <v>6</v>
      </c>
      <c r="C1878">
        <v>1</v>
      </c>
      <c r="D1878">
        <v>38</v>
      </c>
      <c r="E1878">
        <v>0</v>
      </c>
      <c r="F1878">
        <v>2685</v>
      </c>
      <c r="G1878">
        <v>41</v>
      </c>
      <c r="H1878">
        <v>10</v>
      </c>
      <c r="I1878">
        <v>15</v>
      </c>
      <c r="J1878">
        <v>3</v>
      </c>
      <c r="K1878">
        <v>1</v>
      </c>
      <c r="L1878">
        <v>2</v>
      </c>
      <c r="M1878">
        <v>30</v>
      </c>
      <c r="N1878">
        <v>149.04</v>
      </c>
      <c r="O1878">
        <v>1</v>
      </c>
      <c r="P18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78" t="str">
        <f>IF(Table1[[#This Row],[Fraud_Score]]&gt;=6, "High Risk",IF(Table1[[#This Row],[Fraud_Score]]&gt;=3, "Medium Risk", "Low Risk"))</f>
        <v>Medium Risk</v>
      </c>
      <c r="R1878">
        <f>IF(Table1[[#This Row],[Seconds of Use]]=0,0,Table1[[#This Row],[Customer Value]]/Table1[[#This Row],[Seconds of Use]]*100)</f>
        <v>5.5508379888268147</v>
      </c>
    </row>
    <row r="1879" spans="1:18" x14ac:dyDescent="0.35">
      <c r="A1879" s="3" t="s">
        <v>1900</v>
      </c>
      <c r="B1879">
        <v>6</v>
      </c>
      <c r="C1879">
        <v>0</v>
      </c>
      <c r="D1879">
        <v>39</v>
      </c>
      <c r="E1879">
        <v>0</v>
      </c>
      <c r="F1879">
        <v>1963</v>
      </c>
      <c r="G1879">
        <v>44</v>
      </c>
      <c r="H1879">
        <v>35</v>
      </c>
      <c r="I1879">
        <v>30</v>
      </c>
      <c r="J1879">
        <v>3</v>
      </c>
      <c r="K1879">
        <v>1</v>
      </c>
      <c r="L1879">
        <v>2</v>
      </c>
      <c r="M1879">
        <v>30</v>
      </c>
      <c r="N1879">
        <v>220.28</v>
      </c>
      <c r="O1879">
        <v>1</v>
      </c>
      <c r="P18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79" t="str">
        <f>IF(Table1[[#This Row],[Fraud_Score]]&gt;=6, "High Risk",IF(Table1[[#This Row],[Fraud_Score]]&gt;=3, "Medium Risk", "Low Risk"))</f>
        <v>Low Risk</v>
      </c>
      <c r="R1879">
        <f>IF(Table1[[#This Row],[Seconds of Use]]=0,0,Table1[[#This Row],[Customer Value]]/Table1[[#This Row],[Seconds of Use]]*100)</f>
        <v>11.221599592460519</v>
      </c>
    </row>
    <row r="1880" spans="1:18" x14ac:dyDescent="0.35">
      <c r="A1880" s="3" t="s">
        <v>1901</v>
      </c>
      <c r="B1880">
        <v>0</v>
      </c>
      <c r="C1880">
        <v>0</v>
      </c>
      <c r="D1880">
        <v>39</v>
      </c>
      <c r="E1880">
        <v>0</v>
      </c>
      <c r="F1880">
        <v>0</v>
      </c>
      <c r="G1880">
        <v>0</v>
      </c>
      <c r="H1880">
        <v>1</v>
      </c>
      <c r="I1880">
        <v>0</v>
      </c>
      <c r="J1880">
        <v>3</v>
      </c>
      <c r="K1880">
        <v>1</v>
      </c>
      <c r="L1880">
        <v>2</v>
      </c>
      <c r="M1880">
        <v>30</v>
      </c>
      <c r="N1880">
        <v>4</v>
      </c>
      <c r="O1880">
        <v>1</v>
      </c>
      <c r="P18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80" t="str">
        <f>IF(Table1[[#This Row],[Fraud_Score]]&gt;=6, "High Risk",IF(Table1[[#This Row],[Fraud_Score]]&gt;=3, "Medium Risk", "Low Risk"))</f>
        <v>Low Risk</v>
      </c>
      <c r="R1880">
        <f>IF(Table1[[#This Row],[Seconds of Use]]=0,0,Table1[[#This Row],[Customer Value]]/Table1[[#This Row],[Seconds of Use]]*100)</f>
        <v>0</v>
      </c>
    </row>
    <row r="1881" spans="1:18" x14ac:dyDescent="0.35">
      <c r="A1881" s="3" t="s">
        <v>1902</v>
      </c>
      <c r="B1881">
        <v>0</v>
      </c>
      <c r="C1881">
        <v>0</v>
      </c>
      <c r="D1881">
        <v>39</v>
      </c>
      <c r="E1881">
        <v>0</v>
      </c>
      <c r="F1881">
        <v>1363</v>
      </c>
      <c r="G1881">
        <v>25</v>
      </c>
      <c r="H1881">
        <v>1</v>
      </c>
      <c r="I1881">
        <v>5</v>
      </c>
      <c r="J1881">
        <v>4</v>
      </c>
      <c r="K1881">
        <v>1</v>
      </c>
      <c r="L1881">
        <v>1</v>
      </c>
      <c r="M1881">
        <v>45</v>
      </c>
      <c r="N1881">
        <v>37.200000000000003</v>
      </c>
      <c r="O1881">
        <v>0</v>
      </c>
      <c r="P18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81" t="str">
        <f>IF(Table1[[#This Row],[Fraud_Score]]&gt;=6, "High Risk",IF(Table1[[#This Row],[Fraud_Score]]&gt;=3, "Medium Risk", "Low Risk"))</f>
        <v>Low Risk</v>
      </c>
      <c r="R1881">
        <f>IF(Table1[[#This Row],[Seconds of Use]]=0,0,Table1[[#This Row],[Customer Value]]/Table1[[#This Row],[Seconds of Use]]*100)</f>
        <v>2.7292736610418196</v>
      </c>
    </row>
    <row r="1882" spans="1:18" x14ac:dyDescent="0.35">
      <c r="A1882" s="3" t="s">
        <v>1903</v>
      </c>
      <c r="B1882">
        <v>0</v>
      </c>
      <c r="C1882">
        <v>0</v>
      </c>
      <c r="D1882">
        <v>36</v>
      </c>
      <c r="E1882">
        <v>1</v>
      </c>
      <c r="F1882">
        <v>6480</v>
      </c>
      <c r="G1882">
        <v>97</v>
      </c>
      <c r="H1882">
        <v>15</v>
      </c>
      <c r="I1882">
        <v>21</v>
      </c>
      <c r="J1882">
        <v>5</v>
      </c>
      <c r="K1882">
        <v>1</v>
      </c>
      <c r="L1882">
        <v>1</v>
      </c>
      <c r="M1882">
        <v>55</v>
      </c>
      <c r="N1882">
        <v>121.155</v>
      </c>
      <c r="O1882">
        <v>0</v>
      </c>
      <c r="P18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82" t="str">
        <f>IF(Table1[[#This Row],[Fraud_Score]]&gt;=6, "High Risk",IF(Table1[[#This Row],[Fraud_Score]]&gt;=3, "Medium Risk", "Low Risk"))</f>
        <v>Low Risk</v>
      </c>
      <c r="R1882">
        <f>IF(Table1[[#This Row],[Seconds of Use]]=0,0,Table1[[#This Row],[Customer Value]]/Table1[[#This Row],[Seconds of Use]]*100)</f>
        <v>1.8696759259259261</v>
      </c>
    </row>
    <row r="1883" spans="1:18" x14ac:dyDescent="0.35">
      <c r="A1883" s="3" t="s">
        <v>1904</v>
      </c>
      <c r="B1883">
        <v>0</v>
      </c>
      <c r="C1883">
        <v>0</v>
      </c>
      <c r="D1883">
        <v>39</v>
      </c>
      <c r="E1883">
        <v>0</v>
      </c>
      <c r="F1883">
        <v>323</v>
      </c>
      <c r="G1883">
        <v>7</v>
      </c>
      <c r="H1883">
        <v>10</v>
      </c>
      <c r="I1883">
        <v>3</v>
      </c>
      <c r="J1883">
        <v>4</v>
      </c>
      <c r="K1883">
        <v>1</v>
      </c>
      <c r="L1883">
        <v>2</v>
      </c>
      <c r="M1883">
        <v>45</v>
      </c>
      <c r="N1883">
        <v>33.25</v>
      </c>
      <c r="O1883">
        <v>1</v>
      </c>
      <c r="P18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83" t="str">
        <f>IF(Table1[[#This Row],[Fraud_Score]]&gt;=6, "High Risk",IF(Table1[[#This Row],[Fraud_Score]]&gt;=3, "Medium Risk", "Low Risk"))</f>
        <v>Low Risk</v>
      </c>
      <c r="R1883">
        <f>IF(Table1[[#This Row],[Seconds of Use]]=0,0,Table1[[#This Row],[Customer Value]]/Table1[[#This Row],[Seconds of Use]]*100)</f>
        <v>10.294117647058822</v>
      </c>
    </row>
    <row r="1884" spans="1:18" x14ac:dyDescent="0.35">
      <c r="A1884" s="3" t="s">
        <v>1905</v>
      </c>
      <c r="B1884">
        <v>0</v>
      </c>
      <c r="C1884">
        <v>0</v>
      </c>
      <c r="D1884">
        <v>39</v>
      </c>
      <c r="E1884">
        <v>1</v>
      </c>
      <c r="F1884">
        <v>33</v>
      </c>
      <c r="G1884">
        <v>4</v>
      </c>
      <c r="H1884">
        <v>5</v>
      </c>
      <c r="I1884">
        <v>1</v>
      </c>
      <c r="J1884">
        <v>5</v>
      </c>
      <c r="K1884">
        <v>1</v>
      </c>
      <c r="L1884">
        <v>1</v>
      </c>
      <c r="M1884">
        <v>55</v>
      </c>
      <c r="N1884">
        <v>8.0549999999999997</v>
      </c>
      <c r="O1884">
        <v>0</v>
      </c>
      <c r="P18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84" t="str">
        <f>IF(Table1[[#This Row],[Fraud_Score]]&gt;=6, "High Risk",IF(Table1[[#This Row],[Fraud_Score]]&gt;=3, "Medium Risk", "Low Risk"))</f>
        <v>Low Risk</v>
      </c>
      <c r="R1884">
        <f>IF(Table1[[#This Row],[Seconds of Use]]=0,0,Table1[[#This Row],[Customer Value]]/Table1[[#This Row],[Seconds of Use]]*100)</f>
        <v>24.409090909090907</v>
      </c>
    </row>
    <row r="1885" spans="1:18" x14ac:dyDescent="0.35">
      <c r="A1885" s="3" t="s">
        <v>1906</v>
      </c>
      <c r="B1885">
        <v>22</v>
      </c>
      <c r="C1885">
        <v>0</v>
      </c>
      <c r="D1885">
        <v>34</v>
      </c>
      <c r="E1885">
        <v>3</v>
      </c>
      <c r="F1885">
        <v>15770</v>
      </c>
      <c r="G1885">
        <v>238</v>
      </c>
      <c r="H1885">
        <v>1</v>
      </c>
      <c r="I1885">
        <v>79</v>
      </c>
      <c r="J1885">
        <v>2</v>
      </c>
      <c r="K1885">
        <v>1</v>
      </c>
      <c r="L1885">
        <v>1</v>
      </c>
      <c r="M1885">
        <v>25</v>
      </c>
      <c r="N1885">
        <v>724.86</v>
      </c>
      <c r="O1885">
        <v>0</v>
      </c>
      <c r="P18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885" t="str">
        <f>IF(Table1[[#This Row],[Fraud_Score]]&gt;=6, "High Risk",IF(Table1[[#This Row],[Fraud_Score]]&gt;=3, "Medium Risk", "Low Risk"))</f>
        <v>Medium Risk</v>
      </c>
      <c r="R1885">
        <f>IF(Table1[[#This Row],[Seconds of Use]]=0,0,Table1[[#This Row],[Customer Value]]/Table1[[#This Row],[Seconds of Use]]*100)</f>
        <v>4.5964489537095758</v>
      </c>
    </row>
    <row r="1886" spans="1:18" x14ac:dyDescent="0.35">
      <c r="A1886" s="3" t="s">
        <v>1907</v>
      </c>
      <c r="B1886">
        <v>3</v>
      </c>
      <c r="C1886">
        <v>0</v>
      </c>
      <c r="D1886">
        <v>37</v>
      </c>
      <c r="E1886">
        <v>3</v>
      </c>
      <c r="F1886">
        <v>6660</v>
      </c>
      <c r="G1886">
        <v>116</v>
      </c>
      <c r="H1886">
        <v>272</v>
      </c>
      <c r="I1886">
        <v>32</v>
      </c>
      <c r="J1886">
        <v>2</v>
      </c>
      <c r="K1886">
        <v>2</v>
      </c>
      <c r="L1886">
        <v>1</v>
      </c>
      <c r="M1886">
        <v>25</v>
      </c>
      <c r="N1886">
        <v>1528.92</v>
      </c>
      <c r="O1886">
        <v>0</v>
      </c>
      <c r="P18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86" t="str">
        <f>IF(Table1[[#This Row],[Fraud_Score]]&gt;=6, "High Risk",IF(Table1[[#This Row],[Fraud_Score]]&gt;=3, "Medium Risk", "Low Risk"))</f>
        <v>Low Risk</v>
      </c>
      <c r="R1886">
        <f>IF(Table1[[#This Row],[Seconds of Use]]=0,0,Table1[[#This Row],[Customer Value]]/Table1[[#This Row],[Seconds of Use]]*100)</f>
        <v>22.956756756756757</v>
      </c>
    </row>
    <row r="1887" spans="1:18" x14ac:dyDescent="0.35">
      <c r="A1887" s="3" t="s">
        <v>1908</v>
      </c>
      <c r="B1887">
        <v>0</v>
      </c>
      <c r="C1887">
        <v>0</v>
      </c>
      <c r="D1887">
        <v>39</v>
      </c>
      <c r="E1887">
        <v>0</v>
      </c>
      <c r="F1887">
        <v>3413</v>
      </c>
      <c r="G1887">
        <v>82</v>
      </c>
      <c r="H1887">
        <v>3</v>
      </c>
      <c r="I1887">
        <v>27</v>
      </c>
      <c r="J1887">
        <v>3</v>
      </c>
      <c r="K1887">
        <v>1</v>
      </c>
      <c r="L1887">
        <v>1</v>
      </c>
      <c r="M1887">
        <v>30</v>
      </c>
      <c r="N1887">
        <v>151.80000000000001</v>
      </c>
      <c r="O1887">
        <v>0</v>
      </c>
      <c r="P18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87" t="str">
        <f>IF(Table1[[#This Row],[Fraud_Score]]&gt;=6, "High Risk",IF(Table1[[#This Row],[Fraud_Score]]&gt;=3, "Medium Risk", "Low Risk"))</f>
        <v>Low Risk</v>
      </c>
      <c r="R1887">
        <f>IF(Table1[[#This Row],[Seconds of Use]]=0,0,Table1[[#This Row],[Customer Value]]/Table1[[#This Row],[Seconds of Use]]*100)</f>
        <v>4.4476999707002642</v>
      </c>
    </row>
    <row r="1888" spans="1:18" x14ac:dyDescent="0.35">
      <c r="A1888" s="3" t="s">
        <v>1909</v>
      </c>
      <c r="B1888">
        <v>0</v>
      </c>
      <c r="C1888">
        <v>0</v>
      </c>
      <c r="D1888">
        <v>38</v>
      </c>
      <c r="E1888">
        <v>0</v>
      </c>
      <c r="F1888">
        <v>1360</v>
      </c>
      <c r="G1888">
        <v>44</v>
      </c>
      <c r="H1888">
        <v>39</v>
      </c>
      <c r="I1888">
        <v>19</v>
      </c>
      <c r="J1888">
        <v>3</v>
      </c>
      <c r="K1888">
        <v>1</v>
      </c>
      <c r="L1888">
        <v>2</v>
      </c>
      <c r="M1888">
        <v>30</v>
      </c>
      <c r="N1888">
        <v>212.16</v>
      </c>
      <c r="O1888">
        <v>0</v>
      </c>
      <c r="P18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88" t="str">
        <f>IF(Table1[[#This Row],[Fraud_Score]]&gt;=6, "High Risk",IF(Table1[[#This Row],[Fraud_Score]]&gt;=3, "Medium Risk", "Low Risk"))</f>
        <v>Low Risk</v>
      </c>
      <c r="R1888">
        <f>IF(Table1[[#This Row],[Seconds of Use]]=0,0,Table1[[#This Row],[Customer Value]]/Table1[[#This Row],[Seconds of Use]]*100)</f>
        <v>15.6</v>
      </c>
    </row>
    <row r="1889" spans="1:18" x14ac:dyDescent="0.35">
      <c r="A1889" s="3" t="s">
        <v>1910</v>
      </c>
      <c r="B1889">
        <v>3</v>
      </c>
      <c r="C1889">
        <v>0</v>
      </c>
      <c r="D1889">
        <v>39</v>
      </c>
      <c r="E1889">
        <v>0</v>
      </c>
      <c r="F1889">
        <v>2475</v>
      </c>
      <c r="G1889">
        <v>53</v>
      </c>
      <c r="H1889">
        <v>176</v>
      </c>
      <c r="I1889">
        <v>22</v>
      </c>
      <c r="J1889">
        <v>2</v>
      </c>
      <c r="K1889">
        <v>1</v>
      </c>
      <c r="L1889">
        <v>1</v>
      </c>
      <c r="M1889">
        <v>25</v>
      </c>
      <c r="N1889">
        <v>905.76</v>
      </c>
      <c r="O1889">
        <v>0</v>
      </c>
      <c r="P18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89" t="str">
        <f>IF(Table1[[#This Row],[Fraud_Score]]&gt;=6, "High Risk",IF(Table1[[#This Row],[Fraud_Score]]&gt;=3, "Medium Risk", "Low Risk"))</f>
        <v>Low Risk</v>
      </c>
      <c r="R1889">
        <f>IF(Table1[[#This Row],[Seconds of Use]]=0,0,Table1[[#This Row],[Customer Value]]/Table1[[#This Row],[Seconds of Use]]*100)</f>
        <v>36.596363636363641</v>
      </c>
    </row>
    <row r="1890" spans="1:18" x14ac:dyDescent="0.35">
      <c r="A1890" s="3" t="s">
        <v>1911</v>
      </c>
      <c r="B1890">
        <v>1</v>
      </c>
      <c r="C1890">
        <v>0</v>
      </c>
      <c r="D1890">
        <v>30</v>
      </c>
      <c r="E1890">
        <v>1</v>
      </c>
      <c r="F1890">
        <v>1010</v>
      </c>
      <c r="G1890">
        <v>36</v>
      </c>
      <c r="H1890">
        <v>194</v>
      </c>
      <c r="I1890">
        <v>10</v>
      </c>
      <c r="J1890">
        <v>2</v>
      </c>
      <c r="K1890">
        <v>2</v>
      </c>
      <c r="L1890">
        <v>1</v>
      </c>
      <c r="M1890">
        <v>25</v>
      </c>
      <c r="N1890">
        <v>920.07</v>
      </c>
      <c r="O1890">
        <v>0</v>
      </c>
      <c r="P18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90" t="str">
        <f>IF(Table1[[#This Row],[Fraud_Score]]&gt;=6, "High Risk",IF(Table1[[#This Row],[Fraud_Score]]&gt;=3, "Medium Risk", "Low Risk"))</f>
        <v>Low Risk</v>
      </c>
      <c r="R1890">
        <f>IF(Table1[[#This Row],[Seconds of Use]]=0,0,Table1[[#This Row],[Customer Value]]/Table1[[#This Row],[Seconds of Use]]*100)</f>
        <v>91.096039603960406</v>
      </c>
    </row>
    <row r="1891" spans="1:18" x14ac:dyDescent="0.35">
      <c r="A1891" s="3" t="s">
        <v>1912</v>
      </c>
      <c r="B1891">
        <v>1</v>
      </c>
      <c r="C1891">
        <v>0</v>
      </c>
      <c r="D1891">
        <v>29</v>
      </c>
      <c r="E1891">
        <v>0</v>
      </c>
      <c r="F1891">
        <v>1263</v>
      </c>
      <c r="G1891">
        <v>39</v>
      </c>
      <c r="H1891">
        <v>31</v>
      </c>
      <c r="I1891">
        <v>67</v>
      </c>
      <c r="J1891">
        <v>4</v>
      </c>
      <c r="K1891">
        <v>1</v>
      </c>
      <c r="L1891">
        <v>1</v>
      </c>
      <c r="M1891">
        <v>45</v>
      </c>
      <c r="N1891">
        <v>110.05</v>
      </c>
      <c r="O1891">
        <v>0</v>
      </c>
      <c r="P18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891" t="str">
        <f>IF(Table1[[#This Row],[Fraud_Score]]&gt;=6, "High Risk",IF(Table1[[#This Row],[Fraud_Score]]&gt;=3, "Medium Risk", "Low Risk"))</f>
        <v>Low Risk</v>
      </c>
      <c r="R1891">
        <f>IF(Table1[[#This Row],[Seconds of Use]]=0,0,Table1[[#This Row],[Customer Value]]/Table1[[#This Row],[Seconds of Use]]*100)</f>
        <v>8.7133808392715757</v>
      </c>
    </row>
    <row r="1892" spans="1:18" x14ac:dyDescent="0.35">
      <c r="A1892" s="3" t="s">
        <v>1913</v>
      </c>
      <c r="B1892">
        <v>8</v>
      </c>
      <c r="C1892">
        <v>0</v>
      </c>
      <c r="D1892">
        <v>30</v>
      </c>
      <c r="E1892">
        <v>0</v>
      </c>
      <c r="F1892">
        <v>395</v>
      </c>
      <c r="G1892">
        <v>25</v>
      </c>
      <c r="H1892">
        <v>11</v>
      </c>
      <c r="I1892">
        <v>6</v>
      </c>
      <c r="J1892">
        <v>3</v>
      </c>
      <c r="K1892">
        <v>1</v>
      </c>
      <c r="L1892">
        <v>2</v>
      </c>
      <c r="M1892">
        <v>30</v>
      </c>
      <c r="N1892">
        <v>60.8</v>
      </c>
      <c r="O1892">
        <v>0</v>
      </c>
      <c r="P18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92" t="str">
        <f>IF(Table1[[#This Row],[Fraud_Score]]&gt;=6, "High Risk",IF(Table1[[#This Row],[Fraud_Score]]&gt;=3, "Medium Risk", "Low Risk"))</f>
        <v>Low Risk</v>
      </c>
      <c r="R1892">
        <f>IF(Table1[[#This Row],[Seconds of Use]]=0,0,Table1[[#This Row],[Customer Value]]/Table1[[#This Row],[Seconds of Use]]*100)</f>
        <v>15.39240506329114</v>
      </c>
    </row>
    <row r="1893" spans="1:18" x14ac:dyDescent="0.35">
      <c r="A1893" s="3" t="s">
        <v>1914</v>
      </c>
      <c r="B1893">
        <v>0</v>
      </c>
      <c r="C1893">
        <v>0</v>
      </c>
      <c r="D1893">
        <v>29</v>
      </c>
      <c r="E1893">
        <v>0</v>
      </c>
      <c r="F1893">
        <v>520</v>
      </c>
      <c r="G1893">
        <v>10</v>
      </c>
      <c r="H1893">
        <v>22</v>
      </c>
      <c r="I1893">
        <v>2</v>
      </c>
      <c r="J1893">
        <v>4</v>
      </c>
      <c r="K1893">
        <v>1</v>
      </c>
      <c r="L1893">
        <v>2</v>
      </c>
      <c r="M1893">
        <v>45</v>
      </c>
      <c r="N1893">
        <v>68.25</v>
      </c>
      <c r="O1893">
        <v>0</v>
      </c>
      <c r="P18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93" t="str">
        <f>IF(Table1[[#This Row],[Fraud_Score]]&gt;=6, "High Risk",IF(Table1[[#This Row],[Fraud_Score]]&gt;=3, "Medium Risk", "Low Risk"))</f>
        <v>Low Risk</v>
      </c>
      <c r="R1893">
        <f>IF(Table1[[#This Row],[Seconds of Use]]=0,0,Table1[[#This Row],[Customer Value]]/Table1[[#This Row],[Seconds of Use]]*100)</f>
        <v>13.125</v>
      </c>
    </row>
    <row r="1894" spans="1:18" x14ac:dyDescent="0.35">
      <c r="A1894" s="3" t="s">
        <v>1915</v>
      </c>
      <c r="B1894">
        <v>7</v>
      </c>
      <c r="C1894">
        <v>0</v>
      </c>
      <c r="D1894">
        <v>28</v>
      </c>
      <c r="E1894">
        <v>0</v>
      </c>
      <c r="F1894">
        <v>920</v>
      </c>
      <c r="G1894">
        <v>32</v>
      </c>
      <c r="H1894">
        <v>20</v>
      </c>
      <c r="I1894">
        <v>12</v>
      </c>
      <c r="J1894">
        <v>2</v>
      </c>
      <c r="K1894">
        <v>1</v>
      </c>
      <c r="L1894">
        <v>1</v>
      </c>
      <c r="M1894">
        <v>25</v>
      </c>
      <c r="N1894">
        <v>132.84</v>
      </c>
      <c r="O1894">
        <v>0</v>
      </c>
      <c r="P18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94" t="str">
        <f>IF(Table1[[#This Row],[Fraud_Score]]&gt;=6, "High Risk",IF(Table1[[#This Row],[Fraud_Score]]&gt;=3, "Medium Risk", "Low Risk"))</f>
        <v>Low Risk</v>
      </c>
      <c r="R1894">
        <f>IF(Table1[[#This Row],[Seconds of Use]]=0,0,Table1[[#This Row],[Customer Value]]/Table1[[#This Row],[Seconds of Use]]*100)</f>
        <v>14.43913043478261</v>
      </c>
    </row>
    <row r="1895" spans="1:18" x14ac:dyDescent="0.35">
      <c r="A1895" s="3" t="s">
        <v>1916</v>
      </c>
      <c r="B1895">
        <v>0</v>
      </c>
      <c r="C1895">
        <v>0</v>
      </c>
      <c r="D1895">
        <v>28</v>
      </c>
      <c r="E1895">
        <v>0</v>
      </c>
      <c r="F1895">
        <v>2920</v>
      </c>
      <c r="G1895">
        <v>61</v>
      </c>
      <c r="H1895">
        <v>9</v>
      </c>
      <c r="I1895">
        <v>22</v>
      </c>
      <c r="J1895">
        <v>3</v>
      </c>
      <c r="K1895">
        <v>1</v>
      </c>
      <c r="L1895">
        <v>1</v>
      </c>
      <c r="M1895">
        <v>30</v>
      </c>
      <c r="N1895">
        <v>155.24</v>
      </c>
      <c r="O1895">
        <v>0</v>
      </c>
      <c r="P18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95" t="str">
        <f>IF(Table1[[#This Row],[Fraud_Score]]&gt;=6, "High Risk",IF(Table1[[#This Row],[Fraud_Score]]&gt;=3, "Medium Risk", "Low Risk"))</f>
        <v>Low Risk</v>
      </c>
      <c r="R1895">
        <f>IF(Table1[[#This Row],[Seconds of Use]]=0,0,Table1[[#This Row],[Customer Value]]/Table1[[#This Row],[Seconds of Use]]*100)</f>
        <v>5.316438356164384</v>
      </c>
    </row>
    <row r="1896" spans="1:18" x14ac:dyDescent="0.35">
      <c r="A1896" s="3" t="s">
        <v>1917</v>
      </c>
      <c r="B1896">
        <v>0</v>
      </c>
      <c r="C1896">
        <v>0</v>
      </c>
      <c r="D1896">
        <v>21</v>
      </c>
      <c r="E1896">
        <v>0</v>
      </c>
      <c r="F1896">
        <v>1390</v>
      </c>
      <c r="G1896">
        <v>26</v>
      </c>
      <c r="H1896">
        <v>29</v>
      </c>
      <c r="I1896">
        <v>13</v>
      </c>
      <c r="J1896">
        <v>2</v>
      </c>
      <c r="K1896">
        <v>1</v>
      </c>
      <c r="L1896">
        <v>1</v>
      </c>
      <c r="M1896">
        <v>25</v>
      </c>
      <c r="N1896">
        <v>194.22</v>
      </c>
      <c r="O1896">
        <v>0</v>
      </c>
      <c r="P18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896" t="str">
        <f>IF(Table1[[#This Row],[Fraud_Score]]&gt;=6, "High Risk",IF(Table1[[#This Row],[Fraud_Score]]&gt;=3, "Medium Risk", "Low Risk"))</f>
        <v>Low Risk</v>
      </c>
      <c r="R1896">
        <f>IF(Table1[[#This Row],[Seconds of Use]]=0,0,Table1[[#This Row],[Customer Value]]/Table1[[#This Row],[Seconds of Use]]*100)</f>
        <v>13.972661870503597</v>
      </c>
    </row>
    <row r="1897" spans="1:18" x14ac:dyDescent="0.35">
      <c r="A1897" s="3" t="s">
        <v>1918</v>
      </c>
      <c r="B1897">
        <v>13</v>
      </c>
      <c r="C1897">
        <v>0</v>
      </c>
      <c r="D1897">
        <v>20</v>
      </c>
      <c r="E1897">
        <v>1</v>
      </c>
      <c r="F1897">
        <v>6087</v>
      </c>
      <c r="G1897">
        <v>141</v>
      </c>
      <c r="H1897">
        <v>86</v>
      </c>
      <c r="I1897">
        <v>41</v>
      </c>
      <c r="J1897">
        <v>2</v>
      </c>
      <c r="K1897">
        <v>2</v>
      </c>
      <c r="L1897">
        <v>1</v>
      </c>
      <c r="M1897">
        <v>25</v>
      </c>
      <c r="N1897">
        <v>667.26</v>
      </c>
      <c r="O1897">
        <v>0</v>
      </c>
      <c r="P18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897" t="str">
        <f>IF(Table1[[#This Row],[Fraud_Score]]&gt;=6, "High Risk",IF(Table1[[#This Row],[Fraud_Score]]&gt;=3, "Medium Risk", "Low Risk"))</f>
        <v>Medium Risk</v>
      </c>
      <c r="R1897">
        <f>IF(Table1[[#This Row],[Seconds of Use]]=0,0,Table1[[#This Row],[Customer Value]]/Table1[[#This Row],[Seconds of Use]]*100)</f>
        <v>10.962050271069494</v>
      </c>
    </row>
    <row r="1898" spans="1:18" x14ac:dyDescent="0.35">
      <c r="A1898" s="3" t="s">
        <v>1919</v>
      </c>
      <c r="B1898">
        <v>9</v>
      </c>
      <c r="C1898">
        <v>0</v>
      </c>
      <c r="D1898">
        <v>18</v>
      </c>
      <c r="E1898">
        <v>0</v>
      </c>
      <c r="F1898">
        <v>8627</v>
      </c>
      <c r="G1898">
        <v>171</v>
      </c>
      <c r="H1898">
        <v>74</v>
      </c>
      <c r="I1898">
        <v>39</v>
      </c>
      <c r="J1898">
        <v>5</v>
      </c>
      <c r="K1898">
        <v>1</v>
      </c>
      <c r="L1898">
        <v>1</v>
      </c>
      <c r="M1898">
        <v>55</v>
      </c>
      <c r="N1898">
        <v>242.97</v>
      </c>
      <c r="O1898">
        <v>0</v>
      </c>
      <c r="P18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898" t="str">
        <f>IF(Table1[[#This Row],[Fraud_Score]]&gt;=6, "High Risk",IF(Table1[[#This Row],[Fraud_Score]]&gt;=3, "Medium Risk", "Low Risk"))</f>
        <v>Medium Risk</v>
      </c>
      <c r="R1898">
        <f>IF(Table1[[#This Row],[Seconds of Use]]=0,0,Table1[[#This Row],[Customer Value]]/Table1[[#This Row],[Seconds of Use]]*100)</f>
        <v>2.8163904022255708</v>
      </c>
    </row>
    <row r="1899" spans="1:18" x14ac:dyDescent="0.35">
      <c r="A1899" s="3" t="s">
        <v>1920</v>
      </c>
      <c r="B1899">
        <v>5</v>
      </c>
      <c r="C1899">
        <v>0</v>
      </c>
      <c r="D1899">
        <v>19</v>
      </c>
      <c r="E1899">
        <v>3</v>
      </c>
      <c r="F1899">
        <v>2547</v>
      </c>
      <c r="G1899">
        <v>45</v>
      </c>
      <c r="H1899">
        <v>32</v>
      </c>
      <c r="I1899">
        <v>18</v>
      </c>
      <c r="J1899">
        <v>3</v>
      </c>
      <c r="K1899">
        <v>1</v>
      </c>
      <c r="L1899">
        <v>1</v>
      </c>
      <c r="M1899">
        <v>30</v>
      </c>
      <c r="N1899">
        <v>231.68</v>
      </c>
      <c r="O1899">
        <v>0</v>
      </c>
      <c r="P18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899" t="str">
        <f>IF(Table1[[#This Row],[Fraud_Score]]&gt;=6, "High Risk",IF(Table1[[#This Row],[Fraud_Score]]&gt;=3, "Medium Risk", "Low Risk"))</f>
        <v>Low Risk</v>
      </c>
      <c r="R1899">
        <f>IF(Table1[[#This Row],[Seconds of Use]]=0,0,Table1[[#This Row],[Customer Value]]/Table1[[#This Row],[Seconds of Use]]*100)</f>
        <v>9.0961915979583825</v>
      </c>
    </row>
    <row r="1900" spans="1:18" x14ac:dyDescent="0.35">
      <c r="A1900" s="3" t="s">
        <v>1921</v>
      </c>
      <c r="B1900">
        <v>0</v>
      </c>
      <c r="C1900">
        <v>0</v>
      </c>
      <c r="D1900">
        <v>12</v>
      </c>
      <c r="E1900">
        <v>1</v>
      </c>
      <c r="F1900">
        <v>4085</v>
      </c>
      <c r="G1900">
        <v>40</v>
      </c>
      <c r="H1900">
        <v>216</v>
      </c>
      <c r="I1900">
        <v>9</v>
      </c>
      <c r="J1900">
        <v>3</v>
      </c>
      <c r="K1900">
        <v>1</v>
      </c>
      <c r="L1900">
        <v>1</v>
      </c>
      <c r="M1900">
        <v>30</v>
      </c>
      <c r="N1900">
        <v>1029</v>
      </c>
      <c r="O1900">
        <v>0</v>
      </c>
      <c r="P19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00" t="str">
        <f>IF(Table1[[#This Row],[Fraud_Score]]&gt;=6, "High Risk",IF(Table1[[#This Row],[Fraud_Score]]&gt;=3, "Medium Risk", "Low Risk"))</f>
        <v>Low Risk</v>
      </c>
      <c r="R1900">
        <f>IF(Table1[[#This Row],[Seconds of Use]]=0,0,Table1[[#This Row],[Customer Value]]/Table1[[#This Row],[Seconds of Use]]*100)</f>
        <v>25.189718482252143</v>
      </c>
    </row>
    <row r="1901" spans="1:18" x14ac:dyDescent="0.35">
      <c r="A1901" s="3" t="s">
        <v>1922</v>
      </c>
      <c r="B1901">
        <v>0</v>
      </c>
      <c r="C1901">
        <v>0</v>
      </c>
      <c r="D1901">
        <v>12</v>
      </c>
      <c r="E1901">
        <v>1</v>
      </c>
      <c r="F1901">
        <v>1182</v>
      </c>
      <c r="G1901">
        <v>19</v>
      </c>
      <c r="H1901">
        <v>1</v>
      </c>
      <c r="I1901">
        <v>6</v>
      </c>
      <c r="J1901">
        <v>3</v>
      </c>
      <c r="K1901">
        <v>1</v>
      </c>
      <c r="L1901">
        <v>1</v>
      </c>
      <c r="M1901">
        <v>30</v>
      </c>
      <c r="N1901">
        <v>52.04</v>
      </c>
      <c r="O1901">
        <v>1</v>
      </c>
      <c r="P19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01" t="str">
        <f>IF(Table1[[#This Row],[Fraud_Score]]&gt;=6, "High Risk",IF(Table1[[#This Row],[Fraud_Score]]&gt;=3, "Medium Risk", "Low Risk"))</f>
        <v>Low Risk</v>
      </c>
      <c r="R1901">
        <f>IF(Table1[[#This Row],[Seconds of Use]]=0,0,Table1[[#This Row],[Customer Value]]/Table1[[#This Row],[Seconds of Use]]*100)</f>
        <v>4.4027072758037225</v>
      </c>
    </row>
    <row r="1902" spans="1:18" x14ac:dyDescent="0.35">
      <c r="A1902" s="3" t="s">
        <v>1923</v>
      </c>
      <c r="B1902">
        <v>9</v>
      </c>
      <c r="C1902">
        <v>0</v>
      </c>
      <c r="D1902">
        <v>37</v>
      </c>
      <c r="E1902">
        <v>0</v>
      </c>
      <c r="F1902">
        <v>4775</v>
      </c>
      <c r="G1902">
        <v>76</v>
      </c>
      <c r="H1902">
        <v>23</v>
      </c>
      <c r="I1902">
        <v>15</v>
      </c>
      <c r="J1902">
        <v>2</v>
      </c>
      <c r="K1902">
        <v>1</v>
      </c>
      <c r="L1902">
        <v>1</v>
      </c>
      <c r="M1902">
        <v>25</v>
      </c>
      <c r="N1902">
        <v>321.79500000000002</v>
      </c>
      <c r="O1902">
        <v>0</v>
      </c>
      <c r="P19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02" t="str">
        <f>IF(Table1[[#This Row],[Fraud_Score]]&gt;=6, "High Risk",IF(Table1[[#This Row],[Fraud_Score]]&gt;=3, "Medium Risk", "Low Risk"))</f>
        <v>Low Risk</v>
      </c>
      <c r="R1902">
        <f>IF(Table1[[#This Row],[Seconds of Use]]=0,0,Table1[[#This Row],[Customer Value]]/Table1[[#This Row],[Seconds of Use]]*100)</f>
        <v>6.739162303664922</v>
      </c>
    </row>
    <row r="1903" spans="1:18" x14ac:dyDescent="0.35">
      <c r="A1903" s="3" t="s">
        <v>1924</v>
      </c>
      <c r="B1903">
        <v>1</v>
      </c>
      <c r="C1903">
        <v>0</v>
      </c>
      <c r="D1903">
        <v>38</v>
      </c>
      <c r="E1903">
        <v>0</v>
      </c>
      <c r="F1903">
        <v>723</v>
      </c>
      <c r="G1903">
        <v>10</v>
      </c>
      <c r="H1903">
        <v>8</v>
      </c>
      <c r="I1903">
        <v>2</v>
      </c>
      <c r="J1903">
        <v>2</v>
      </c>
      <c r="K1903">
        <v>1</v>
      </c>
      <c r="L1903">
        <v>2</v>
      </c>
      <c r="M1903">
        <v>25</v>
      </c>
      <c r="N1903">
        <v>68.984999999999999</v>
      </c>
      <c r="O1903">
        <v>0</v>
      </c>
      <c r="P19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03" t="str">
        <f>IF(Table1[[#This Row],[Fraud_Score]]&gt;=6, "High Risk",IF(Table1[[#This Row],[Fraud_Score]]&gt;=3, "Medium Risk", "Low Risk"))</f>
        <v>Low Risk</v>
      </c>
      <c r="R1903">
        <f>IF(Table1[[#This Row],[Seconds of Use]]=0,0,Table1[[#This Row],[Customer Value]]/Table1[[#This Row],[Seconds of Use]]*100)</f>
        <v>9.5414937759336098</v>
      </c>
    </row>
    <row r="1904" spans="1:18" x14ac:dyDescent="0.35">
      <c r="A1904" s="3" t="s">
        <v>1925</v>
      </c>
      <c r="B1904">
        <v>11</v>
      </c>
      <c r="C1904">
        <v>0</v>
      </c>
      <c r="D1904">
        <v>36</v>
      </c>
      <c r="E1904">
        <v>0</v>
      </c>
      <c r="F1904">
        <v>2858</v>
      </c>
      <c r="G1904">
        <v>65</v>
      </c>
      <c r="H1904">
        <v>360</v>
      </c>
      <c r="I1904">
        <v>22</v>
      </c>
      <c r="J1904">
        <v>2</v>
      </c>
      <c r="K1904">
        <v>1</v>
      </c>
      <c r="L1904">
        <v>1</v>
      </c>
      <c r="M1904">
        <v>25</v>
      </c>
      <c r="N1904">
        <v>1751.5350000000001</v>
      </c>
      <c r="O1904">
        <v>0</v>
      </c>
      <c r="P19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04" t="str">
        <f>IF(Table1[[#This Row],[Fraud_Score]]&gt;=6, "High Risk",IF(Table1[[#This Row],[Fraud_Score]]&gt;=3, "Medium Risk", "Low Risk"))</f>
        <v>Medium Risk</v>
      </c>
      <c r="R1904">
        <f>IF(Table1[[#This Row],[Seconds of Use]]=0,0,Table1[[#This Row],[Customer Value]]/Table1[[#This Row],[Seconds of Use]]*100)</f>
        <v>61.285339398180547</v>
      </c>
    </row>
    <row r="1905" spans="1:18" x14ac:dyDescent="0.35">
      <c r="A1905" s="3" t="s">
        <v>1926</v>
      </c>
      <c r="B1905">
        <v>11</v>
      </c>
      <c r="C1905">
        <v>0</v>
      </c>
      <c r="D1905">
        <v>37</v>
      </c>
      <c r="E1905">
        <v>0</v>
      </c>
      <c r="F1905">
        <v>4603</v>
      </c>
      <c r="G1905">
        <v>71</v>
      </c>
      <c r="H1905">
        <v>2</v>
      </c>
      <c r="I1905">
        <v>33</v>
      </c>
      <c r="J1905">
        <v>1</v>
      </c>
      <c r="K1905">
        <v>1</v>
      </c>
      <c r="L1905">
        <v>1</v>
      </c>
      <c r="M1905">
        <v>15</v>
      </c>
      <c r="N1905">
        <v>268.07</v>
      </c>
      <c r="O1905">
        <v>0</v>
      </c>
      <c r="P19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05" t="str">
        <f>IF(Table1[[#This Row],[Fraud_Score]]&gt;=6, "High Risk",IF(Table1[[#This Row],[Fraud_Score]]&gt;=3, "Medium Risk", "Low Risk"))</f>
        <v>Medium Risk</v>
      </c>
      <c r="R1905">
        <f>IF(Table1[[#This Row],[Seconds of Use]]=0,0,Table1[[#This Row],[Customer Value]]/Table1[[#This Row],[Seconds of Use]]*100)</f>
        <v>5.8238105583315232</v>
      </c>
    </row>
    <row r="1906" spans="1:18" x14ac:dyDescent="0.35">
      <c r="A1906" s="3" t="s">
        <v>1927</v>
      </c>
      <c r="B1906">
        <v>4</v>
      </c>
      <c r="C1906">
        <v>0</v>
      </c>
      <c r="D1906">
        <v>37</v>
      </c>
      <c r="E1906">
        <v>0</v>
      </c>
      <c r="F1906">
        <v>2798</v>
      </c>
      <c r="G1906">
        <v>63</v>
      </c>
      <c r="H1906">
        <v>3</v>
      </c>
      <c r="I1906">
        <v>31</v>
      </c>
      <c r="J1906">
        <v>1</v>
      </c>
      <c r="K1906">
        <v>1</v>
      </c>
      <c r="L1906">
        <v>1</v>
      </c>
      <c r="M1906">
        <v>15</v>
      </c>
      <c r="N1906">
        <v>173.85499999999999</v>
      </c>
      <c r="O1906">
        <v>0</v>
      </c>
      <c r="P19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06" t="str">
        <f>IF(Table1[[#This Row],[Fraud_Score]]&gt;=6, "High Risk",IF(Table1[[#This Row],[Fraud_Score]]&gt;=3, "Medium Risk", "Low Risk"))</f>
        <v>Low Risk</v>
      </c>
      <c r="R1906">
        <f>IF(Table1[[#This Row],[Seconds of Use]]=0,0,Table1[[#This Row],[Customer Value]]/Table1[[#This Row],[Seconds of Use]]*100)</f>
        <v>6.2135453895639738</v>
      </c>
    </row>
    <row r="1907" spans="1:18" x14ac:dyDescent="0.35">
      <c r="A1907" s="3" t="s">
        <v>1928</v>
      </c>
      <c r="B1907">
        <v>12</v>
      </c>
      <c r="C1907">
        <v>0</v>
      </c>
      <c r="D1907">
        <v>37</v>
      </c>
      <c r="E1907">
        <v>1</v>
      </c>
      <c r="F1907">
        <v>4180</v>
      </c>
      <c r="G1907">
        <v>87</v>
      </c>
      <c r="H1907">
        <v>33</v>
      </c>
      <c r="I1907">
        <v>26</v>
      </c>
      <c r="J1907">
        <v>3</v>
      </c>
      <c r="K1907">
        <v>1</v>
      </c>
      <c r="L1907">
        <v>1</v>
      </c>
      <c r="M1907">
        <v>30</v>
      </c>
      <c r="N1907">
        <v>302.68</v>
      </c>
      <c r="O1907">
        <v>0</v>
      </c>
      <c r="P19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07" t="str">
        <f>IF(Table1[[#This Row],[Fraud_Score]]&gt;=6, "High Risk",IF(Table1[[#This Row],[Fraud_Score]]&gt;=3, "Medium Risk", "Low Risk"))</f>
        <v>Low Risk</v>
      </c>
      <c r="R1907">
        <f>IF(Table1[[#This Row],[Seconds of Use]]=0,0,Table1[[#This Row],[Customer Value]]/Table1[[#This Row],[Seconds of Use]]*100)</f>
        <v>7.2411483253588527</v>
      </c>
    </row>
    <row r="1908" spans="1:18" x14ac:dyDescent="0.35">
      <c r="A1908" s="3" t="s">
        <v>1929</v>
      </c>
      <c r="B1908">
        <v>5</v>
      </c>
      <c r="C1908">
        <v>0</v>
      </c>
      <c r="D1908">
        <v>37</v>
      </c>
      <c r="E1908">
        <v>0</v>
      </c>
      <c r="F1908">
        <v>2765</v>
      </c>
      <c r="G1908">
        <v>44</v>
      </c>
      <c r="H1908">
        <v>286</v>
      </c>
      <c r="I1908">
        <v>16</v>
      </c>
      <c r="J1908">
        <v>3</v>
      </c>
      <c r="K1908">
        <v>1</v>
      </c>
      <c r="L1908">
        <v>1</v>
      </c>
      <c r="M1908">
        <v>30</v>
      </c>
      <c r="N1908">
        <v>1256.3599999999999</v>
      </c>
      <c r="O1908">
        <v>0</v>
      </c>
      <c r="P19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08" t="str">
        <f>IF(Table1[[#This Row],[Fraud_Score]]&gt;=6, "High Risk",IF(Table1[[#This Row],[Fraud_Score]]&gt;=3, "Medium Risk", "Low Risk"))</f>
        <v>Low Risk</v>
      </c>
      <c r="R1908">
        <f>IF(Table1[[#This Row],[Seconds of Use]]=0,0,Table1[[#This Row],[Customer Value]]/Table1[[#This Row],[Seconds of Use]]*100)</f>
        <v>45.437974683544304</v>
      </c>
    </row>
    <row r="1909" spans="1:18" x14ac:dyDescent="0.35">
      <c r="A1909" s="3" t="s">
        <v>1930</v>
      </c>
      <c r="B1909">
        <v>14</v>
      </c>
      <c r="C1909">
        <v>0</v>
      </c>
      <c r="D1909">
        <v>36</v>
      </c>
      <c r="E1909">
        <v>2</v>
      </c>
      <c r="F1909">
        <v>9520</v>
      </c>
      <c r="G1909">
        <v>126</v>
      </c>
      <c r="H1909">
        <v>145</v>
      </c>
      <c r="I1909">
        <v>41</v>
      </c>
      <c r="J1909">
        <v>3</v>
      </c>
      <c r="K1909">
        <v>1</v>
      </c>
      <c r="L1909">
        <v>1</v>
      </c>
      <c r="M1909">
        <v>30</v>
      </c>
      <c r="N1909">
        <v>965.84</v>
      </c>
      <c r="O1909">
        <v>0</v>
      </c>
      <c r="P19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09" t="str">
        <f>IF(Table1[[#This Row],[Fraud_Score]]&gt;=6, "High Risk",IF(Table1[[#This Row],[Fraud_Score]]&gt;=3, "Medium Risk", "Low Risk"))</f>
        <v>Low Risk</v>
      </c>
      <c r="R1909">
        <f>IF(Table1[[#This Row],[Seconds of Use]]=0,0,Table1[[#This Row],[Customer Value]]/Table1[[#This Row],[Seconds of Use]]*100)</f>
        <v>10.145378151260505</v>
      </c>
    </row>
    <row r="1910" spans="1:18" x14ac:dyDescent="0.35">
      <c r="A1910" s="3" t="s">
        <v>1931</v>
      </c>
      <c r="B1910">
        <v>8</v>
      </c>
      <c r="C1910">
        <v>0</v>
      </c>
      <c r="D1910">
        <v>37</v>
      </c>
      <c r="E1910">
        <v>0</v>
      </c>
      <c r="F1910">
        <v>14178</v>
      </c>
      <c r="G1910">
        <v>174</v>
      </c>
      <c r="H1910">
        <v>1</v>
      </c>
      <c r="I1910">
        <v>42</v>
      </c>
      <c r="J1910">
        <v>3</v>
      </c>
      <c r="K1910">
        <v>1</v>
      </c>
      <c r="L1910">
        <v>1</v>
      </c>
      <c r="M1910">
        <v>30</v>
      </c>
      <c r="N1910">
        <v>578.08000000000004</v>
      </c>
      <c r="O1910">
        <v>0</v>
      </c>
      <c r="P19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10" t="str">
        <f>IF(Table1[[#This Row],[Fraud_Score]]&gt;=6, "High Risk",IF(Table1[[#This Row],[Fraud_Score]]&gt;=3, "Medium Risk", "Low Risk"))</f>
        <v>Medium Risk</v>
      </c>
      <c r="R1910">
        <f>IF(Table1[[#This Row],[Seconds of Use]]=0,0,Table1[[#This Row],[Customer Value]]/Table1[[#This Row],[Seconds of Use]]*100)</f>
        <v>4.0773028635914805</v>
      </c>
    </row>
    <row r="1911" spans="1:18" x14ac:dyDescent="0.35">
      <c r="A1911" s="3" t="s">
        <v>1932</v>
      </c>
      <c r="B1911">
        <v>8</v>
      </c>
      <c r="C1911">
        <v>0</v>
      </c>
      <c r="D1911">
        <v>37</v>
      </c>
      <c r="E1911">
        <v>1</v>
      </c>
      <c r="F1911">
        <v>4920</v>
      </c>
      <c r="G1911">
        <v>88</v>
      </c>
      <c r="H1911">
        <v>3</v>
      </c>
      <c r="I1911">
        <v>23</v>
      </c>
      <c r="J1911">
        <v>3</v>
      </c>
      <c r="K1911">
        <v>1</v>
      </c>
      <c r="L1911">
        <v>1</v>
      </c>
      <c r="M1911">
        <v>30</v>
      </c>
      <c r="N1911">
        <v>212.32</v>
      </c>
      <c r="O1911">
        <v>0</v>
      </c>
      <c r="P19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11" t="str">
        <f>IF(Table1[[#This Row],[Fraud_Score]]&gt;=6, "High Risk",IF(Table1[[#This Row],[Fraud_Score]]&gt;=3, "Medium Risk", "Low Risk"))</f>
        <v>Low Risk</v>
      </c>
      <c r="R1911">
        <f>IF(Table1[[#This Row],[Seconds of Use]]=0,0,Table1[[#This Row],[Customer Value]]/Table1[[#This Row],[Seconds of Use]]*100)</f>
        <v>4.3154471544715447</v>
      </c>
    </row>
    <row r="1912" spans="1:18" x14ac:dyDescent="0.35">
      <c r="A1912" s="3" t="s">
        <v>1933</v>
      </c>
      <c r="B1912">
        <v>7</v>
      </c>
      <c r="C1912">
        <v>0</v>
      </c>
      <c r="D1912">
        <v>37</v>
      </c>
      <c r="E1912">
        <v>0</v>
      </c>
      <c r="F1912">
        <v>6323</v>
      </c>
      <c r="G1912">
        <v>100</v>
      </c>
      <c r="H1912">
        <v>8</v>
      </c>
      <c r="I1912">
        <v>10</v>
      </c>
      <c r="J1912">
        <v>2</v>
      </c>
      <c r="K1912">
        <v>1</v>
      </c>
      <c r="L1912">
        <v>1</v>
      </c>
      <c r="M1912">
        <v>25</v>
      </c>
      <c r="N1912">
        <v>325.03500000000003</v>
      </c>
      <c r="O1912">
        <v>0</v>
      </c>
      <c r="P19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12" t="str">
        <f>IF(Table1[[#This Row],[Fraud_Score]]&gt;=6, "High Risk",IF(Table1[[#This Row],[Fraud_Score]]&gt;=3, "Medium Risk", "Low Risk"))</f>
        <v>Low Risk</v>
      </c>
      <c r="R1912">
        <f>IF(Table1[[#This Row],[Seconds of Use]]=0,0,Table1[[#This Row],[Customer Value]]/Table1[[#This Row],[Seconds of Use]]*100)</f>
        <v>5.1405187411039073</v>
      </c>
    </row>
    <row r="1913" spans="1:18" x14ac:dyDescent="0.35">
      <c r="A1913" s="3" t="s">
        <v>1934</v>
      </c>
      <c r="B1913">
        <v>10</v>
      </c>
      <c r="C1913">
        <v>0</v>
      </c>
      <c r="D1913">
        <v>37</v>
      </c>
      <c r="E1913">
        <v>0</v>
      </c>
      <c r="F1913">
        <v>2643</v>
      </c>
      <c r="G1913">
        <v>59</v>
      </c>
      <c r="H1913">
        <v>9</v>
      </c>
      <c r="I1913">
        <v>15</v>
      </c>
      <c r="J1913">
        <v>3</v>
      </c>
      <c r="K1913">
        <v>1</v>
      </c>
      <c r="L1913">
        <v>2</v>
      </c>
      <c r="M1913">
        <v>30</v>
      </c>
      <c r="N1913">
        <v>144.08000000000001</v>
      </c>
      <c r="O1913">
        <v>0</v>
      </c>
      <c r="P19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13" t="str">
        <f>IF(Table1[[#This Row],[Fraud_Score]]&gt;=6, "High Risk",IF(Table1[[#This Row],[Fraud_Score]]&gt;=3, "Medium Risk", "Low Risk"))</f>
        <v>Low Risk</v>
      </c>
      <c r="R1913">
        <f>IF(Table1[[#This Row],[Seconds of Use]]=0,0,Table1[[#This Row],[Customer Value]]/Table1[[#This Row],[Seconds of Use]]*100)</f>
        <v>5.4513810064320847</v>
      </c>
    </row>
    <row r="1914" spans="1:18" x14ac:dyDescent="0.35">
      <c r="A1914" s="3" t="s">
        <v>1935</v>
      </c>
      <c r="B1914">
        <v>26</v>
      </c>
      <c r="C1914">
        <v>1</v>
      </c>
      <c r="D1914">
        <v>37</v>
      </c>
      <c r="E1914">
        <v>3</v>
      </c>
      <c r="F1914">
        <v>15545</v>
      </c>
      <c r="G1914">
        <v>230</v>
      </c>
      <c r="H1914">
        <v>55</v>
      </c>
      <c r="I1914">
        <v>30</v>
      </c>
      <c r="J1914">
        <v>3</v>
      </c>
      <c r="K1914">
        <v>1</v>
      </c>
      <c r="L1914">
        <v>1</v>
      </c>
      <c r="M1914">
        <v>30</v>
      </c>
      <c r="N1914">
        <v>851</v>
      </c>
      <c r="O1914">
        <v>0</v>
      </c>
      <c r="P19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6</v>
      </c>
      <c r="Q1914" t="str">
        <f>IF(Table1[[#This Row],[Fraud_Score]]&gt;=6, "High Risk",IF(Table1[[#This Row],[Fraud_Score]]&gt;=3, "Medium Risk", "Low Risk"))</f>
        <v>High Risk</v>
      </c>
      <c r="R1914">
        <f>IF(Table1[[#This Row],[Seconds of Use]]=0,0,Table1[[#This Row],[Customer Value]]/Table1[[#This Row],[Seconds of Use]]*100)</f>
        <v>5.4744290768735926</v>
      </c>
    </row>
    <row r="1915" spans="1:18" x14ac:dyDescent="0.35">
      <c r="A1915" s="3" t="s">
        <v>1936</v>
      </c>
      <c r="B1915">
        <v>5</v>
      </c>
      <c r="C1915">
        <v>0</v>
      </c>
      <c r="D1915">
        <v>37</v>
      </c>
      <c r="E1915">
        <v>1</v>
      </c>
      <c r="F1915">
        <v>3500</v>
      </c>
      <c r="G1915">
        <v>32</v>
      </c>
      <c r="H1915">
        <v>484</v>
      </c>
      <c r="I1915">
        <v>6</v>
      </c>
      <c r="J1915">
        <v>3</v>
      </c>
      <c r="K1915">
        <v>1</v>
      </c>
      <c r="L1915">
        <v>1</v>
      </c>
      <c r="M1915">
        <v>30</v>
      </c>
      <c r="N1915">
        <v>2077.2800000000002</v>
      </c>
      <c r="O1915">
        <v>0</v>
      </c>
      <c r="P19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15" t="str">
        <f>IF(Table1[[#This Row],[Fraud_Score]]&gt;=6, "High Risk",IF(Table1[[#This Row],[Fraud_Score]]&gt;=3, "Medium Risk", "Low Risk"))</f>
        <v>Low Risk</v>
      </c>
      <c r="R1915">
        <f>IF(Table1[[#This Row],[Seconds of Use]]=0,0,Table1[[#This Row],[Customer Value]]/Table1[[#This Row],[Seconds of Use]]*100)</f>
        <v>59.350857142857151</v>
      </c>
    </row>
    <row r="1916" spans="1:18" x14ac:dyDescent="0.35">
      <c r="A1916" s="3" t="s">
        <v>1937</v>
      </c>
      <c r="B1916">
        <v>10</v>
      </c>
      <c r="C1916">
        <v>0</v>
      </c>
      <c r="D1916">
        <v>36</v>
      </c>
      <c r="E1916">
        <v>0</v>
      </c>
      <c r="F1916">
        <v>15890</v>
      </c>
      <c r="G1916">
        <v>187</v>
      </c>
      <c r="H1916">
        <v>151</v>
      </c>
      <c r="I1916">
        <v>28</v>
      </c>
      <c r="J1916">
        <v>2</v>
      </c>
      <c r="K1916">
        <v>1</v>
      </c>
      <c r="L1916">
        <v>1</v>
      </c>
      <c r="M1916">
        <v>25</v>
      </c>
      <c r="N1916">
        <v>1402.9649999999999</v>
      </c>
      <c r="O1916">
        <v>0</v>
      </c>
      <c r="P19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16" t="str">
        <f>IF(Table1[[#This Row],[Fraud_Score]]&gt;=6, "High Risk",IF(Table1[[#This Row],[Fraud_Score]]&gt;=3, "Medium Risk", "Low Risk"))</f>
        <v>Medium Risk</v>
      </c>
      <c r="R1916">
        <f>IF(Table1[[#This Row],[Seconds of Use]]=0,0,Table1[[#This Row],[Customer Value]]/Table1[[#This Row],[Seconds of Use]]*100)</f>
        <v>8.8292322215229699</v>
      </c>
    </row>
    <row r="1917" spans="1:18" x14ac:dyDescent="0.35">
      <c r="A1917" s="3" t="s">
        <v>1938</v>
      </c>
      <c r="B1917">
        <v>4</v>
      </c>
      <c r="C1917">
        <v>0</v>
      </c>
      <c r="D1917">
        <v>36</v>
      </c>
      <c r="E1917">
        <v>1</v>
      </c>
      <c r="F1917">
        <v>6905</v>
      </c>
      <c r="G1917">
        <v>91</v>
      </c>
      <c r="H1917">
        <v>187</v>
      </c>
      <c r="I1917">
        <v>24</v>
      </c>
      <c r="J1917">
        <v>3</v>
      </c>
      <c r="K1917">
        <v>1</v>
      </c>
      <c r="L1917">
        <v>1</v>
      </c>
      <c r="M1917">
        <v>30</v>
      </c>
      <c r="N1917">
        <v>1027.8399999999999</v>
      </c>
      <c r="O1917">
        <v>0</v>
      </c>
      <c r="P19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17" t="str">
        <f>IF(Table1[[#This Row],[Fraud_Score]]&gt;=6, "High Risk",IF(Table1[[#This Row],[Fraud_Score]]&gt;=3, "Medium Risk", "Low Risk"))</f>
        <v>Low Risk</v>
      </c>
      <c r="R1917">
        <f>IF(Table1[[#This Row],[Seconds of Use]]=0,0,Table1[[#This Row],[Customer Value]]/Table1[[#This Row],[Seconds of Use]]*100)</f>
        <v>14.885445329471397</v>
      </c>
    </row>
    <row r="1918" spans="1:18" x14ac:dyDescent="0.35">
      <c r="A1918" s="3" t="s">
        <v>1939</v>
      </c>
      <c r="B1918">
        <v>1</v>
      </c>
      <c r="C1918">
        <v>0</v>
      </c>
      <c r="D1918">
        <v>36</v>
      </c>
      <c r="E1918">
        <v>0</v>
      </c>
      <c r="F1918">
        <v>1280</v>
      </c>
      <c r="G1918">
        <v>19</v>
      </c>
      <c r="H1918">
        <v>1</v>
      </c>
      <c r="I1918">
        <v>9</v>
      </c>
      <c r="J1918">
        <v>2</v>
      </c>
      <c r="K1918">
        <v>1</v>
      </c>
      <c r="L1918">
        <v>2</v>
      </c>
      <c r="M1918">
        <v>25</v>
      </c>
      <c r="N1918">
        <v>62.954999999999998</v>
      </c>
      <c r="O1918">
        <v>0</v>
      </c>
      <c r="P19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18" t="str">
        <f>IF(Table1[[#This Row],[Fraud_Score]]&gt;=6, "High Risk",IF(Table1[[#This Row],[Fraud_Score]]&gt;=3, "Medium Risk", "Low Risk"))</f>
        <v>Low Risk</v>
      </c>
      <c r="R1918">
        <f>IF(Table1[[#This Row],[Seconds of Use]]=0,0,Table1[[#This Row],[Customer Value]]/Table1[[#This Row],[Seconds of Use]]*100)</f>
        <v>4.9183593749999996</v>
      </c>
    </row>
    <row r="1919" spans="1:18" x14ac:dyDescent="0.35">
      <c r="A1919" s="3" t="s">
        <v>1940</v>
      </c>
      <c r="B1919">
        <v>3</v>
      </c>
      <c r="C1919">
        <v>0</v>
      </c>
      <c r="D1919">
        <v>37</v>
      </c>
      <c r="E1919">
        <v>0</v>
      </c>
      <c r="F1919">
        <v>1115</v>
      </c>
      <c r="G1919">
        <v>19</v>
      </c>
      <c r="H1919">
        <v>14</v>
      </c>
      <c r="I1919">
        <v>6</v>
      </c>
      <c r="J1919">
        <v>2</v>
      </c>
      <c r="K1919">
        <v>1</v>
      </c>
      <c r="L1919">
        <v>2</v>
      </c>
      <c r="M1919">
        <v>25</v>
      </c>
      <c r="N1919">
        <v>114.03</v>
      </c>
      <c r="O1919">
        <v>0</v>
      </c>
      <c r="P19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19" t="str">
        <f>IF(Table1[[#This Row],[Fraud_Score]]&gt;=6, "High Risk",IF(Table1[[#This Row],[Fraud_Score]]&gt;=3, "Medium Risk", "Low Risk"))</f>
        <v>Low Risk</v>
      </c>
      <c r="R1919">
        <f>IF(Table1[[#This Row],[Seconds of Use]]=0,0,Table1[[#This Row],[Customer Value]]/Table1[[#This Row],[Seconds of Use]]*100)</f>
        <v>10.226905829596413</v>
      </c>
    </row>
    <row r="1920" spans="1:18" x14ac:dyDescent="0.35">
      <c r="A1920" s="3" t="s">
        <v>1941</v>
      </c>
      <c r="B1920">
        <v>0</v>
      </c>
      <c r="C1920">
        <v>0</v>
      </c>
      <c r="D1920">
        <v>36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2</v>
      </c>
      <c r="K1920">
        <v>1</v>
      </c>
      <c r="L1920">
        <v>2</v>
      </c>
      <c r="M1920">
        <v>25</v>
      </c>
      <c r="N1920">
        <v>4.5</v>
      </c>
      <c r="O1920">
        <v>1</v>
      </c>
      <c r="P19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20" t="str">
        <f>IF(Table1[[#This Row],[Fraud_Score]]&gt;=6, "High Risk",IF(Table1[[#This Row],[Fraud_Score]]&gt;=3, "Medium Risk", "Low Risk"))</f>
        <v>Low Risk</v>
      </c>
      <c r="R1920">
        <f>IF(Table1[[#This Row],[Seconds of Use]]=0,0,Table1[[#This Row],[Customer Value]]/Table1[[#This Row],[Seconds of Use]]*100)</f>
        <v>0</v>
      </c>
    </row>
    <row r="1921" spans="1:18" x14ac:dyDescent="0.35">
      <c r="A1921" s="3" t="s">
        <v>1942</v>
      </c>
      <c r="B1921">
        <v>4</v>
      </c>
      <c r="C1921">
        <v>0</v>
      </c>
      <c r="D1921">
        <v>36</v>
      </c>
      <c r="E1921">
        <v>0</v>
      </c>
      <c r="F1921">
        <v>7913</v>
      </c>
      <c r="G1921">
        <v>132</v>
      </c>
      <c r="H1921">
        <v>385</v>
      </c>
      <c r="I1921">
        <v>41</v>
      </c>
      <c r="J1921">
        <v>2</v>
      </c>
      <c r="K1921">
        <v>1</v>
      </c>
      <c r="L1921">
        <v>1</v>
      </c>
      <c r="M1921">
        <v>25</v>
      </c>
      <c r="N1921">
        <v>2094.5250000000001</v>
      </c>
      <c r="O1921">
        <v>0</v>
      </c>
      <c r="P19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21" t="str">
        <f>IF(Table1[[#This Row],[Fraud_Score]]&gt;=6, "High Risk",IF(Table1[[#This Row],[Fraud_Score]]&gt;=3, "Medium Risk", "Low Risk"))</f>
        <v>Low Risk</v>
      </c>
      <c r="R1921">
        <f>IF(Table1[[#This Row],[Seconds of Use]]=0,0,Table1[[#This Row],[Customer Value]]/Table1[[#This Row],[Seconds of Use]]*100)</f>
        <v>26.469417414381397</v>
      </c>
    </row>
    <row r="1922" spans="1:18" x14ac:dyDescent="0.35">
      <c r="A1922" s="3" t="s">
        <v>1943</v>
      </c>
      <c r="B1922">
        <v>8</v>
      </c>
      <c r="C1922">
        <v>0</v>
      </c>
      <c r="D1922">
        <v>36</v>
      </c>
      <c r="E1922">
        <v>1</v>
      </c>
      <c r="F1922">
        <v>11870</v>
      </c>
      <c r="G1922">
        <v>159</v>
      </c>
      <c r="H1922">
        <v>12</v>
      </c>
      <c r="I1922">
        <v>45</v>
      </c>
      <c r="J1922">
        <v>3</v>
      </c>
      <c r="K1922">
        <v>1</v>
      </c>
      <c r="L1922">
        <v>1</v>
      </c>
      <c r="M1922">
        <v>30</v>
      </c>
      <c r="N1922">
        <v>529.16</v>
      </c>
      <c r="O1922">
        <v>0</v>
      </c>
      <c r="P19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22" t="str">
        <f>IF(Table1[[#This Row],[Fraud_Score]]&gt;=6, "High Risk",IF(Table1[[#This Row],[Fraud_Score]]&gt;=3, "Medium Risk", "Low Risk"))</f>
        <v>Low Risk</v>
      </c>
      <c r="R1922">
        <f>IF(Table1[[#This Row],[Seconds of Use]]=0,0,Table1[[#This Row],[Customer Value]]/Table1[[#This Row],[Seconds of Use]]*100)</f>
        <v>4.4579612468407745</v>
      </c>
    </row>
    <row r="1923" spans="1:18" x14ac:dyDescent="0.35">
      <c r="A1923" s="3" t="s">
        <v>1944</v>
      </c>
      <c r="B1923">
        <v>9</v>
      </c>
      <c r="C1923">
        <v>0</v>
      </c>
      <c r="D1923">
        <v>36</v>
      </c>
      <c r="E1923">
        <v>1</v>
      </c>
      <c r="F1923">
        <v>7123</v>
      </c>
      <c r="G1923">
        <v>80</v>
      </c>
      <c r="H1923">
        <v>109</v>
      </c>
      <c r="I1923">
        <v>35</v>
      </c>
      <c r="J1923">
        <v>2</v>
      </c>
      <c r="K1923">
        <v>1</v>
      </c>
      <c r="L1923">
        <v>1</v>
      </c>
      <c r="M1923">
        <v>25</v>
      </c>
      <c r="N1923">
        <v>814.63499999999999</v>
      </c>
      <c r="O1923">
        <v>0</v>
      </c>
      <c r="P19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23" t="str">
        <f>IF(Table1[[#This Row],[Fraud_Score]]&gt;=6, "High Risk",IF(Table1[[#This Row],[Fraud_Score]]&gt;=3, "Medium Risk", "Low Risk"))</f>
        <v>Low Risk</v>
      </c>
      <c r="R1923">
        <f>IF(Table1[[#This Row],[Seconds of Use]]=0,0,Table1[[#This Row],[Customer Value]]/Table1[[#This Row],[Seconds of Use]]*100)</f>
        <v>11.436683981468482</v>
      </c>
    </row>
    <row r="1924" spans="1:18" x14ac:dyDescent="0.35">
      <c r="A1924" s="3" t="s">
        <v>1945</v>
      </c>
      <c r="B1924">
        <v>24</v>
      </c>
      <c r="C1924">
        <v>0</v>
      </c>
      <c r="D1924">
        <v>32</v>
      </c>
      <c r="E1924">
        <v>0</v>
      </c>
      <c r="F1924">
        <v>1360</v>
      </c>
      <c r="G1924">
        <v>52</v>
      </c>
      <c r="H1924">
        <v>17</v>
      </c>
      <c r="I1924">
        <v>15</v>
      </c>
      <c r="J1924">
        <v>2</v>
      </c>
      <c r="K1924">
        <v>1</v>
      </c>
      <c r="L1924">
        <v>2</v>
      </c>
      <c r="M1924">
        <v>25</v>
      </c>
      <c r="N1924">
        <v>140.04</v>
      </c>
      <c r="O1924">
        <v>1</v>
      </c>
      <c r="P19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24" t="str">
        <f>IF(Table1[[#This Row],[Fraud_Score]]&gt;=6, "High Risk",IF(Table1[[#This Row],[Fraud_Score]]&gt;=3, "Medium Risk", "Low Risk"))</f>
        <v>Medium Risk</v>
      </c>
      <c r="R1924">
        <f>IF(Table1[[#This Row],[Seconds of Use]]=0,0,Table1[[#This Row],[Customer Value]]/Table1[[#This Row],[Seconds of Use]]*100)</f>
        <v>10.29705882352941</v>
      </c>
    </row>
    <row r="1925" spans="1:18" x14ac:dyDescent="0.35">
      <c r="A1925" s="3" t="s">
        <v>1946</v>
      </c>
      <c r="B1925">
        <v>22</v>
      </c>
      <c r="C1925">
        <v>0</v>
      </c>
      <c r="D1925">
        <v>35</v>
      </c>
      <c r="E1925">
        <v>8</v>
      </c>
      <c r="F1925">
        <v>10840</v>
      </c>
      <c r="G1925">
        <v>98</v>
      </c>
      <c r="H1925">
        <v>2</v>
      </c>
      <c r="I1925">
        <v>40</v>
      </c>
      <c r="J1925">
        <v>4</v>
      </c>
      <c r="K1925">
        <v>1</v>
      </c>
      <c r="L1925">
        <v>1</v>
      </c>
      <c r="M1925">
        <v>45</v>
      </c>
      <c r="N1925">
        <v>278.45</v>
      </c>
      <c r="O1925">
        <v>0</v>
      </c>
      <c r="P19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25" t="str">
        <f>IF(Table1[[#This Row],[Fraud_Score]]&gt;=6, "High Risk",IF(Table1[[#This Row],[Fraud_Score]]&gt;=3, "Medium Risk", "Low Risk"))</f>
        <v>Low Risk</v>
      </c>
      <c r="R1925">
        <f>IF(Table1[[#This Row],[Seconds of Use]]=0,0,Table1[[#This Row],[Customer Value]]/Table1[[#This Row],[Seconds of Use]]*100)</f>
        <v>2.5687269372693726</v>
      </c>
    </row>
    <row r="1926" spans="1:18" x14ac:dyDescent="0.35">
      <c r="A1926" s="3" t="s">
        <v>1947</v>
      </c>
      <c r="B1926">
        <v>14</v>
      </c>
      <c r="C1926">
        <v>0</v>
      </c>
      <c r="D1926">
        <v>35</v>
      </c>
      <c r="E1926">
        <v>1</v>
      </c>
      <c r="F1926">
        <v>6223</v>
      </c>
      <c r="G1926">
        <v>103</v>
      </c>
      <c r="H1926">
        <v>27</v>
      </c>
      <c r="I1926">
        <v>22</v>
      </c>
      <c r="J1926">
        <v>2</v>
      </c>
      <c r="K1926">
        <v>1</v>
      </c>
      <c r="L1926">
        <v>1</v>
      </c>
      <c r="M1926">
        <v>25</v>
      </c>
      <c r="N1926">
        <v>406.17</v>
      </c>
      <c r="O1926">
        <v>0</v>
      </c>
      <c r="P19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26" t="str">
        <f>IF(Table1[[#This Row],[Fraud_Score]]&gt;=6, "High Risk",IF(Table1[[#This Row],[Fraud_Score]]&gt;=3, "Medium Risk", "Low Risk"))</f>
        <v>Low Risk</v>
      </c>
      <c r="R1926">
        <f>IF(Table1[[#This Row],[Seconds of Use]]=0,0,Table1[[#This Row],[Customer Value]]/Table1[[#This Row],[Seconds of Use]]*100)</f>
        <v>6.5269162783223535</v>
      </c>
    </row>
    <row r="1927" spans="1:18" x14ac:dyDescent="0.35">
      <c r="A1927" s="3" t="s">
        <v>1948</v>
      </c>
      <c r="B1927">
        <v>2</v>
      </c>
      <c r="C1927">
        <v>0</v>
      </c>
      <c r="D1927">
        <v>33</v>
      </c>
      <c r="E1927">
        <v>0</v>
      </c>
      <c r="F1927">
        <v>3245</v>
      </c>
      <c r="G1927">
        <v>27</v>
      </c>
      <c r="H1927">
        <v>1</v>
      </c>
      <c r="I1927">
        <v>12</v>
      </c>
      <c r="J1927">
        <v>3</v>
      </c>
      <c r="K1927">
        <v>1</v>
      </c>
      <c r="L1927">
        <v>1</v>
      </c>
      <c r="M1927">
        <v>30</v>
      </c>
      <c r="N1927">
        <v>134.88</v>
      </c>
      <c r="O1927">
        <v>0</v>
      </c>
      <c r="P19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27" t="str">
        <f>IF(Table1[[#This Row],[Fraud_Score]]&gt;=6, "High Risk",IF(Table1[[#This Row],[Fraud_Score]]&gt;=3, "Medium Risk", "Low Risk"))</f>
        <v>Low Risk</v>
      </c>
      <c r="R1927">
        <f>IF(Table1[[#This Row],[Seconds of Use]]=0,0,Table1[[#This Row],[Customer Value]]/Table1[[#This Row],[Seconds of Use]]*100)</f>
        <v>4.1565485362095531</v>
      </c>
    </row>
    <row r="1928" spans="1:18" x14ac:dyDescent="0.35">
      <c r="A1928" s="3" t="s">
        <v>1949</v>
      </c>
      <c r="B1928">
        <v>10</v>
      </c>
      <c r="C1928">
        <v>0</v>
      </c>
      <c r="D1928">
        <v>34</v>
      </c>
      <c r="E1928">
        <v>0</v>
      </c>
      <c r="F1928">
        <v>3395</v>
      </c>
      <c r="G1928">
        <v>46</v>
      </c>
      <c r="H1928">
        <v>10</v>
      </c>
      <c r="I1928">
        <v>14</v>
      </c>
      <c r="J1928">
        <v>3</v>
      </c>
      <c r="K1928">
        <v>1</v>
      </c>
      <c r="L1928">
        <v>2</v>
      </c>
      <c r="M1928">
        <v>30</v>
      </c>
      <c r="N1928">
        <v>177.64</v>
      </c>
      <c r="O1928">
        <v>1</v>
      </c>
      <c r="P19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28" t="str">
        <f>IF(Table1[[#This Row],[Fraud_Score]]&gt;=6, "High Risk",IF(Table1[[#This Row],[Fraud_Score]]&gt;=3, "Medium Risk", "Low Risk"))</f>
        <v>Low Risk</v>
      </c>
      <c r="R1928">
        <f>IF(Table1[[#This Row],[Seconds of Use]]=0,0,Table1[[#This Row],[Customer Value]]/Table1[[#This Row],[Seconds of Use]]*100)</f>
        <v>5.2324005891016201</v>
      </c>
    </row>
    <row r="1929" spans="1:18" x14ac:dyDescent="0.35">
      <c r="A1929" s="3" t="s">
        <v>1950</v>
      </c>
      <c r="B1929">
        <v>10</v>
      </c>
      <c r="C1929">
        <v>1</v>
      </c>
      <c r="D1929">
        <v>35</v>
      </c>
      <c r="E1929">
        <v>0</v>
      </c>
      <c r="F1929">
        <v>2673</v>
      </c>
      <c r="G1929">
        <v>49</v>
      </c>
      <c r="H1929">
        <v>35</v>
      </c>
      <c r="I1929">
        <v>29</v>
      </c>
      <c r="J1929">
        <v>3</v>
      </c>
      <c r="K1929">
        <v>1</v>
      </c>
      <c r="L1929">
        <v>2</v>
      </c>
      <c r="M1929">
        <v>30</v>
      </c>
      <c r="N1929">
        <v>248.88</v>
      </c>
      <c r="O1929">
        <v>1</v>
      </c>
      <c r="P19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29" t="str">
        <f>IF(Table1[[#This Row],[Fraud_Score]]&gt;=6, "High Risk",IF(Table1[[#This Row],[Fraud_Score]]&gt;=3, "Medium Risk", "Low Risk"))</f>
        <v>Medium Risk</v>
      </c>
      <c r="R1929">
        <f>IF(Table1[[#This Row],[Seconds of Use]]=0,0,Table1[[#This Row],[Customer Value]]/Table1[[#This Row],[Seconds of Use]]*100)</f>
        <v>9.3108866442199769</v>
      </c>
    </row>
    <row r="1930" spans="1:18" x14ac:dyDescent="0.35">
      <c r="A1930" s="3" t="s">
        <v>1951</v>
      </c>
      <c r="B1930">
        <v>1</v>
      </c>
      <c r="C1930">
        <v>0</v>
      </c>
      <c r="D1930">
        <v>35</v>
      </c>
      <c r="E1930">
        <v>0</v>
      </c>
      <c r="F1930">
        <v>538</v>
      </c>
      <c r="G1930">
        <v>7</v>
      </c>
      <c r="H1930">
        <v>1</v>
      </c>
      <c r="I1930">
        <v>1</v>
      </c>
      <c r="J1930">
        <v>3</v>
      </c>
      <c r="K1930">
        <v>1</v>
      </c>
      <c r="L1930">
        <v>2</v>
      </c>
      <c r="M1930">
        <v>30</v>
      </c>
      <c r="N1930">
        <v>25.8</v>
      </c>
      <c r="O1930">
        <v>1</v>
      </c>
      <c r="P19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30" t="str">
        <f>IF(Table1[[#This Row],[Fraud_Score]]&gt;=6, "High Risk",IF(Table1[[#This Row],[Fraud_Score]]&gt;=3, "Medium Risk", "Low Risk"))</f>
        <v>Low Risk</v>
      </c>
      <c r="R1930">
        <f>IF(Table1[[#This Row],[Seconds of Use]]=0,0,Table1[[#This Row],[Customer Value]]/Table1[[#This Row],[Seconds of Use]]*100)</f>
        <v>4.7955390334572492</v>
      </c>
    </row>
    <row r="1931" spans="1:18" x14ac:dyDescent="0.35">
      <c r="A1931" s="3" t="s">
        <v>1952</v>
      </c>
      <c r="B1931">
        <v>2</v>
      </c>
      <c r="C1931">
        <v>0</v>
      </c>
      <c r="D1931">
        <v>35</v>
      </c>
      <c r="E1931">
        <v>0</v>
      </c>
      <c r="F1931">
        <v>2073</v>
      </c>
      <c r="G1931">
        <v>30</v>
      </c>
      <c r="H1931">
        <v>1</v>
      </c>
      <c r="I1931">
        <v>4</v>
      </c>
      <c r="J1931">
        <v>3</v>
      </c>
      <c r="K1931">
        <v>1</v>
      </c>
      <c r="L1931">
        <v>1</v>
      </c>
      <c r="M1931">
        <v>30</v>
      </c>
      <c r="N1931">
        <v>88.12</v>
      </c>
      <c r="O1931">
        <v>0</v>
      </c>
      <c r="P19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31" t="str">
        <f>IF(Table1[[#This Row],[Fraud_Score]]&gt;=6, "High Risk",IF(Table1[[#This Row],[Fraud_Score]]&gt;=3, "Medium Risk", "Low Risk"))</f>
        <v>Low Risk</v>
      </c>
      <c r="R1931">
        <f>IF(Table1[[#This Row],[Seconds of Use]]=0,0,Table1[[#This Row],[Customer Value]]/Table1[[#This Row],[Seconds of Use]]*100)</f>
        <v>4.2508441871683553</v>
      </c>
    </row>
    <row r="1932" spans="1:18" x14ac:dyDescent="0.35">
      <c r="A1932" s="3" t="s">
        <v>1953</v>
      </c>
      <c r="B1932">
        <v>4</v>
      </c>
      <c r="C1932">
        <v>0</v>
      </c>
      <c r="D1932">
        <v>32</v>
      </c>
      <c r="E1932">
        <v>1</v>
      </c>
      <c r="F1932">
        <v>7190</v>
      </c>
      <c r="G1932">
        <v>102</v>
      </c>
      <c r="H1932">
        <v>15</v>
      </c>
      <c r="I1932">
        <v>20</v>
      </c>
      <c r="J1932">
        <v>4</v>
      </c>
      <c r="K1932">
        <v>1</v>
      </c>
      <c r="L1932">
        <v>1</v>
      </c>
      <c r="M1932">
        <v>45</v>
      </c>
      <c r="N1932">
        <v>219.8</v>
      </c>
      <c r="O1932">
        <v>0</v>
      </c>
      <c r="P19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32" t="str">
        <f>IF(Table1[[#This Row],[Fraud_Score]]&gt;=6, "High Risk",IF(Table1[[#This Row],[Fraud_Score]]&gt;=3, "Medium Risk", "Low Risk"))</f>
        <v>Low Risk</v>
      </c>
      <c r="R1932">
        <f>IF(Table1[[#This Row],[Seconds of Use]]=0,0,Table1[[#This Row],[Customer Value]]/Table1[[#This Row],[Seconds of Use]]*100)</f>
        <v>3.0570236439499308</v>
      </c>
    </row>
    <row r="1933" spans="1:18" x14ac:dyDescent="0.35">
      <c r="A1933" s="3" t="s">
        <v>1954</v>
      </c>
      <c r="B1933">
        <v>1</v>
      </c>
      <c r="C1933">
        <v>0</v>
      </c>
      <c r="D1933">
        <v>35</v>
      </c>
      <c r="E1933">
        <v>0</v>
      </c>
      <c r="F1933">
        <v>1033</v>
      </c>
      <c r="G1933">
        <v>12</v>
      </c>
      <c r="H1933">
        <v>10</v>
      </c>
      <c r="I1933">
        <v>2</v>
      </c>
      <c r="J1933">
        <v>4</v>
      </c>
      <c r="K1933">
        <v>1</v>
      </c>
      <c r="L1933">
        <v>2</v>
      </c>
      <c r="M1933">
        <v>45</v>
      </c>
      <c r="N1933">
        <v>51.125</v>
      </c>
      <c r="O1933">
        <v>1</v>
      </c>
      <c r="P19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33" t="str">
        <f>IF(Table1[[#This Row],[Fraud_Score]]&gt;=6, "High Risk",IF(Table1[[#This Row],[Fraud_Score]]&gt;=3, "Medium Risk", "Low Risk"))</f>
        <v>Low Risk</v>
      </c>
      <c r="R1933">
        <f>IF(Table1[[#This Row],[Seconds of Use]]=0,0,Table1[[#This Row],[Customer Value]]/Table1[[#This Row],[Seconds of Use]]*100)</f>
        <v>4.94917715392062</v>
      </c>
    </row>
    <row r="1934" spans="1:18" x14ac:dyDescent="0.35">
      <c r="A1934" s="3" t="s">
        <v>1955</v>
      </c>
      <c r="B1934">
        <v>1</v>
      </c>
      <c r="C1934">
        <v>0</v>
      </c>
      <c r="D1934">
        <v>35</v>
      </c>
      <c r="E1934">
        <v>1</v>
      </c>
      <c r="F1934">
        <v>743</v>
      </c>
      <c r="G1934">
        <v>9</v>
      </c>
      <c r="H1934">
        <v>5</v>
      </c>
      <c r="I1934">
        <v>1</v>
      </c>
      <c r="J1934">
        <v>5</v>
      </c>
      <c r="K1934">
        <v>1</v>
      </c>
      <c r="L1934">
        <v>1</v>
      </c>
      <c r="M1934">
        <v>55</v>
      </c>
      <c r="N1934">
        <v>18.78</v>
      </c>
      <c r="O1934">
        <v>0</v>
      </c>
      <c r="P19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34" t="str">
        <f>IF(Table1[[#This Row],[Fraud_Score]]&gt;=6, "High Risk",IF(Table1[[#This Row],[Fraud_Score]]&gt;=3, "Medium Risk", "Low Risk"))</f>
        <v>Low Risk</v>
      </c>
      <c r="R1934">
        <f>IF(Table1[[#This Row],[Seconds of Use]]=0,0,Table1[[#This Row],[Customer Value]]/Table1[[#This Row],[Seconds of Use]]*100)</f>
        <v>2.5275908479138627</v>
      </c>
    </row>
    <row r="1935" spans="1:18" x14ac:dyDescent="0.35">
      <c r="A1935" s="3" t="s">
        <v>1956</v>
      </c>
      <c r="B1935">
        <v>26</v>
      </c>
      <c r="C1935">
        <v>0</v>
      </c>
      <c r="D1935">
        <v>30</v>
      </c>
      <c r="E1935">
        <v>3</v>
      </c>
      <c r="F1935">
        <v>16480</v>
      </c>
      <c r="G1935">
        <v>243</v>
      </c>
      <c r="H1935">
        <v>1</v>
      </c>
      <c r="I1935">
        <v>78</v>
      </c>
      <c r="J1935">
        <v>2</v>
      </c>
      <c r="K1935">
        <v>1</v>
      </c>
      <c r="L1935">
        <v>1</v>
      </c>
      <c r="M1935">
        <v>25</v>
      </c>
      <c r="N1935">
        <v>757.03499999999997</v>
      </c>
      <c r="O1935">
        <v>0</v>
      </c>
      <c r="P19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935" t="str">
        <f>IF(Table1[[#This Row],[Fraud_Score]]&gt;=6, "High Risk",IF(Table1[[#This Row],[Fraud_Score]]&gt;=3, "Medium Risk", "Low Risk"))</f>
        <v>Medium Risk</v>
      </c>
      <c r="R1935">
        <f>IF(Table1[[#This Row],[Seconds of Use]]=0,0,Table1[[#This Row],[Customer Value]]/Table1[[#This Row],[Seconds of Use]]*100)</f>
        <v>4.5936589805825241</v>
      </c>
    </row>
    <row r="1936" spans="1:18" x14ac:dyDescent="0.35">
      <c r="A1936" s="3" t="s">
        <v>1957</v>
      </c>
      <c r="B1936">
        <v>7</v>
      </c>
      <c r="C1936">
        <v>0</v>
      </c>
      <c r="D1936">
        <v>33</v>
      </c>
      <c r="E1936">
        <v>3</v>
      </c>
      <c r="F1936">
        <v>7370</v>
      </c>
      <c r="G1936">
        <v>121</v>
      </c>
      <c r="H1936">
        <v>272</v>
      </c>
      <c r="I1936">
        <v>31</v>
      </c>
      <c r="J1936">
        <v>2</v>
      </c>
      <c r="K1936">
        <v>2</v>
      </c>
      <c r="L1936">
        <v>1</v>
      </c>
      <c r="M1936">
        <v>25</v>
      </c>
      <c r="N1936">
        <v>1561.095</v>
      </c>
      <c r="O1936">
        <v>0</v>
      </c>
      <c r="P19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36" t="str">
        <f>IF(Table1[[#This Row],[Fraud_Score]]&gt;=6, "High Risk",IF(Table1[[#This Row],[Fraud_Score]]&gt;=3, "Medium Risk", "Low Risk"))</f>
        <v>Low Risk</v>
      </c>
      <c r="R1936">
        <f>IF(Table1[[#This Row],[Seconds of Use]]=0,0,Table1[[#This Row],[Customer Value]]/Table1[[#This Row],[Seconds of Use]]*100)</f>
        <v>21.181750339213025</v>
      </c>
    </row>
    <row r="1937" spans="1:18" x14ac:dyDescent="0.35">
      <c r="A1937" s="3" t="s">
        <v>1958</v>
      </c>
      <c r="B1937">
        <v>3</v>
      </c>
      <c r="C1937">
        <v>0</v>
      </c>
      <c r="D1937">
        <v>35</v>
      </c>
      <c r="E1937">
        <v>0</v>
      </c>
      <c r="F1937">
        <v>4123</v>
      </c>
      <c r="G1937">
        <v>87</v>
      </c>
      <c r="H1937">
        <v>3</v>
      </c>
      <c r="I1937">
        <v>26</v>
      </c>
      <c r="J1937">
        <v>2</v>
      </c>
      <c r="K1937">
        <v>1</v>
      </c>
      <c r="L1937">
        <v>1</v>
      </c>
      <c r="M1937">
        <v>25</v>
      </c>
      <c r="N1937">
        <v>202.95</v>
      </c>
      <c r="O1937">
        <v>0</v>
      </c>
      <c r="P19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37" t="str">
        <f>IF(Table1[[#This Row],[Fraud_Score]]&gt;=6, "High Risk",IF(Table1[[#This Row],[Fraud_Score]]&gt;=3, "Medium Risk", "Low Risk"))</f>
        <v>Low Risk</v>
      </c>
      <c r="R1937">
        <f>IF(Table1[[#This Row],[Seconds of Use]]=0,0,Table1[[#This Row],[Customer Value]]/Table1[[#This Row],[Seconds of Use]]*100)</f>
        <v>4.9223866116905164</v>
      </c>
    </row>
    <row r="1938" spans="1:18" x14ac:dyDescent="0.35">
      <c r="A1938" s="3" t="s">
        <v>1959</v>
      </c>
      <c r="B1938">
        <v>4</v>
      </c>
      <c r="C1938">
        <v>0</v>
      </c>
      <c r="D1938">
        <v>34</v>
      </c>
      <c r="E1938">
        <v>0</v>
      </c>
      <c r="F1938">
        <v>2070</v>
      </c>
      <c r="G1938">
        <v>49</v>
      </c>
      <c r="H1938">
        <v>39</v>
      </c>
      <c r="I1938">
        <v>18</v>
      </c>
      <c r="J1938">
        <v>3</v>
      </c>
      <c r="K1938">
        <v>1</v>
      </c>
      <c r="L1938">
        <v>2</v>
      </c>
      <c r="M1938">
        <v>30</v>
      </c>
      <c r="N1938">
        <v>240.76</v>
      </c>
      <c r="O1938">
        <v>0</v>
      </c>
      <c r="P19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38" t="str">
        <f>IF(Table1[[#This Row],[Fraud_Score]]&gt;=6, "High Risk",IF(Table1[[#This Row],[Fraud_Score]]&gt;=3, "Medium Risk", "Low Risk"))</f>
        <v>Low Risk</v>
      </c>
      <c r="R1938">
        <f>IF(Table1[[#This Row],[Seconds of Use]]=0,0,Table1[[#This Row],[Customer Value]]/Table1[[#This Row],[Seconds of Use]]*100)</f>
        <v>11.630917874396134</v>
      </c>
    </row>
    <row r="1939" spans="1:18" x14ac:dyDescent="0.35">
      <c r="A1939" s="3" t="s">
        <v>1960</v>
      </c>
      <c r="B1939">
        <v>7</v>
      </c>
      <c r="C1939">
        <v>0</v>
      </c>
      <c r="D1939">
        <v>35</v>
      </c>
      <c r="E1939">
        <v>0</v>
      </c>
      <c r="F1939">
        <v>3185</v>
      </c>
      <c r="G1939">
        <v>58</v>
      </c>
      <c r="H1939">
        <v>176</v>
      </c>
      <c r="I1939">
        <v>21</v>
      </c>
      <c r="J1939">
        <v>2</v>
      </c>
      <c r="K1939">
        <v>1</v>
      </c>
      <c r="L1939">
        <v>1</v>
      </c>
      <c r="M1939">
        <v>25</v>
      </c>
      <c r="N1939">
        <v>937.93499999999995</v>
      </c>
      <c r="O1939">
        <v>0</v>
      </c>
      <c r="P19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39" t="str">
        <f>IF(Table1[[#This Row],[Fraud_Score]]&gt;=6, "High Risk",IF(Table1[[#This Row],[Fraud_Score]]&gt;=3, "Medium Risk", "Low Risk"))</f>
        <v>Low Risk</v>
      </c>
      <c r="R1939">
        <f>IF(Table1[[#This Row],[Seconds of Use]]=0,0,Table1[[#This Row],[Customer Value]]/Table1[[#This Row],[Seconds of Use]]*100)</f>
        <v>29.448508634222918</v>
      </c>
    </row>
    <row r="1940" spans="1:18" x14ac:dyDescent="0.35">
      <c r="A1940" s="3" t="s">
        <v>1961</v>
      </c>
      <c r="B1940">
        <v>5</v>
      </c>
      <c r="C1940">
        <v>0</v>
      </c>
      <c r="D1940">
        <v>26</v>
      </c>
      <c r="E1940">
        <v>1</v>
      </c>
      <c r="F1940">
        <v>1720</v>
      </c>
      <c r="G1940">
        <v>41</v>
      </c>
      <c r="H1940">
        <v>194</v>
      </c>
      <c r="I1940">
        <v>9</v>
      </c>
      <c r="J1940">
        <v>2</v>
      </c>
      <c r="K1940">
        <v>2</v>
      </c>
      <c r="L1940">
        <v>1</v>
      </c>
      <c r="M1940">
        <v>25</v>
      </c>
      <c r="N1940">
        <v>952.245</v>
      </c>
      <c r="O1940">
        <v>0</v>
      </c>
      <c r="P19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40" t="str">
        <f>IF(Table1[[#This Row],[Fraud_Score]]&gt;=6, "High Risk",IF(Table1[[#This Row],[Fraud_Score]]&gt;=3, "Medium Risk", "Low Risk"))</f>
        <v>Low Risk</v>
      </c>
      <c r="R1940">
        <f>IF(Table1[[#This Row],[Seconds of Use]]=0,0,Table1[[#This Row],[Customer Value]]/Table1[[#This Row],[Seconds of Use]]*100)</f>
        <v>55.363081395348836</v>
      </c>
    </row>
    <row r="1941" spans="1:18" x14ac:dyDescent="0.35">
      <c r="A1941" s="3" t="s">
        <v>1962</v>
      </c>
      <c r="B1941">
        <v>5</v>
      </c>
      <c r="C1941">
        <v>0</v>
      </c>
      <c r="D1941">
        <v>25</v>
      </c>
      <c r="E1941">
        <v>0</v>
      </c>
      <c r="F1941">
        <v>1973</v>
      </c>
      <c r="G1941">
        <v>44</v>
      </c>
      <c r="H1941">
        <v>31</v>
      </c>
      <c r="I1941">
        <v>66</v>
      </c>
      <c r="J1941">
        <v>4</v>
      </c>
      <c r="K1941">
        <v>1</v>
      </c>
      <c r="L1941">
        <v>1</v>
      </c>
      <c r="M1941">
        <v>45</v>
      </c>
      <c r="N1941">
        <v>127.925</v>
      </c>
      <c r="O1941">
        <v>0</v>
      </c>
      <c r="P19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41" t="str">
        <f>IF(Table1[[#This Row],[Fraud_Score]]&gt;=6, "High Risk",IF(Table1[[#This Row],[Fraud_Score]]&gt;=3, "Medium Risk", "Low Risk"))</f>
        <v>Low Risk</v>
      </c>
      <c r="R1941">
        <f>IF(Table1[[#This Row],[Seconds of Use]]=0,0,Table1[[#This Row],[Customer Value]]/Table1[[#This Row],[Seconds of Use]]*100)</f>
        <v>6.483781044095287</v>
      </c>
    </row>
    <row r="1942" spans="1:18" x14ac:dyDescent="0.35">
      <c r="A1942" s="3" t="s">
        <v>1963</v>
      </c>
      <c r="B1942">
        <v>12</v>
      </c>
      <c r="C1942">
        <v>0</v>
      </c>
      <c r="D1942">
        <v>26</v>
      </c>
      <c r="E1942">
        <v>0</v>
      </c>
      <c r="F1942">
        <v>1105</v>
      </c>
      <c r="G1942">
        <v>30</v>
      </c>
      <c r="H1942">
        <v>11</v>
      </c>
      <c r="I1942">
        <v>5</v>
      </c>
      <c r="J1942">
        <v>2</v>
      </c>
      <c r="K1942">
        <v>1</v>
      </c>
      <c r="L1942">
        <v>2</v>
      </c>
      <c r="M1942">
        <v>25</v>
      </c>
      <c r="N1942">
        <v>100.575</v>
      </c>
      <c r="O1942">
        <v>0</v>
      </c>
      <c r="P19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42" t="str">
        <f>IF(Table1[[#This Row],[Fraud_Score]]&gt;=6, "High Risk",IF(Table1[[#This Row],[Fraud_Score]]&gt;=3, "Medium Risk", "Low Risk"))</f>
        <v>Medium Risk</v>
      </c>
      <c r="R1942">
        <f>IF(Table1[[#This Row],[Seconds of Use]]=0,0,Table1[[#This Row],[Customer Value]]/Table1[[#This Row],[Seconds of Use]]*100)</f>
        <v>9.1018099547511326</v>
      </c>
    </row>
    <row r="1943" spans="1:18" x14ac:dyDescent="0.35">
      <c r="A1943" s="3" t="s">
        <v>1964</v>
      </c>
      <c r="B1943">
        <v>1</v>
      </c>
      <c r="C1943">
        <v>0</v>
      </c>
      <c r="D1943">
        <v>25</v>
      </c>
      <c r="E1943">
        <v>0</v>
      </c>
      <c r="F1943">
        <v>1230</v>
      </c>
      <c r="G1943">
        <v>15</v>
      </c>
      <c r="H1943">
        <v>22</v>
      </c>
      <c r="I1943">
        <v>1</v>
      </c>
      <c r="J1943">
        <v>4</v>
      </c>
      <c r="K1943">
        <v>1</v>
      </c>
      <c r="L1943">
        <v>2</v>
      </c>
      <c r="M1943">
        <v>45</v>
      </c>
      <c r="N1943">
        <v>86.125</v>
      </c>
      <c r="O1943">
        <v>0</v>
      </c>
      <c r="P19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43" t="str">
        <f>IF(Table1[[#This Row],[Fraud_Score]]&gt;=6, "High Risk",IF(Table1[[#This Row],[Fraud_Score]]&gt;=3, "Medium Risk", "Low Risk"))</f>
        <v>Low Risk</v>
      </c>
      <c r="R1943">
        <f>IF(Table1[[#This Row],[Seconds of Use]]=0,0,Table1[[#This Row],[Customer Value]]/Table1[[#This Row],[Seconds of Use]]*100)</f>
        <v>7.0020325203252032</v>
      </c>
    </row>
    <row r="1944" spans="1:18" x14ac:dyDescent="0.35">
      <c r="A1944" s="3" t="s">
        <v>1965</v>
      </c>
      <c r="B1944">
        <v>11</v>
      </c>
      <c r="C1944">
        <v>0</v>
      </c>
      <c r="D1944">
        <v>24</v>
      </c>
      <c r="E1944">
        <v>0</v>
      </c>
      <c r="F1944">
        <v>1630</v>
      </c>
      <c r="G1944">
        <v>37</v>
      </c>
      <c r="H1944">
        <v>20</v>
      </c>
      <c r="I1944">
        <v>11</v>
      </c>
      <c r="J1944">
        <v>2</v>
      </c>
      <c r="K1944">
        <v>1</v>
      </c>
      <c r="L1944">
        <v>1</v>
      </c>
      <c r="M1944">
        <v>25</v>
      </c>
      <c r="N1944">
        <v>165.01499999999999</v>
      </c>
      <c r="O1944">
        <v>0</v>
      </c>
      <c r="P19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44" t="str">
        <f>IF(Table1[[#This Row],[Fraud_Score]]&gt;=6, "High Risk",IF(Table1[[#This Row],[Fraud_Score]]&gt;=3, "Medium Risk", "Low Risk"))</f>
        <v>Medium Risk</v>
      </c>
      <c r="R1944">
        <f>IF(Table1[[#This Row],[Seconds of Use]]=0,0,Table1[[#This Row],[Customer Value]]/Table1[[#This Row],[Seconds of Use]]*100)</f>
        <v>10.123619631901839</v>
      </c>
    </row>
    <row r="1945" spans="1:18" x14ac:dyDescent="0.35">
      <c r="A1945" s="3" t="s">
        <v>1966</v>
      </c>
      <c r="B1945">
        <v>3</v>
      </c>
      <c r="C1945">
        <v>0</v>
      </c>
      <c r="D1945">
        <v>24</v>
      </c>
      <c r="E1945">
        <v>0</v>
      </c>
      <c r="F1945">
        <v>3630</v>
      </c>
      <c r="G1945">
        <v>66</v>
      </c>
      <c r="H1945">
        <v>9</v>
      </c>
      <c r="I1945">
        <v>21</v>
      </c>
      <c r="J1945">
        <v>3</v>
      </c>
      <c r="K1945">
        <v>1</v>
      </c>
      <c r="L1945">
        <v>1</v>
      </c>
      <c r="M1945">
        <v>30</v>
      </c>
      <c r="N1945">
        <v>183.84</v>
      </c>
      <c r="O1945">
        <v>0</v>
      </c>
      <c r="P19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45" t="str">
        <f>IF(Table1[[#This Row],[Fraud_Score]]&gt;=6, "High Risk",IF(Table1[[#This Row],[Fraud_Score]]&gt;=3, "Medium Risk", "Low Risk"))</f>
        <v>Low Risk</v>
      </c>
      <c r="R1945">
        <f>IF(Table1[[#This Row],[Seconds of Use]]=0,0,Table1[[#This Row],[Customer Value]]/Table1[[#This Row],[Seconds of Use]]*100)</f>
        <v>5.0644628099173552</v>
      </c>
    </row>
    <row r="1946" spans="1:18" x14ac:dyDescent="0.35">
      <c r="A1946" s="3" t="s">
        <v>1967</v>
      </c>
      <c r="B1946">
        <v>3</v>
      </c>
      <c r="C1946">
        <v>0</v>
      </c>
      <c r="D1946">
        <v>17</v>
      </c>
      <c r="E1946">
        <v>0</v>
      </c>
      <c r="F1946">
        <v>2100</v>
      </c>
      <c r="G1946">
        <v>31</v>
      </c>
      <c r="H1946">
        <v>29</v>
      </c>
      <c r="I1946">
        <v>12</v>
      </c>
      <c r="J1946">
        <v>2</v>
      </c>
      <c r="K1946">
        <v>1</v>
      </c>
      <c r="L1946">
        <v>1</v>
      </c>
      <c r="M1946">
        <v>25</v>
      </c>
      <c r="N1946">
        <v>226.39500000000001</v>
      </c>
      <c r="O1946">
        <v>0</v>
      </c>
      <c r="P19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46" t="str">
        <f>IF(Table1[[#This Row],[Fraud_Score]]&gt;=6, "High Risk",IF(Table1[[#This Row],[Fraud_Score]]&gt;=3, "Medium Risk", "Low Risk"))</f>
        <v>Low Risk</v>
      </c>
      <c r="R1946">
        <f>IF(Table1[[#This Row],[Seconds of Use]]=0,0,Table1[[#This Row],[Customer Value]]/Table1[[#This Row],[Seconds of Use]]*100)</f>
        <v>10.780714285714286</v>
      </c>
    </row>
    <row r="1947" spans="1:18" x14ac:dyDescent="0.35">
      <c r="A1947" s="3" t="s">
        <v>1968</v>
      </c>
      <c r="B1947">
        <v>17</v>
      </c>
      <c r="C1947">
        <v>0</v>
      </c>
      <c r="D1947">
        <v>16</v>
      </c>
      <c r="E1947">
        <v>1</v>
      </c>
      <c r="F1947">
        <v>6797</v>
      </c>
      <c r="G1947">
        <v>146</v>
      </c>
      <c r="H1947">
        <v>86</v>
      </c>
      <c r="I1947">
        <v>40</v>
      </c>
      <c r="J1947">
        <v>1</v>
      </c>
      <c r="K1947">
        <v>2</v>
      </c>
      <c r="L1947">
        <v>1</v>
      </c>
      <c r="M1947">
        <v>15</v>
      </c>
      <c r="N1947">
        <v>854.86500000000001</v>
      </c>
      <c r="O1947">
        <v>0</v>
      </c>
      <c r="P19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947" t="str">
        <f>IF(Table1[[#This Row],[Fraud_Score]]&gt;=6, "High Risk",IF(Table1[[#This Row],[Fraud_Score]]&gt;=3, "Medium Risk", "Low Risk"))</f>
        <v>Medium Risk</v>
      </c>
      <c r="R1947">
        <f>IF(Table1[[#This Row],[Seconds of Use]]=0,0,Table1[[#This Row],[Customer Value]]/Table1[[#This Row],[Seconds of Use]]*100)</f>
        <v>12.577092835074296</v>
      </c>
    </row>
    <row r="1948" spans="1:18" x14ac:dyDescent="0.35">
      <c r="A1948" s="3" t="s">
        <v>1969</v>
      </c>
      <c r="B1948">
        <v>13</v>
      </c>
      <c r="C1948">
        <v>0</v>
      </c>
      <c r="D1948">
        <v>14</v>
      </c>
      <c r="E1948">
        <v>0</v>
      </c>
      <c r="F1948">
        <v>9337</v>
      </c>
      <c r="G1948">
        <v>176</v>
      </c>
      <c r="H1948">
        <v>74</v>
      </c>
      <c r="I1948">
        <v>38</v>
      </c>
      <c r="J1948">
        <v>4</v>
      </c>
      <c r="K1948">
        <v>1</v>
      </c>
      <c r="L1948">
        <v>1</v>
      </c>
      <c r="M1948">
        <v>45</v>
      </c>
      <c r="N1948">
        <v>422.82499999999999</v>
      </c>
      <c r="O1948">
        <v>0</v>
      </c>
      <c r="P19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948" t="str">
        <f>IF(Table1[[#This Row],[Fraud_Score]]&gt;=6, "High Risk",IF(Table1[[#This Row],[Fraud_Score]]&gt;=3, "Medium Risk", "Low Risk"))</f>
        <v>Medium Risk</v>
      </c>
      <c r="R1948">
        <f>IF(Table1[[#This Row],[Seconds of Use]]=0,0,Table1[[#This Row],[Customer Value]]/Table1[[#This Row],[Seconds of Use]]*100)</f>
        <v>4.5284888079682979</v>
      </c>
    </row>
    <row r="1949" spans="1:18" x14ac:dyDescent="0.35">
      <c r="A1949" s="3" t="s">
        <v>1970</v>
      </c>
      <c r="B1949">
        <v>9</v>
      </c>
      <c r="C1949">
        <v>0</v>
      </c>
      <c r="D1949">
        <v>15</v>
      </c>
      <c r="E1949">
        <v>3</v>
      </c>
      <c r="F1949">
        <v>3257</v>
      </c>
      <c r="G1949">
        <v>50</v>
      </c>
      <c r="H1949">
        <v>32</v>
      </c>
      <c r="I1949">
        <v>17</v>
      </c>
      <c r="J1949">
        <v>3</v>
      </c>
      <c r="K1949">
        <v>1</v>
      </c>
      <c r="L1949">
        <v>1</v>
      </c>
      <c r="M1949">
        <v>30</v>
      </c>
      <c r="N1949">
        <v>260.27999999999997</v>
      </c>
      <c r="O1949">
        <v>0</v>
      </c>
      <c r="P19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49" t="str">
        <f>IF(Table1[[#This Row],[Fraud_Score]]&gt;=6, "High Risk",IF(Table1[[#This Row],[Fraud_Score]]&gt;=3, "Medium Risk", "Low Risk"))</f>
        <v>Low Risk</v>
      </c>
      <c r="R1949">
        <f>IF(Table1[[#This Row],[Seconds of Use]]=0,0,Table1[[#This Row],[Customer Value]]/Table1[[#This Row],[Seconds of Use]]*100)</f>
        <v>7.9914031317163028</v>
      </c>
    </row>
    <row r="1950" spans="1:18" x14ac:dyDescent="0.35">
      <c r="A1950" s="3" t="s">
        <v>1971</v>
      </c>
      <c r="B1950">
        <v>3</v>
      </c>
      <c r="C1950">
        <v>0</v>
      </c>
      <c r="D1950">
        <v>8</v>
      </c>
      <c r="E1950">
        <v>1</v>
      </c>
      <c r="F1950">
        <v>4795</v>
      </c>
      <c r="G1950">
        <v>45</v>
      </c>
      <c r="H1950">
        <v>216</v>
      </c>
      <c r="I1950">
        <v>8</v>
      </c>
      <c r="J1950">
        <v>3</v>
      </c>
      <c r="K1950">
        <v>1</v>
      </c>
      <c r="L1950">
        <v>1</v>
      </c>
      <c r="M1950">
        <v>30</v>
      </c>
      <c r="N1950">
        <v>1057.5999999999999</v>
      </c>
      <c r="O1950">
        <v>0</v>
      </c>
      <c r="P19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50" t="str">
        <f>IF(Table1[[#This Row],[Fraud_Score]]&gt;=6, "High Risk",IF(Table1[[#This Row],[Fraud_Score]]&gt;=3, "Medium Risk", "Low Risk"))</f>
        <v>Low Risk</v>
      </c>
      <c r="R1950">
        <f>IF(Table1[[#This Row],[Seconds of Use]]=0,0,Table1[[#This Row],[Customer Value]]/Table1[[#This Row],[Seconds of Use]]*100)</f>
        <v>22.056308654848799</v>
      </c>
    </row>
    <row r="1951" spans="1:18" x14ac:dyDescent="0.35">
      <c r="A1951" s="3" t="s">
        <v>1972</v>
      </c>
      <c r="B1951">
        <v>4</v>
      </c>
      <c r="C1951">
        <v>0</v>
      </c>
      <c r="D1951">
        <v>8</v>
      </c>
      <c r="E1951">
        <v>1</v>
      </c>
      <c r="F1951">
        <v>1892</v>
      </c>
      <c r="G1951">
        <v>24</v>
      </c>
      <c r="H1951">
        <v>1</v>
      </c>
      <c r="I1951">
        <v>5</v>
      </c>
      <c r="J1951">
        <v>3</v>
      </c>
      <c r="K1951">
        <v>1</v>
      </c>
      <c r="L1951">
        <v>1</v>
      </c>
      <c r="M1951">
        <v>30</v>
      </c>
      <c r="N1951">
        <v>80.64</v>
      </c>
      <c r="O1951">
        <v>1</v>
      </c>
      <c r="P19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51" t="str">
        <f>IF(Table1[[#This Row],[Fraud_Score]]&gt;=6, "High Risk",IF(Table1[[#This Row],[Fraud_Score]]&gt;=3, "Medium Risk", "Low Risk"))</f>
        <v>Low Risk</v>
      </c>
      <c r="R1951">
        <f>IF(Table1[[#This Row],[Seconds of Use]]=0,0,Table1[[#This Row],[Customer Value]]/Table1[[#This Row],[Seconds of Use]]*100)</f>
        <v>4.2621564482029601</v>
      </c>
    </row>
    <row r="1952" spans="1:18" x14ac:dyDescent="0.35">
      <c r="A1952" s="3" t="s">
        <v>1973</v>
      </c>
      <c r="B1952">
        <v>0</v>
      </c>
      <c r="C1952">
        <v>0</v>
      </c>
      <c r="D1952">
        <v>35</v>
      </c>
      <c r="E1952">
        <v>0</v>
      </c>
      <c r="F1952">
        <v>3355</v>
      </c>
      <c r="G1952">
        <v>54</v>
      </c>
      <c r="H1952">
        <v>0</v>
      </c>
      <c r="I1952">
        <v>15</v>
      </c>
      <c r="J1952">
        <v>2</v>
      </c>
      <c r="K1952">
        <v>1</v>
      </c>
      <c r="L1952">
        <v>1</v>
      </c>
      <c r="M1952">
        <v>25</v>
      </c>
      <c r="N1952">
        <v>153.405</v>
      </c>
      <c r="O1952">
        <v>0</v>
      </c>
      <c r="P19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2" t="str">
        <f>IF(Table1[[#This Row],[Fraud_Score]]&gt;=6, "High Risk",IF(Table1[[#This Row],[Fraud_Score]]&gt;=3, "Medium Risk", "Low Risk"))</f>
        <v>Low Risk</v>
      </c>
      <c r="R1952">
        <f>IF(Table1[[#This Row],[Seconds of Use]]=0,0,Table1[[#This Row],[Customer Value]]/Table1[[#This Row],[Seconds of Use]]*100)</f>
        <v>4.5724292101341284</v>
      </c>
    </row>
    <row r="1953" spans="1:18" x14ac:dyDescent="0.35">
      <c r="A1953" s="3" t="s">
        <v>1974</v>
      </c>
      <c r="B1953">
        <v>0</v>
      </c>
      <c r="C1953">
        <v>0</v>
      </c>
      <c r="D1953">
        <v>36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2</v>
      </c>
      <c r="K1953">
        <v>1</v>
      </c>
      <c r="L1953">
        <v>2</v>
      </c>
      <c r="M1953">
        <v>25</v>
      </c>
      <c r="N1953">
        <v>0</v>
      </c>
      <c r="O1953">
        <v>0</v>
      </c>
      <c r="P19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3" t="str">
        <f>IF(Table1[[#This Row],[Fraud_Score]]&gt;=6, "High Risk",IF(Table1[[#This Row],[Fraud_Score]]&gt;=3, "Medium Risk", "Low Risk"))</f>
        <v>Low Risk</v>
      </c>
      <c r="R1953">
        <f>IF(Table1[[#This Row],[Seconds of Use]]=0,0,Table1[[#This Row],[Customer Value]]/Table1[[#This Row],[Seconds of Use]]*100)</f>
        <v>0</v>
      </c>
    </row>
    <row r="1954" spans="1:18" x14ac:dyDescent="0.35">
      <c r="A1954" s="3" t="s">
        <v>1975</v>
      </c>
      <c r="B1954">
        <v>0</v>
      </c>
      <c r="C1954">
        <v>0</v>
      </c>
      <c r="D1954">
        <v>34</v>
      </c>
      <c r="E1954">
        <v>0</v>
      </c>
      <c r="F1954">
        <v>1438</v>
      </c>
      <c r="G1954">
        <v>43</v>
      </c>
      <c r="H1954">
        <v>327</v>
      </c>
      <c r="I1954">
        <v>22</v>
      </c>
      <c r="J1954">
        <v>2</v>
      </c>
      <c r="K1954">
        <v>1</v>
      </c>
      <c r="L1954">
        <v>1</v>
      </c>
      <c r="M1954">
        <v>25</v>
      </c>
      <c r="N1954">
        <v>1538.145</v>
      </c>
      <c r="O1954">
        <v>0</v>
      </c>
      <c r="P19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4" t="str">
        <f>IF(Table1[[#This Row],[Fraud_Score]]&gt;=6, "High Risk",IF(Table1[[#This Row],[Fraud_Score]]&gt;=3, "Medium Risk", "Low Risk"))</f>
        <v>Low Risk</v>
      </c>
      <c r="R1954">
        <f>IF(Table1[[#This Row],[Seconds of Use]]=0,0,Table1[[#This Row],[Customer Value]]/Table1[[#This Row],[Seconds of Use]]*100)</f>
        <v>106.96418636995828</v>
      </c>
    </row>
    <row r="1955" spans="1:18" x14ac:dyDescent="0.35">
      <c r="A1955" s="3" t="s">
        <v>1976</v>
      </c>
      <c r="B1955">
        <v>0</v>
      </c>
      <c r="C1955">
        <v>0</v>
      </c>
      <c r="D1955">
        <v>35</v>
      </c>
      <c r="E1955">
        <v>0</v>
      </c>
      <c r="F1955">
        <v>3183</v>
      </c>
      <c r="G1955">
        <v>49</v>
      </c>
      <c r="H1955">
        <v>0</v>
      </c>
      <c r="I1955">
        <v>33</v>
      </c>
      <c r="J1955">
        <v>1</v>
      </c>
      <c r="K1955">
        <v>1</v>
      </c>
      <c r="L1955">
        <v>1</v>
      </c>
      <c r="M1955">
        <v>15</v>
      </c>
      <c r="N1955">
        <v>177.76</v>
      </c>
      <c r="O1955">
        <v>0</v>
      </c>
      <c r="P19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5" t="str">
        <f>IF(Table1[[#This Row],[Fraud_Score]]&gt;=6, "High Risk",IF(Table1[[#This Row],[Fraud_Score]]&gt;=3, "Medium Risk", "Low Risk"))</f>
        <v>Low Risk</v>
      </c>
      <c r="R1955">
        <f>IF(Table1[[#This Row],[Seconds of Use]]=0,0,Table1[[#This Row],[Customer Value]]/Table1[[#This Row],[Seconds of Use]]*100)</f>
        <v>5.5846685516808039</v>
      </c>
    </row>
    <row r="1956" spans="1:18" x14ac:dyDescent="0.35">
      <c r="A1956" s="3" t="s">
        <v>1977</v>
      </c>
      <c r="B1956">
        <v>0</v>
      </c>
      <c r="C1956">
        <v>0</v>
      </c>
      <c r="D1956">
        <v>35</v>
      </c>
      <c r="E1956">
        <v>0</v>
      </c>
      <c r="F1956">
        <v>1378</v>
      </c>
      <c r="G1956">
        <v>41</v>
      </c>
      <c r="H1956">
        <v>0</v>
      </c>
      <c r="I1956">
        <v>31</v>
      </c>
      <c r="J1956">
        <v>1</v>
      </c>
      <c r="K1956">
        <v>1</v>
      </c>
      <c r="L1956">
        <v>1</v>
      </c>
      <c r="M1956">
        <v>15</v>
      </c>
      <c r="N1956">
        <v>78.045000000000002</v>
      </c>
      <c r="O1956">
        <v>0</v>
      </c>
      <c r="P19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6" t="str">
        <f>IF(Table1[[#This Row],[Fraud_Score]]&gt;=6, "High Risk",IF(Table1[[#This Row],[Fraud_Score]]&gt;=3, "Medium Risk", "Low Risk"))</f>
        <v>Low Risk</v>
      </c>
      <c r="R1956">
        <f>IF(Table1[[#This Row],[Seconds of Use]]=0,0,Table1[[#This Row],[Customer Value]]/Table1[[#This Row],[Seconds of Use]]*100)</f>
        <v>5.6636429608127727</v>
      </c>
    </row>
    <row r="1957" spans="1:18" x14ac:dyDescent="0.35">
      <c r="A1957" s="3" t="s">
        <v>1978</v>
      </c>
      <c r="B1957">
        <v>0</v>
      </c>
      <c r="C1957">
        <v>0</v>
      </c>
      <c r="D1957">
        <v>35</v>
      </c>
      <c r="E1957">
        <v>0</v>
      </c>
      <c r="F1957">
        <v>2760</v>
      </c>
      <c r="G1957">
        <v>65</v>
      </c>
      <c r="H1957">
        <v>0</v>
      </c>
      <c r="I1957">
        <v>26</v>
      </c>
      <c r="J1957">
        <v>2</v>
      </c>
      <c r="K1957">
        <v>1</v>
      </c>
      <c r="L1957">
        <v>1</v>
      </c>
      <c r="M1957">
        <v>25</v>
      </c>
      <c r="N1957">
        <v>127.125</v>
      </c>
      <c r="O1957">
        <v>0</v>
      </c>
      <c r="P19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7" t="str">
        <f>IF(Table1[[#This Row],[Fraud_Score]]&gt;=6, "High Risk",IF(Table1[[#This Row],[Fraud_Score]]&gt;=3, "Medium Risk", "Low Risk"))</f>
        <v>Low Risk</v>
      </c>
      <c r="R1957">
        <f>IF(Table1[[#This Row],[Seconds of Use]]=0,0,Table1[[#This Row],[Customer Value]]/Table1[[#This Row],[Seconds of Use]]*100)</f>
        <v>4.6059782608695654</v>
      </c>
    </row>
    <row r="1958" spans="1:18" x14ac:dyDescent="0.35">
      <c r="A1958" s="3" t="s">
        <v>1979</v>
      </c>
      <c r="B1958">
        <v>0</v>
      </c>
      <c r="C1958">
        <v>0</v>
      </c>
      <c r="D1958">
        <v>35</v>
      </c>
      <c r="E1958">
        <v>0</v>
      </c>
      <c r="F1958">
        <v>1345</v>
      </c>
      <c r="G1958">
        <v>22</v>
      </c>
      <c r="H1958">
        <v>253</v>
      </c>
      <c r="I1958">
        <v>16</v>
      </c>
      <c r="J1958">
        <v>3</v>
      </c>
      <c r="K1958">
        <v>1</v>
      </c>
      <c r="L1958">
        <v>1</v>
      </c>
      <c r="M1958">
        <v>30</v>
      </c>
      <c r="N1958">
        <v>1066.68</v>
      </c>
      <c r="O1958">
        <v>0</v>
      </c>
      <c r="P19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8" t="str">
        <f>IF(Table1[[#This Row],[Fraud_Score]]&gt;=6, "High Risk",IF(Table1[[#This Row],[Fraud_Score]]&gt;=3, "Medium Risk", "Low Risk"))</f>
        <v>Low Risk</v>
      </c>
      <c r="R1958">
        <f>IF(Table1[[#This Row],[Seconds of Use]]=0,0,Table1[[#This Row],[Customer Value]]/Table1[[#This Row],[Seconds of Use]]*100)</f>
        <v>79.307063197026025</v>
      </c>
    </row>
    <row r="1959" spans="1:18" x14ac:dyDescent="0.35">
      <c r="A1959" s="3" t="s">
        <v>1980</v>
      </c>
      <c r="B1959">
        <v>2</v>
      </c>
      <c r="C1959">
        <v>0</v>
      </c>
      <c r="D1959">
        <v>34</v>
      </c>
      <c r="E1959">
        <v>0</v>
      </c>
      <c r="F1959">
        <v>8100</v>
      </c>
      <c r="G1959">
        <v>104</v>
      </c>
      <c r="H1959">
        <v>112</v>
      </c>
      <c r="I1959">
        <v>41</v>
      </c>
      <c r="J1959">
        <v>3</v>
      </c>
      <c r="K1959">
        <v>1</v>
      </c>
      <c r="L1959">
        <v>1</v>
      </c>
      <c r="M1959">
        <v>30</v>
      </c>
      <c r="N1959">
        <v>776.16</v>
      </c>
      <c r="O1959">
        <v>0</v>
      </c>
      <c r="P19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59" t="str">
        <f>IF(Table1[[#This Row],[Fraud_Score]]&gt;=6, "High Risk",IF(Table1[[#This Row],[Fraud_Score]]&gt;=3, "Medium Risk", "Low Risk"))</f>
        <v>Low Risk</v>
      </c>
      <c r="R1959">
        <f>IF(Table1[[#This Row],[Seconds of Use]]=0,0,Table1[[#This Row],[Customer Value]]/Table1[[#This Row],[Seconds of Use]]*100)</f>
        <v>9.5822222222222209</v>
      </c>
    </row>
    <row r="1960" spans="1:18" x14ac:dyDescent="0.35">
      <c r="A1960" s="3" t="s">
        <v>1981</v>
      </c>
      <c r="B1960">
        <v>0</v>
      </c>
      <c r="C1960">
        <v>0</v>
      </c>
      <c r="D1960">
        <v>35</v>
      </c>
      <c r="E1960">
        <v>0</v>
      </c>
      <c r="F1960">
        <v>12758</v>
      </c>
      <c r="G1960">
        <v>152</v>
      </c>
      <c r="H1960">
        <v>0</v>
      </c>
      <c r="I1960">
        <v>42</v>
      </c>
      <c r="J1960">
        <v>3</v>
      </c>
      <c r="K1960">
        <v>1</v>
      </c>
      <c r="L1960">
        <v>1</v>
      </c>
      <c r="M1960">
        <v>30</v>
      </c>
      <c r="N1960">
        <v>516.4</v>
      </c>
      <c r="O1960">
        <v>0</v>
      </c>
      <c r="P19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60" t="str">
        <f>IF(Table1[[#This Row],[Fraud_Score]]&gt;=6, "High Risk",IF(Table1[[#This Row],[Fraud_Score]]&gt;=3, "Medium Risk", "Low Risk"))</f>
        <v>Medium Risk</v>
      </c>
      <c r="R1960">
        <f>IF(Table1[[#This Row],[Seconds of Use]]=0,0,Table1[[#This Row],[Customer Value]]/Table1[[#This Row],[Seconds of Use]]*100)</f>
        <v>4.0476563724721739</v>
      </c>
    </row>
    <row r="1961" spans="1:18" x14ac:dyDescent="0.35">
      <c r="A1961" s="3" t="s">
        <v>1982</v>
      </c>
      <c r="B1961">
        <v>0</v>
      </c>
      <c r="C1961">
        <v>0</v>
      </c>
      <c r="D1961">
        <v>35</v>
      </c>
      <c r="E1961">
        <v>0</v>
      </c>
      <c r="F1961">
        <v>3500</v>
      </c>
      <c r="G1961">
        <v>66</v>
      </c>
      <c r="H1961">
        <v>0</v>
      </c>
      <c r="I1961">
        <v>23</v>
      </c>
      <c r="J1961">
        <v>3</v>
      </c>
      <c r="K1961">
        <v>1</v>
      </c>
      <c r="L1961">
        <v>1</v>
      </c>
      <c r="M1961">
        <v>30</v>
      </c>
      <c r="N1961">
        <v>142.63999999999999</v>
      </c>
      <c r="O1961">
        <v>0</v>
      </c>
      <c r="P19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61" t="str">
        <f>IF(Table1[[#This Row],[Fraud_Score]]&gt;=6, "High Risk",IF(Table1[[#This Row],[Fraud_Score]]&gt;=3, "Medium Risk", "Low Risk"))</f>
        <v>Low Risk</v>
      </c>
      <c r="R1961">
        <f>IF(Table1[[#This Row],[Seconds of Use]]=0,0,Table1[[#This Row],[Customer Value]]/Table1[[#This Row],[Seconds of Use]]*100)</f>
        <v>4.0754285714285707</v>
      </c>
    </row>
    <row r="1962" spans="1:18" x14ac:dyDescent="0.35">
      <c r="A1962" s="3" t="s">
        <v>1983</v>
      </c>
      <c r="B1962">
        <v>0</v>
      </c>
      <c r="C1962">
        <v>0</v>
      </c>
      <c r="D1962">
        <v>35</v>
      </c>
      <c r="E1962">
        <v>0</v>
      </c>
      <c r="F1962">
        <v>4903</v>
      </c>
      <c r="G1962">
        <v>78</v>
      </c>
      <c r="H1962">
        <v>0</v>
      </c>
      <c r="I1962">
        <v>10</v>
      </c>
      <c r="J1962">
        <v>2</v>
      </c>
      <c r="K1962">
        <v>1</v>
      </c>
      <c r="L1962">
        <v>1</v>
      </c>
      <c r="M1962">
        <v>25</v>
      </c>
      <c r="N1962">
        <v>224.14500000000001</v>
      </c>
      <c r="O1962">
        <v>0</v>
      </c>
      <c r="P19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62" t="str">
        <f>IF(Table1[[#This Row],[Fraud_Score]]&gt;=6, "High Risk",IF(Table1[[#This Row],[Fraud_Score]]&gt;=3, "Medium Risk", "Low Risk"))</f>
        <v>Low Risk</v>
      </c>
      <c r="R1962">
        <f>IF(Table1[[#This Row],[Seconds of Use]]=0,0,Table1[[#This Row],[Customer Value]]/Table1[[#This Row],[Seconds of Use]]*100)</f>
        <v>4.5715888231694883</v>
      </c>
    </row>
    <row r="1963" spans="1:18" x14ac:dyDescent="0.35">
      <c r="A1963" s="3" t="s">
        <v>1984</v>
      </c>
      <c r="B1963">
        <v>0</v>
      </c>
      <c r="C1963">
        <v>0</v>
      </c>
      <c r="D1963">
        <v>35</v>
      </c>
      <c r="E1963">
        <v>0</v>
      </c>
      <c r="F1963">
        <v>1223</v>
      </c>
      <c r="G1963">
        <v>37</v>
      </c>
      <c r="H1963">
        <v>0</v>
      </c>
      <c r="I1963">
        <v>15</v>
      </c>
      <c r="J1963">
        <v>3</v>
      </c>
      <c r="K1963">
        <v>1</v>
      </c>
      <c r="L1963">
        <v>2</v>
      </c>
      <c r="M1963">
        <v>30</v>
      </c>
      <c r="N1963">
        <v>50.4</v>
      </c>
      <c r="O1963">
        <v>0</v>
      </c>
      <c r="P19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63" t="str">
        <f>IF(Table1[[#This Row],[Fraud_Score]]&gt;=6, "High Risk",IF(Table1[[#This Row],[Fraud_Score]]&gt;=3, "Medium Risk", "Low Risk"))</f>
        <v>Low Risk</v>
      </c>
      <c r="R1963">
        <f>IF(Table1[[#This Row],[Seconds of Use]]=0,0,Table1[[#This Row],[Customer Value]]/Table1[[#This Row],[Seconds of Use]]*100)</f>
        <v>4.1210139002452983</v>
      </c>
    </row>
    <row r="1964" spans="1:18" x14ac:dyDescent="0.35">
      <c r="A1964" s="3" t="s">
        <v>1985</v>
      </c>
      <c r="B1964">
        <v>14</v>
      </c>
      <c r="C1964">
        <v>0</v>
      </c>
      <c r="D1964">
        <v>35</v>
      </c>
      <c r="E1964">
        <v>1</v>
      </c>
      <c r="F1964">
        <v>14125</v>
      </c>
      <c r="G1964">
        <v>208</v>
      </c>
      <c r="H1964">
        <v>22</v>
      </c>
      <c r="I1964">
        <v>30</v>
      </c>
      <c r="J1964">
        <v>2</v>
      </c>
      <c r="K1964">
        <v>1</v>
      </c>
      <c r="L1964">
        <v>1</v>
      </c>
      <c r="M1964">
        <v>25</v>
      </c>
      <c r="N1964">
        <v>743.98500000000001</v>
      </c>
      <c r="O1964">
        <v>0</v>
      </c>
      <c r="P19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1964" t="str">
        <f>IF(Table1[[#This Row],[Fraud_Score]]&gt;=6, "High Risk",IF(Table1[[#This Row],[Fraud_Score]]&gt;=3, "Medium Risk", "Low Risk"))</f>
        <v>Medium Risk</v>
      </c>
      <c r="R1964">
        <f>IF(Table1[[#This Row],[Seconds of Use]]=0,0,Table1[[#This Row],[Customer Value]]/Table1[[#This Row],[Seconds of Use]]*100)</f>
        <v>5.2671504424778766</v>
      </c>
    </row>
    <row r="1965" spans="1:18" x14ac:dyDescent="0.35">
      <c r="A1965" s="3" t="s">
        <v>1986</v>
      </c>
      <c r="B1965">
        <v>0</v>
      </c>
      <c r="C1965">
        <v>0</v>
      </c>
      <c r="D1965">
        <v>35</v>
      </c>
      <c r="E1965">
        <v>0</v>
      </c>
      <c r="F1965">
        <v>2080</v>
      </c>
      <c r="G1965">
        <v>10</v>
      </c>
      <c r="H1965">
        <v>451</v>
      </c>
      <c r="I1965">
        <v>6</v>
      </c>
      <c r="J1965">
        <v>3</v>
      </c>
      <c r="K1965">
        <v>1</v>
      </c>
      <c r="L1965">
        <v>1</v>
      </c>
      <c r="M1965">
        <v>30</v>
      </c>
      <c r="N1965">
        <v>1887.6</v>
      </c>
      <c r="O1965">
        <v>0</v>
      </c>
      <c r="P19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65" t="str">
        <f>IF(Table1[[#This Row],[Fraud_Score]]&gt;=6, "High Risk",IF(Table1[[#This Row],[Fraud_Score]]&gt;=3, "Medium Risk", "Low Risk"))</f>
        <v>Low Risk</v>
      </c>
      <c r="R1965">
        <f>IF(Table1[[#This Row],[Seconds of Use]]=0,0,Table1[[#This Row],[Customer Value]]/Table1[[#This Row],[Seconds of Use]]*100)</f>
        <v>90.75</v>
      </c>
    </row>
    <row r="1966" spans="1:18" x14ac:dyDescent="0.35">
      <c r="A1966" s="3" t="s">
        <v>1987</v>
      </c>
      <c r="B1966">
        <v>0</v>
      </c>
      <c r="C1966">
        <v>0</v>
      </c>
      <c r="D1966">
        <v>34</v>
      </c>
      <c r="E1966">
        <v>0</v>
      </c>
      <c r="F1966">
        <v>14470</v>
      </c>
      <c r="G1966">
        <v>165</v>
      </c>
      <c r="H1966">
        <v>118</v>
      </c>
      <c r="I1966">
        <v>28</v>
      </c>
      <c r="J1966">
        <v>2</v>
      </c>
      <c r="K1966">
        <v>1</v>
      </c>
      <c r="L1966">
        <v>1</v>
      </c>
      <c r="M1966">
        <v>25</v>
      </c>
      <c r="N1966">
        <v>1189.575</v>
      </c>
      <c r="O1966">
        <v>0</v>
      </c>
      <c r="P19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66" t="str">
        <f>IF(Table1[[#This Row],[Fraud_Score]]&gt;=6, "High Risk",IF(Table1[[#This Row],[Fraud_Score]]&gt;=3, "Medium Risk", "Low Risk"))</f>
        <v>Medium Risk</v>
      </c>
      <c r="R1966">
        <f>IF(Table1[[#This Row],[Seconds of Use]]=0,0,Table1[[#This Row],[Customer Value]]/Table1[[#This Row],[Seconds of Use]]*100)</f>
        <v>8.2209744298548735</v>
      </c>
    </row>
    <row r="1967" spans="1:18" x14ac:dyDescent="0.35">
      <c r="A1967" s="3" t="s">
        <v>1988</v>
      </c>
      <c r="B1967">
        <v>0</v>
      </c>
      <c r="C1967">
        <v>0</v>
      </c>
      <c r="D1967">
        <v>34</v>
      </c>
      <c r="E1967">
        <v>0</v>
      </c>
      <c r="F1967">
        <v>5485</v>
      </c>
      <c r="G1967">
        <v>69</v>
      </c>
      <c r="H1967">
        <v>154</v>
      </c>
      <c r="I1967">
        <v>24</v>
      </c>
      <c r="J1967">
        <v>3</v>
      </c>
      <c r="K1967">
        <v>1</v>
      </c>
      <c r="L1967">
        <v>1</v>
      </c>
      <c r="M1967">
        <v>30</v>
      </c>
      <c r="N1967">
        <v>838.16</v>
      </c>
      <c r="O1967">
        <v>0</v>
      </c>
      <c r="P19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67" t="str">
        <f>IF(Table1[[#This Row],[Fraud_Score]]&gt;=6, "High Risk",IF(Table1[[#This Row],[Fraud_Score]]&gt;=3, "Medium Risk", "Low Risk"))</f>
        <v>Low Risk</v>
      </c>
      <c r="R1967">
        <f>IF(Table1[[#This Row],[Seconds of Use]]=0,0,Table1[[#This Row],[Customer Value]]/Table1[[#This Row],[Seconds of Use]]*100)</f>
        <v>15.280948040109388</v>
      </c>
    </row>
    <row r="1968" spans="1:18" x14ac:dyDescent="0.35">
      <c r="A1968" s="3" t="s">
        <v>1989</v>
      </c>
      <c r="B1968">
        <v>0</v>
      </c>
      <c r="C1968">
        <v>0</v>
      </c>
      <c r="D1968">
        <v>34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2</v>
      </c>
      <c r="K1968">
        <v>1</v>
      </c>
      <c r="L1968">
        <v>2</v>
      </c>
      <c r="M1968">
        <v>25</v>
      </c>
      <c r="N1968">
        <v>0</v>
      </c>
      <c r="O1968">
        <v>0</v>
      </c>
      <c r="P19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68" t="str">
        <f>IF(Table1[[#This Row],[Fraud_Score]]&gt;=6, "High Risk",IF(Table1[[#This Row],[Fraud_Score]]&gt;=3, "Medium Risk", "Low Risk"))</f>
        <v>Low Risk</v>
      </c>
      <c r="R1968">
        <f>IF(Table1[[#This Row],[Seconds of Use]]=0,0,Table1[[#This Row],[Customer Value]]/Table1[[#This Row],[Seconds of Use]]*100)</f>
        <v>0</v>
      </c>
    </row>
    <row r="1969" spans="1:18" x14ac:dyDescent="0.35">
      <c r="A1969" s="3" t="s">
        <v>1990</v>
      </c>
      <c r="B1969">
        <v>0</v>
      </c>
      <c r="C1969">
        <v>0</v>
      </c>
      <c r="D1969">
        <v>35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2</v>
      </c>
      <c r="K1969">
        <v>1</v>
      </c>
      <c r="L1969">
        <v>2</v>
      </c>
      <c r="M1969">
        <v>25</v>
      </c>
      <c r="N1969">
        <v>0</v>
      </c>
      <c r="O1969">
        <v>0</v>
      </c>
      <c r="P19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69" t="str">
        <f>IF(Table1[[#This Row],[Fraud_Score]]&gt;=6, "High Risk",IF(Table1[[#This Row],[Fraud_Score]]&gt;=3, "Medium Risk", "Low Risk"))</f>
        <v>Low Risk</v>
      </c>
      <c r="R1969">
        <f>IF(Table1[[#This Row],[Seconds of Use]]=0,0,Table1[[#This Row],[Customer Value]]/Table1[[#This Row],[Seconds of Use]]*100)</f>
        <v>0</v>
      </c>
    </row>
    <row r="1970" spans="1:18" x14ac:dyDescent="0.35">
      <c r="A1970" s="3" t="s">
        <v>1991</v>
      </c>
      <c r="B1970">
        <v>0</v>
      </c>
      <c r="C1970">
        <v>0</v>
      </c>
      <c r="D1970">
        <v>34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2</v>
      </c>
      <c r="K1970">
        <v>1</v>
      </c>
      <c r="L1970">
        <v>2</v>
      </c>
      <c r="M1970">
        <v>25</v>
      </c>
      <c r="N1970">
        <v>0</v>
      </c>
      <c r="O1970">
        <v>1</v>
      </c>
      <c r="P19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70" t="str">
        <f>IF(Table1[[#This Row],[Fraud_Score]]&gt;=6, "High Risk",IF(Table1[[#This Row],[Fraud_Score]]&gt;=3, "Medium Risk", "Low Risk"))</f>
        <v>Low Risk</v>
      </c>
      <c r="R1970">
        <f>IF(Table1[[#This Row],[Seconds of Use]]=0,0,Table1[[#This Row],[Customer Value]]/Table1[[#This Row],[Seconds of Use]]*100)</f>
        <v>0</v>
      </c>
    </row>
    <row r="1971" spans="1:18" x14ac:dyDescent="0.35">
      <c r="A1971" s="3" t="s">
        <v>1992</v>
      </c>
      <c r="B1971">
        <v>0</v>
      </c>
      <c r="C1971">
        <v>0</v>
      </c>
      <c r="D1971">
        <v>34</v>
      </c>
      <c r="E1971">
        <v>0</v>
      </c>
      <c r="F1971">
        <v>6493</v>
      </c>
      <c r="G1971">
        <v>110</v>
      </c>
      <c r="H1971">
        <v>352</v>
      </c>
      <c r="I1971">
        <v>41</v>
      </c>
      <c r="J1971">
        <v>2</v>
      </c>
      <c r="K1971">
        <v>1</v>
      </c>
      <c r="L1971">
        <v>1</v>
      </c>
      <c r="M1971">
        <v>25</v>
      </c>
      <c r="N1971">
        <v>1881.135</v>
      </c>
      <c r="O1971">
        <v>0</v>
      </c>
      <c r="P19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71" t="str">
        <f>IF(Table1[[#This Row],[Fraud_Score]]&gt;=6, "High Risk",IF(Table1[[#This Row],[Fraud_Score]]&gt;=3, "Medium Risk", "Low Risk"))</f>
        <v>Low Risk</v>
      </c>
      <c r="R1971">
        <f>IF(Table1[[#This Row],[Seconds of Use]]=0,0,Table1[[#This Row],[Customer Value]]/Table1[[#This Row],[Seconds of Use]]*100)</f>
        <v>28.971738795626056</v>
      </c>
    </row>
    <row r="1972" spans="1:18" x14ac:dyDescent="0.35">
      <c r="A1972" s="3" t="s">
        <v>1993</v>
      </c>
      <c r="B1972">
        <v>0</v>
      </c>
      <c r="C1972">
        <v>0</v>
      </c>
      <c r="D1972">
        <v>34</v>
      </c>
      <c r="E1972">
        <v>0</v>
      </c>
      <c r="F1972">
        <v>10450</v>
      </c>
      <c r="G1972">
        <v>137</v>
      </c>
      <c r="H1972">
        <v>0</v>
      </c>
      <c r="I1972">
        <v>45</v>
      </c>
      <c r="J1972">
        <v>3</v>
      </c>
      <c r="K1972">
        <v>1</v>
      </c>
      <c r="L1972">
        <v>1</v>
      </c>
      <c r="M1972">
        <v>30</v>
      </c>
      <c r="N1972">
        <v>423.48</v>
      </c>
      <c r="O1972">
        <v>0</v>
      </c>
      <c r="P19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72" t="str">
        <f>IF(Table1[[#This Row],[Fraud_Score]]&gt;=6, "High Risk",IF(Table1[[#This Row],[Fraud_Score]]&gt;=3, "Medium Risk", "Low Risk"))</f>
        <v>Low Risk</v>
      </c>
      <c r="R1972">
        <f>IF(Table1[[#This Row],[Seconds of Use]]=0,0,Table1[[#This Row],[Customer Value]]/Table1[[#This Row],[Seconds of Use]]*100)</f>
        <v>4.0524401913875598</v>
      </c>
    </row>
    <row r="1973" spans="1:18" x14ac:dyDescent="0.35">
      <c r="A1973" s="3" t="s">
        <v>1994</v>
      </c>
      <c r="B1973">
        <v>0</v>
      </c>
      <c r="C1973">
        <v>0</v>
      </c>
      <c r="D1973">
        <v>34</v>
      </c>
      <c r="E1973">
        <v>0</v>
      </c>
      <c r="F1973">
        <v>5703</v>
      </c>
      <c r="G1973">
        <v>58</v>
      </c>
      <c r="H1973">
        <v>76</v>
      </c>
      <c r="I1973">
        <v>35</v>
      </c>
      <c r="J1973">
        <v>2</v>
      </c>
      <c r="K1973">
        <v>1</v>
      </c>
      <c r="L1973">
        <v>1</v>
      </c>
      <c r="M1973">
        <v>25</v>
      </c>
      <c r="N1973">
        <v>601.245</v>
      </c>
      <c r="O1973">
        <v>0</v>
      </c>
      <c r="P19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73" t="str">
        <f>IF(Table1[[#This Row],[Fraud_Score]]&gt;=6, "High Risk",IF(Table1[[#This Row],[Fraud_Score]]&gt;=3, "Medium Risk", "Low Risk"))</f>
        <v>Low Risk</v>
      </c>
      <c r="R1973">
        <f>IF(Table1[[#This Row],[Seconds of Use]]=0,0,Table1[[#This Row],[Customer Value]]/Table1[[#This Row],[Seconds of Use]]*100)</f>
        <v>10.542609153077327</v>
      </c>
    </row>
    <row r="1974" spans="1:18" x14ac:dyDescent="0.35">
      <c r="A1974" s="3" t="s">
        <v>1995</v>
      </c>
      <c r="B1974">
        <v>0</v>
      </c>
      <c r="C1974">
        <v>1</v>
      </c>
      <c r="D1974">
        <v>30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2</v>
      </c>
      <c r="K1974">
        <v>1</v>
      </c>
      <c r="L1974">
        <v>2</v>
      </c>
      <c r="M1974">
        <v>25</v>
      </c>
      <c r="N1974">
        <v>0</v>
      </c>
      <c r="O1974">
        <v>1</v>
      </c>
      <c r="P19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74" t="str">
        <f>IF(Table1[[#This Row],[Fraud_Score]]&gt;=6, "High Risk",IF(Table1[[#This Row],[Fraud_Score]]&gt;=3, "Medium Risk", "Low Risk"))</f>
        <v>Medium Risk</v>
      </c>
      <c r="R1974">
        <f>IF(Table1[[#This Row],[Seconds of Use]]=0,0,Table1[[#This Row],[Customer Value]]/Table1[[#This Row],[Seconds of Use]]*100)</f>
        <v>0</v>
      </c>
    </row>
    <row r="1975" spans="1:18" x14ac:dyDescent="0.35">
      <c r="A1975" s="3" t="s">
        <v>1996</v>
      </c>
      <c r="B1975">
        <v>10</v>
      </c>
      <c r="C1975">
        <v>0</v>
      </c>
      <c r="D1975">
        <v>33</v>
      </c>
      <c r="E1975">
        <v>6</v>
      </c>
      <c r="F1975">
        <v>9420</v>
      </c>
      <c r="G1975">
        <v>76</v>
      </c>
      <c r="H1975">
        <v>0</v>
      </c>
      <c r="I1975">
        <v>40</v>
      </c>
      <c r="J1975">
        <v>4</v>
      </c>
      <c r="K1975">
        <v>1</v>
      </c>
      <c r="L1975">
        <v>1</v>
      </c>
      <c r="M1975">
        <v>45</v>
      </c>
      <c r="N1975">
        <v>237.4</v>
      </c>
      <c r="O1975">
        <v>0</v>
      </c>
      <c r="P19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75" t="str">
        <f>IF(Table1[[#This Row],[Fraud_Score]]&gt;=6, "High Risk",IF(Table1[[#This Row],[Fraud_Score]]&gt;=3, "Medium Risk", "Low Risk"))</f>
        <v>Low Risk</v>
      </c>
      <c r="R1975">
        <f>IF(Table1[[#This Row],[Seconds of Use]]=0,0,Table1[[#This Row],[Customer Value]]/Table1[[#This Row],[Seconds of Use]]*100)</f>
        <v>2.5201698513800426</v>
      </c>
    </row>
    <row r="1976" spans="1:18" x14ac:dyDescent="0.35">
      <c r="A1976" s="3" t="s">
        <v>1997</v>
      </c>
      <c r="B1976">
        <v>2</v>
      </c>
      <c r="C1976">
        <v>1</v>
      </c>
      <c r="D1976">
        <v>33</v>
      </c>
      <c r="E1976">
        <v>0</v>
      </c>
      <c r="F1976">
        <v>4803</v>
      </c>
      <c r="G1976">
        <v>81</v>
      </c>
      <c r="H1976">
        <v>0</v>
      </c>
      <c r="I1976">
        <v>22</v>
      </c>
      <c r="J1976">
        <v>2</v>
      </c>
      <c r="K1976">
        <v>1</v>
      </c>
      <c r="L1976">
        <v>1</v>
      </c>
      <c r="M1976">
        <v>25</v>
      </c>
      <c r="N1976">
        <v>219.78</v>
      </c>
      <c r="O1976">
        <v>1</v>
      </c>
      <c r="P19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76" t="str">
        <f>IF(Table1[[#This Row],[Fraud_Score]]&gt;=6, "High Risk",IF(Table1[[#This Row],[Fraud_Score]]&gt;=3, "Medium Risk", "Low Risk"))</f>
        <v>Medium Risk</v>
      </c>
      <c r="R1976">
        <f>IF(Table1[[#This Row],[Seconds of Use]]=0,0,Table1[[#This Row],[Customer Value]]/Table1[[#This Row],[Seconds of Use]]*100)</f>
        <v>4.5758900687070581</v>
      </c>
    </row>
    <row r="1977" spans="1:18" x14ac:dyDescent="0.35">
      <c r="A1977" s="3" t="s">
        <v>1998</v>
      </c>
      <c r="B1977">
        <v>0</v>
      </c>
      <c r="C1977">
        <v>0</v>
      </c>
      <c r="D1977">
        <v>31</v>
      </c>
      <c r="E1977">
        <v>0</v>
      </c>
      <c r="F1977">
        <v>1825</v>
      </c>
      <c r="G1977">
        <v>5</v>
      </c>
      <c r="H1977">
        <v>0</v>
      </c>
      <c r="I1977">
        <v>12</v>
      </c>
      <c r="J1977">
        <v>3</v>
      </c>
      <c r="K1977">
        <v>1</v>
      </c>
      <c r="L1977">
        <v>1</v>
      </c>
      <c r="M1977">
        <v>30</v>
      </c>
      <c r="N1977">
        <v>73.2</v>
      </c>
      <c r="O1977">
        <v>0</v>
      </c>
      <c r="P19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77" t="str">
        <f>IF(Table1[[#This Row],[Fraud_Score]]&gt;=6, "High Risk",IF(Table1[[#This Row],[Fraud_Score]]&gt;=3, "Medium Risk", "Low Risk"))</f>
        <v>Low Risk</v>
      </c>
      <c r="R1977">
        <f>IF(Table1[[#This Row],[Seconds of Use]]=0,0,Table1[[#This Row],[Customer Value]]/Table1[[#This Row],[Seconds of Use]]*100)</f>
        <v>4.0109589041095894</v>
      </c>
    </row>
    <row r="1978" spans="1:18" x14ac:dyDescent="0.35">
      <c r="A1978" s="3" t="s">
        <v>1999</v>
      </c>
      <c r="B1978">
        <v>0</v>
      </c>
      <c r="C1978">
        <v>0</v>
      </c>
      <c r="D1978">
        <v>32</v>
      </c>
      <c r="E1978">
        <v>0</v>
      </c>
      <c r="F1978">
        <v>1975</v>
      </c>
      <c r="G1978">
        <v>24</v>
      </c>
      <c r="H1978">
        <v>0</v>
      </c>
      <c r="I1978">
        <v>14</v>
      </c>
      <c r="J1978">
        <v>2</v>
      </c>
      <c r="K1978">
        <v>1</v>
      </c>
      <c r="L1978">
        <v>2</v>
      </c>
      <c r="M1978">
        <v>25</v>
      </c>
      <c r="N1978">
        <v>89.954999999999998</v>
      </c>
      <c r="O1978">
        <v>1</v>
      </c>
      <c r="P19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78" t="str">
        <f>IF(Table1[[#This Row],[Fraud_Score]]&gt;=6, "High Risk",IF(Table1[[#This Row],[Fraud_Score]]&gt;=3, "Medium Risk", "Low Risk"))</f>
        <v>Low Risk</v>
      </c>
      <c r="R1978">
        <f>IF(Table1[[#This Row],[Seconds of Use]]=0,0,Table1[[#This Row],[Customer Value]]/Table1[[#This Row],[Seconds of Use]]*100)</f>
        <v>4.5546835443037974</v>
      </c>
    </row>
    <row r="1979" spans="1:18" x14ac:dyDescent="0.35">
      <c r="A1979" s="3" t="s">
        <v>2000</v>
      </c>
      <c r="B1979">
        <v>0</v>
      </c>
      <c r="C1979">
        <v>0</v>
      </c>
      <c r="D1979">
        <v>33</v>
      </c>
      <c r="E1979">
        <v>0</v>
      </c>
      <c r="F1979">
        <v>1253</v>
      </c>
      <c r="G1979">
        <v>27</v>
      </c>
      <c r="H1979">
        <v>2</v>
      </c>
      <c r="I1979">
        <v>29</v>
      </c>
      <c r="J1979">
        <v>3</v>
      </c>
      <c r="K1979">
        <v>1</v>
      </c>
      <c r="L1979">
        <v>2</v>
      </c>
      <c r="M1979">
        <v>30</v>
      </c>
      <c r="N1979">
        <v>59.2</v>
      </c>
      <c r="O1979">
        <v>1</v>
      </c>
      <c r="P19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79" t="str">
        <f>IF(Table1[[#This Row],[Fraud_Score]]&gt;=6, "High Risk",IF(Table1[[#This Row],[Fraud_Score]]&gt;=3, "Medium Risk", "Low Risk"))</f>
        <v>Low Risk</v>
      </c>
      <c r="R1979">
        <f>IF(Table1[[#This Row],[Seconds of Use]]=0,0,Table1[[#This Row],[Customer Value]]/Table1[[#This Row],[Seconds of Use]]*100)</f>
        <v>4.7246608140462891</v>
      </c>
    </row>
    <row r="1980" spans="1:18" x14ac:dyDescent="0.35">
      <c r="A1980" s="3" t="s">
        <v>2001</v>
      </c>
      <c r="B1980">
        <v>0</v>
      </c>
      <c r="C1980">
        <v>1</v>
      </c>
      <c r="D1980">
        <v>33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</v>
      </c>
      <c r="K1980">
        <v>1</v>
      </c>
      <c r="L1980">
        <v>2</v>
      </c>
      <c r="M1980">
        <v>25</v>
      </c>
      <c r="N1980">
        <v>0</v>
      </c>
      <c r="O1980">
        <v>1</v>
      </c>
      <c r="P19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80" t="str">
        <f>IF(Table1[[#This Row],[Fraud_Score]]&gt;=6, "High Risk",IF(Table1[[#This Row],[Fraud_Score]]&gt;=3, "Medium Risk", "Low Risk"))</f>
        <v>Medium Risk</v>
      </c>
      <c r="R1980">
        <f>IF(Table1[[#This Row],[Seconds of Use]]=0,0,Table1[[#This Row],[Customer Value]]/Table1[[#This Row],[Seconds of Use]]*100)</f>
        <v>0</v>
      </c>
    </row>
    <row r="1981" spans="1:18" x14ac:dyDescent="0.35">
      <c r="A1981" s="3" t="s">
        <v>2002</v>
      </c>
      <c r="B1981">
        <v>0</v>
      </c>
      <c r="C1981">
        <v>0</v>
      </c>
      <c r="D1981">
        <v>33</v>
      </c>
      <c r="E1981">
        <v>0</v>
      </c>
      <c r="F1981">
        <v>653</v>
      </c>
      <c r="G1981">
        <v>8</v>
      </c>
      <c r="H1981">
        <v>0</v>
      </c>
      <c r="I1981">
        <v>4</v>
      </c>
      <c r="J1981">
        <v>3</v>
      </c>
      <c r="K1981">
        <v>1</v>
      </c>
      <c r="L1981">
        <v>1</v>
      </c>
      <c r="M1981">
        <v>30</v>
      </c>
      <c r="N1981">
        <v>26.44</v>
      </c>
      <c r="O1981">
        <v>0</v>
      </c>
      <c r="P19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81" t="str">
        <f>IF(Table1[[#This Row],[Fraud_Score]]&gt;=6, "High Risk",IF(Table1[[#This Row],[Fraud_Score]]&gt;=3, "Medium Risk", "Low Risk"))</f>
        <v>Low Risk</v>
      </c>
      <c r="R1981">
        <f>IF(Table1[[#This Row],[Seconds of Use]]=0,0,Table1[[#This Row],[Customer Value]]/Table1[[#This Row],[Seconds of Use]]*100)</f>
        <v>4.0490045941807047</v>
      </c>
    </row>
    <row r="1982" spans="1:18" x14ac:dyDescent="0.35">
      <c r="A1982" s="3" t="s">
        <v>2003</v>
      </c>
      <c r="B1982">
        <v>0</v>
      </c>
      <c r="C1982">
        <v>0</v>
      </c>
      <c r="D1982">
        <v>30</v>
      </c>
      <c r="E1982">
        <v>0</v>
      </c>
      <c r="F1982">
        <v>5770</v>
      </c>
      <c r="G1982">
        <v>80</v>
      </c>
      <c r="H1982">
        <v>0</v>
      </c>
      <c r="I1982">
        <v>20</v>
      </c>
      <c r="J1982">
        <v>4</v>
      </c>
      <c r="K1982">
        <v>1</v>
      </c>
      <c r="L1982">
        <v>1</v>
      </c>
      <c r="M1982">
        <v>45</v>
      </c>
      <c r="N1982">
        <v>146.25</v>
      </c>
      <c r="O1982">
        <v>0</v>
      </c>
      <c r="P19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82" t="str">
        <f>IF(Table1[[#This Row],[Fraud_Score]]&gt;=6, "High Risk",IF(Table1[[#This Row],[Fraud_Score]]&gt;=3, "Medium Risk", "Low Risk"))</f>
        <v>Low Risk</v>
      </c>
      <c r="R1982">
        <f>IF(Table1[[#This Row],[Seconds of Use]]=0,0,Table1[[#This Row],[Customer Value]]/Table1[[#This Row],[Seconds of Use]]*100)</f>
        <v>2.5346620450606587</v>
      </c>
    </row>
    <row r="1983" spans="1:18" x14ac:dyDescent="0.35">
      <c r="A1983" s="3" t="s">
        <v>2004</v>
      </c>
      <c r="B1983">
        <v>0</v>
      </c>
      <c r="C1983">
        <v>0</v>
      </c>
      <c r="D1983">
        <v>33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3</v>
      </c>
      <c r="K1983">
        <v>1</v>
      </c>
      <c r="L1983">
        <v>2</v>
      </c>
      <c r="M1983">
        <v>30</v>
      </c>
      <c r="N1983">
        <v>0</v>
      </c>
      <c r="O1983">
        <v>1</v>
      </c>
      <c r="P19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83" t="str">
        <f>IF(Table1[[#This Row],[Fraud_Score]]&gt;=6, "High Risk",IF(Table1[[#This Row],[Fraud_Score]]&gt;=3, "Medium Risk", "Low Risk"))</f>
        <v>Low Risk</v>
      </c>
      <c r="R1983">
        <f>IF(Table1[[#This Row],[Seconds of Use]]=0,0,Table1[[#This Row],[Customer Value]]/Table1[[#This Row],[Seconds of Use]]*100)</f>
        <v>0</v>
      </c>
    </row>
    <row r="1984" spans="1:18" x14ac:dyDescent="0.35">
      <c r="A1984" s="3" t="s">
        <v>2005</v>
      </c>
      <c r="B1984">
        <v>0</v>
      </c>
      <c r="C1984">
        <v>0</v>
      </c>
      <c r="D1984">
        <v>33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4</v>
      </c>
      <c r="K1984">
        <v>1</v>
      </c>
      <c r="L1984">
        <v>1</v>
      </c>
      <c r="M1984">
        <v>45</v>
      </c>
      <c r="N1984">
        <v>0</v>
      </c>
      <c r="O1984">
        <v>0</v>
      </c>
      <c r="P19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84" t="str">
        <f>IF(Table1[[#This Row],[Fraud_Score]]&gt;=6, "High Risk",IF(Table1[[#This Row],[Fraud_Score]]&gt;=3, "Medium Risk", "Low Risk"))</f>
        <v>Low Risk</v>
      </c>
      <c r="R1984">
        <f>IF(Table1[[#This Row],[Seconds of Use]]=0,0,Table1[[#This Row],[Customer Value]]/Table1[[#This Row],[Seconds of Use]]*100)</f>
        <v>0</v>
      </c>
    </row>
    <row r="1985" spans="1:18" x14ac:dyDescent="0.35">
      <c r="A1985" s="3" t="s">
        <v>2006</v>
      </c>
      <c r="B1985">
        <v>14</v>
      </c>
      <c r="C1985">
        <v>0</v>
      </c>
      <c r="D1985">
        <v>28</v>
      </c>
      <c r="E1985">
        <v>1</v>
      </c>
      <c r="F1985">
        <v>15060</v>
      </c>
      <c r="G1985">
        <v>221</v>
      </c>
      <c r="H1985">
        <v>0</v>
      </c>
      <c r="I1985">
        <v>78</v>
      </c>
      <c r="J1985">
        <v>2</v>
      </c>
      <c r="K1985">
        <v>1</v>
      </c>
      <c r="L1985">
        <v>1</v>
      </c>
      <c r="M1985">
        <v>25</v>
      </c>
      <c r="N1985">
        <v>687.64499999999998</v>
      </c>
      <c r="O1985">
        <v>0</v>
      </c>
      <c r="P19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1985" t="str">
        <f>IF(Table1[[#This Row],[Fraud_Score]]&gt;=6, "High Risk",IF(Table1[[#This Row],[Fraud_Score]]&gt;=3, "Medium Risk", "Low Risk"))</f>
        <v>Medium Risk</v>
      </c>
      <c r="R1985">
        <f>IF(Table1[[#This Row],[Seconds of Use]]=0,0,Table1[[#This Row],[Customer Value]]/Table1[[#This Row],[Seconds of Use]]*100)</f>
        <v>4.5660358565737056</v>
      </c>
    </row>
    <row r="1986" spans="1:18" x14ac:dyDescent="0.35">
      <c r="A1986" s="3" t="s">
        <v>2007</v>
      </c>
      <c r="B1986">
        <v>0</v>
      </c>
      <c r="C1986">
        <v>0</v>
      </c>
      <c r="D1986">
        <v>31</v>
      </c>
      <c r="E1986">
        <v>1</v>
      </c>
      <c r="F1986">
        <v>5950</v>
      </c>
      <c r="G1986">
        <v>99</v>
      </c>
      <c r="H1986">
        <v>239</v>
      </c>
      <c r="I1986">
        <v>31</v>
      </c>
      <c r="J1986">
        <v>2</v>
      </c>
      <c r="K1986">
        <v>2</v>
      </c>
      <c r="L1986">
        <v>1</v>
      </c>
      <c r="M1986">
        <v>25</v>
      </c>
      <c r="N1986">
        <v>1347.7049999999999</v>
      </c>
      <c r="O1986">
        <v>0</v>
      </c>
      <c r="P19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86" t="str">
        <f>IF(Table1[[#This Row],[Fraud_Score]]&gt;=6, "High Risk",IF(Table1[[#This Row],[Fraud_Score]]&gt;=3, "Medium Risk", "Low Risk"))</f>
        <v>Low Risk</v>
      </c>
      <c r="R1986">
        <f>IF(Table1[[#This Row],[Seconds of Use]]=0,0,Table1[[#This Row],[Customer Value]]/Table1[[#This Row],[Seconds of Use]]*100)</f>
        <v>22.650504201680672</v>
      </c>
    </row>
    <row r="1987" spans="1:18" x14ac:dyDescent="0.35">
      <c r="A1987" s="3" t="s">
        <v>2008</v>
      </c>
      <c r="B1987">
        <v>0</v>
      </c>
      <c r="C1987">
        <v>0</v>
      </c>
      <c r="D1987">
        <v>33</v>
      </c>
      <c r="E1987">
        <v>0</v>
      </c>
      <c r="F1987">
        <v>2703</v>
      </c>
      <c r="G1987">
        <v>65</v>
      </c>
      <c r="H1987">
        <v>0</v>
      </c>
      <c r="I1987">
        <v>26</v>
      </c>
      <c r="J1987">
        <v>2</v>
      </c>
      <c r="K1987">
        <v>1</v>
      </c>
      <c r="L1987">
        <v>1</v>
      </c>
      <c r="M1987">
        <v>25</v>
      </c>
      <c r="N1987">
        <v>124.56</v>
      </c>
      <c r="O1987">
        <v>0</v>
      </c>
      <c r="P19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87" t="str">
        <f>IF(Table1[[#This Row],[Fraud_Score]]&gt;=6, "High Risk",IF(Table1[[#This Row],[Fraud_Score]]&gt;=3, "Medium Risk", "Low Risk"))</f>
        <v>Low Risk</v>
      </c>
      <c r="R1987">
        <f>IF(Table1[[#This Row],[Seconds of Use]]=0,0,Table1[[#This Row],[Customer Value]]/Table1[[#This Row],[Seconds of Use]]*100)</f>
        <v>4.6082130965593784</v>
      </c>
    </row>
    <row r="1988" spans="1:18" x14ac:dyDescent="0.35">
      <c r="A1988" s="3" t="s">
        <v>2009</v>
      </c>
      <c r="B1988">
        <v>0</v>
      </c>
      <c r="C1988">
        <v>0</v>
      </c>
      <c r="D1988">
        <v>32</v>
      </c>
      <c r="E1988">
        <v>0</v>
      </c>
      <c r="F1988">
        <v>650</v>
      </c>
      <c r="G1988">
        <v>27</v>
      </c>
      <c r="H1988">
        <v>6</v>
      </c>
      <c r="I1988">
        <v>18</v>
      </c>
      <c r="J1988">
        <v>3</v>
      </c>
      <c r="K1988">
        <v>1</v>
      </c>
      <c r="L1988">
        <v>2</v>
      </c>
      <c r="M1988">
        <v>30</v>
      </c>
      <c r="N1988">
        <v>51.08</v>
      </c>
      <c r="O1988">
        <v>0</v>
      </c>
      <c r="P19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88" t="str">
        <f>IF(Table1[[#This Row],[Fraud_Score]]&gt;=6, "High Risk",IF(Table1[[#This Row],[Fraud_Score]]&gt;=3, "Medium Risk", "Low Risk"))</f>
        <v>Low Risk</v>
      </c>
      <c r="R1988">
        <f>IF(Table1[[#This Row],[Seconds of Use]]=0,0,Table1[[#This Row],[Customer Value]]/Table1[[#This Row],[Seconds of Use]]*100)</f>
        <v>7.8584615384615377</v>
      </c>
    </row>
    <row r="1989" spans="1:18" x14ac:dyDescent="0.35">
      <c r="A1989" s="3" t="s">
        <v>2010</v>
      </c>
      <c r="B1989">
        <v>0</v>
      </c>
      <c r="C1989">
        <v>0</v>
      </c>
      <c r="D1989">
        <v>33</v>
      </c>
      <c r="E1989">
        <v>0</v>
      </c>
      <c r="F1989">
        <v>1765</v>
      </c>
      <c r="G1989">
        <v>36</v>
      </c>
      <c r="H1989">
        <v>143</v>
      </c>
      <c r="I1989">
        <v>21</v>
      </c>
      <c r="J1989">
        <v>2</v>
      </c>
      <c r="K1989">
        <v>1</v>
      </c>
      <c r="L1989">
        <v>1</v>
      </c>
      <c r="M1989">
        <v>25</v>
      </c>
      <c r="N1989">
        <v>724.54499999999996</v>
      </c>
      <c r="O1989">
        <v>0</v>
      </c>
      <c r="P19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89" t="str">
        <f>IF(Table1[[#This Row],[Fraud_Score]]&gt;=6, "High Risk",IF(Table1[[#This Row],[Fraud_Score]]&gt;=3, "Medium Risk", "Low Risk"))</f>
        <v>Low Risk</v>
      </c>
      <c r="R1989">
        <f>IF(Table1[[#This Row],[Seconds of Use]]=0,0,Table1[[#This Row],[Customer Value]]/Table1[[#This Row],[Seconds of Use]]*100)</f>
        <v>41.050708215297448</v>
      </c>
    </row>
    <row r="1990" spans="1:18" x14ac:dyDescent="0.35">
      <c r="A1990" s="3" t="s">
        <v>2011</v>
      </c>
      <c r="B1990">
        <v>0</v>
      </c>
      <c r="C1990">
        <v>0</v>
      </c>
      <c r="D1990">
        <v>24</v>
      </c>
      <c r="E1990">
        <v>0</v>
      </c>
      <c r="F1990">
        <v>300</v>
      </c>
      <c r="G1990">
        <v>19</v>
      </c>
      <c r="H1990">
        <v>161</v>
      </c>
      <c r="I1990">
        <v>9</v>
      </c>
      <c r="J1990">
        <v>2</v>
      </c>
      <c r="K1990">
        <v>2</v>
      </c>
      <c r="L1990">
        <v>1</v>
      </c>
      <c r="M1990">
        <v>25</v>
      </c>
      <c r="N1990">
        <v>738.85500000000002</v>
      </c>
      <c r="O1990">
        <v>0</v>
      </c>
      <c r="P19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90" t="str">
        <f>IF(Table1[[#This Row],[Fraud_Score]]&gt;=6, "High Risk",IF(Table1[[#This Row],[Fraud_Score]]&gt;=3, "Medium Risk", "Low Risk"))</f>
        <v>Low Risk</v>
      </c>
      <c r="R1990">
        <f>IF(Table1[[#This Row],[Seconds of Use]]=0,0,Table1[[#This Row],[Customer Value]]/Table1[[#This Row],[Seconds of Use]]*100)</f>
        <v>246.285</v>
      </c>
    </row>
    <row r="1991" spans="1:18" x14ac:dyDescent="0.35">
      <c r="A1991" s="3" t="s">
        <v>2012</v>
      </c>
      <c r="B1991">
        <v>0</v>
      </c>
      <c r="C1991">
        <v>0</v>
      </c>
      <c r="D1991">
        <v>23</v>
      </c>
      <c r="E1991">
        <v>0</v>
      </c>
      <c r="F1991">
        <v>553</v>
      </c>
      <c r="G1991">
        <v>22</v>
      </c>
      <c r="H1991">
        <v>0</v>
      </c>
      <c r="I1991">
        <v>66</v>
      </c>
      <c r="J1991">
        <v>4</v>
      </c>
      <c r="K1991">
        <v>1</v>
      </c>
      <c r="L1991">
        <v>1</v>
      </c>
      <c r="M1991">
        <v>45</v>
      </c>
      <c r="N1991">
        <v>14.375</v>
      </c>
      <c r="O1991">
        <v>0</v>
      </c>
      <c r="P19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1991" t="str">
        <f>IF(Table1[[#This Row],[Fraud_Score]]&gt;=6, "High Risk",IF(Table1[[#This Row],[Fraud_Score]]&gt;=3, "Medium Risk", "Low Risk"))</f>
        <v>Low Risk</v>
      </c>
      <c r="R1991">
        <f>IF(Table1[[#This Row],[Seconds of Use]]=0,0,Table1[[#This Row],[Customer Value]]/Table1[[#This Row],[Seconds of Use]]*100)</f>
        <v>2.5994575045207959</v>
      </c>
    </row>
    <row r="1992" spans="1:18" x14ac:dyDescent="0.35">
      <c r="A1992" s="3" t="s">
        <v>2013</v>
      </c>
      <c r="B1992">
        <v>0</v>
      </c>
      <c r="C1992">
        <v>0</v>
      </c>
      <c r="D1992">
        <v>24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1</v>
      </c>
      <c r="L1992">
        <v>2</v>
      </c>
      <c r="M1992">
        <v>25</v>
      </c>
      <c r="N1992">
        <v>0</v>
      </c>
      <c r="O1992">
        <v>0</v>
      </c>
      <c r="P19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92" t="str">
        <f>IF(Table1[[#This Row],[Fraud_Score]]&gt;=6, "High Risk",IF(Table1[[#This Row],[Fraud_Score]]&gt;=3, "Medium Risk", "Low Risk"))</f>
        <v>Low Risk</v>
      </c>
      <c r="R1992">
        <f>IF(Table1[[#This Row],[Seconds of Use]]=0,0,Table1[[#This Row],[Customer Value]]/Table1[[#This Row],[Seconds of Use]]*100)</f>
        <v>0</v>
      </c>
    </row>
    <row r="1993" spans="1:18" x14ac:dyDescent="0.35">
      <c r="A1993" s="3" t="s">
        <v>2014</v>
      </c>
      <c r="B1993">
        <v>0</v>
      </c>
      <c r="C1993">
        <v>0</v>
      </c>
      <c r="D1993">
        <v>23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4</v>
      </c>
      <c r="K1993">
        <v>1</v>
      </c>
      <c r="L1993">
        <v>2</v>
      </c>
      <c r="M1993">
        <v>45</v>
      </c>
      <c r="N1993">
        <v>0</v>
      </c>
      <c r="O1993">
        <v>0</v>
      </c>
      <c r="P19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93" t="str">
        <f>IF(Table1[[#This Row],[Fraud_Score]]&gt;=6, "High Risk",IF(Table1[[#This Row],[Fraud_Score]]&gt;=3, "Medium Risk", "Low Risk"))</f>
        <v>Low Risk</v>
      </c>
      <c r="R1993">
        <f>IF(Table1[[#This Row],[Seconds of Use]]=0,0,Table1[[#This Row],[Customer Value]]/Table1[[#This Row],[Seconds of Use]]*100)</f>
        <v>0</v>
      </c>
    </row>
    <row r="1994" spans="1:18" x14ac:dyDescent="0.35">
      <c r="A1994" s="3" t="s">
        <v>2015</v>
      </c>
      <c r="B1994">
        <v>0</v>
      </c>
      <c r="C1994">
        <v>0</v>
      </c>
      <c r="D1994">
        <v>22</v>
      </c>
      <c r="E1994">
        <v>0</v>
      </c>
      <c r="F1994">
        <v>210</v>
      </c>
      <c r="G1994">
        <v>15</v>
      </c>
      <c r="H1994">
        <v>0</v>
      </c>
      <c r="I1994">
        <v>11</v>
      </c>
      <c r="J1994">
        <v>2</v>
      </c>
      <c r="K1994">
        <v>1</v>
      </c>
      <c r="L1994">
        <v>1</v>
      </c>
      <c r="M1994">
        <v>25</v>
      </c>
      <c r="N1994">
        <v>10.125</v>
      </c>
      <c r="O1994">
        <v>0</v>
      </c>
      <c r="P19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94" t="str">
        <f>IF(Table1[[#This Row],[Fraud_Score]]&gt;=6, "High Risk",IF(Table1[[#This Row],[Fraud_Score]]&gt;=3, "Medium Risk", "Low Risk"))</f>
        <v>Low Risk</v>
      </c>
      <c r="R1994">
        <f>IF(Table1[[#This Row],[Seconds of Use]]=0,0,Table1[[#This Row],[Customer Value]]/Table1[[#This Row],[Seconds of Use]]*100)</f>
        <v>4.8214285714285721</v>
      </c>
    </row>
    <row r="1995" spans="1:18" x14ac:dyDescent="0.35">
      <c r="A1995" s="3" t="s">
        <v>2016</v>
      </c>
      <c r="B1995">
        <v>0</v>
      </c>
      <c r="C1995">
        <v>0</v>
      </c>
      <c r="D1995">
        <v>22</v>
      </c>
      <c r="E1995">
        <v>0</v>
      </c>
      <c r="F1995">
        <v>2210</v>
      </c>
      <c r="G1995">
        <v>44</v>
      </c>
      <c r="H1995">
        <v>0</v>
      </c>
      <c r="I1995">
        <v>21</v>
      </c>
      <c r="J1995">
        <v>3</v>
      </c>
      <c r="K1995">
        <v>1</v>
      </c>
      <c r="L1995">
        <v>1</v>
      </c>
      <c r="M1995">
        <v>30</v>
      </c>
      <c r="N1995">
        <v>90.16</v>
      </c>
      <c r="O1995">
        <v>0</v>
      </c>
      <c r="P19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95" t="str">
        <f>IF(Table1[[#This Row],[Fraud_Score]]&gt;=6, "High Risk",IF(Table1[[#This Row],[Fraud_Score]]&gt;=3, "Medium Risk", "Low Risk"))</f>
        <v>Low Risk</v>
      </c>
      <c r="R1995">
        <f>IF(Table1[[#This Row],[Seconds of Use]]=0,0,Table1[[#This Row],[Customer Value]]/Table1[[#This Row],[Seconds of Use]]*100)</f>
        <v>4.0796380090497735</v>
      </c>
    </row>
    <row r="1996" spans="1:18" x14ac:dyDescent="0.35">
      <c r="A1996" s="3" t="s">
        <v>2017</v>
      </c>
      <c r="B1996">
        <v>0</v>
      </c>
      <c r="C1996">
        <v>0</v>
      </c>
      <c r="D1996">
        <v>15</v>
      </c>
      <c r="E1996">
        <v>0</v>
      </c>
      <c r="F1996">
        <v>680</v>
      </c>
      <c r="G1996">
        <v>9</v>
      </c>
      <c r="H1996">
        <v>0</v>
      </c>
      <c r="I1996">
        <v>12</v>
      </c>
      <c r="J1996">
        <v>2</v>
      </c>
      <c r="K1996">
        <v>1</v>
      </c>
      <c r="L1996">
        <v>1</v>
      </c>
      <c r="M1996">
        <v>25</v>
      </c>
      <c r="N1996">
        <v>31.004999999999999</v>
      </c>
      <c r="O1996">
        <v>0</v>
      </c>
      <c r="P19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96" t="str">
        <f>IF(Table1[[#This Row],[Fraud_Score]]&gt;=6, "High Risk",IF(Table1[[#This Row],[Fraud_Score]]&gt;=3, "Medium Risk", "Low Risk"))</f>
        <v>Low Risk</v>
      </c>
      <c r="R1996">
        <f>IF(Table1[[#This Row],[Seconds of Use]]=0,0,Table1[[#This Row],[Customer Value]]/Table1[[#This Row],[Seconds of Use]]*100)</f>
        <v>4.5595588235294118</v>
      </c>
    </row>
    <row r="1997" spans="1:18" x14ac:dyDescent="0.35">
      <c r="A1997" s="3" t="s">
        <v>2018</v>
      </c>
      <c r="B1997">
        <v>5</v>
      </c>
      <c r="C1997">
        <v>0</v>
      </c>
      <c r="D1997">
        <v>14</v>
      </c>
      <c r="E1997">
        <v>0</v>
      </c>
      <c r="F1997">
        <v>5377</v>
      </c>
      <c r="G1997">
        <v>124</v>
      </c>
      <c r="H1997">
        <v>53</v>
      </c>
      <c r="I1997">
        <v>40</v>
      </c>
      <c r="J1997">
        <v>1</v>
      </c>
      <c r="K1997">
        <v>2</v>
      </c>
      <c r="L1997">
        <v>1</v>
      </c>
      <c r="M1997">
        <v>15</v>
      </c>
      <c r="N1997">
        <v>594.05499999999995</v>
      </c>
      <c r="O1997">
        <v>0</v>
      </c>
      <c r="P19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1997" t="str">
        <f>IF(Table1[[#This Row],[Fraud_Score]]&gt;=6, "High Risk",IF(Table1[[#This Row],[Fraud_Score]]&gt;=3, "Medium Risk", "Low Risk"))</f>
        <v>Low Risk</v>
      </c>
      <c r="R1997">
        <f>IF(Table1[[#This Row],[Seconds of Use]]=0,0,Table1[[#This Row],[Customer Value]]/Table1[[#This Row],[Seconds of Use]]*100)</f>
        <v>11.04807513483355</v>
      </c>
    </row>
    <row r="1998" spans="1:18" x14ac:dyDescent="0.35">
      <c r="A1998" s="3" t="s">
        <v>2019</v>
      </c>
      <c r="B1998">
        <v>1</v>
      </c>
      <c r="C1998">
        <v>0</v>
      </c>
      <c r="D1998">
        <v>12</v>
      </c>
      <c r="E1998">
        <v>0</v>
      </c>
      <c r="F1998">
        <v>7917</v>
      </c>
      <c r="G1998">
        <v>154</v>
      </c>
      <c r="H1998">
        <v>41</v>
      </c>
      <c r="I1998">
        <v>38</v>
      </c>
      <c r="J1998">
        <v>4</v>
      </c>
      <c r="K1998">
        <v>1</v>
      </c>
      <c r="L1998">
        <v>1</v>
      </c>
      <c r="M1998">
        <v>45</v>
      </c>
      <c r="N1998">
        <v>304.27499999999998</v>
      </c>
      <c r="O1998">
        <v>0</v>
      </c>
      <c r="P19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1998" t="str">
        <f>IF(Table1[[#This Row],[Fraud_Score]]&gt;=6, "High Risk",IF(Table1[[#This Row],[Fraud_Score]]&gt;=3, "Medium Risk", "Low Risk"))</f>
        <v>Medium Risk</v>
      </c>
      <c r="R1998">
        <f>IF(Table1[[#This Row],[Seconds of Use]]=0,0,Table1[[#This Row],[Customer Value]]/Table1[[#This Row],[Seconds of Use]]*100)</f>
        <v>3.8433118605532397</v>
      </c>
    </row>
    <row r="1999" spans="1:18" x14ac:dyDescent="0.35">
      <c r="A1999" s="3" t="s">
        <v>2020</v>
      </c>
      <c r="B1999">
        <v>0</v>
      </c>
      <c r="C1999">
        <v>0</v>
      </c>
      <c r="D1999">
        <v>13</v>
      </c>
      <c r="E1999">
        <v>1</v>
      </c>
      <c r="F1999">
        <v>1837</v>
      </c>
      <c r="G1999">
        <v>28</v>
      </c>
      <c r="H1999">
        <v>0</v>
      </c>
      <c r="I1999">
        <v>17</v>
      </c>
      <c r="J1999">
        <v>3</v>
      </c>
      <c r="K1999">
        <v>1</v>
      </c>
      <c r="L1999">
        <v>1</v>
      </c>
      <c r="M1999">
        <v>30</v>
      </c>
      <c r="N1999">
        <v>74.599999999999994</v>
      </c>
      <c r="O1999">
        <v>0</v>
      </c>
      <c r="P19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1999" t="str">
        <f>IF(Table1[[#This Row],[Fraud_Score]]&gt;=6, "High Risk",IF(Table1[[#This Row],[Fraud_Score]]&gt;=3, "Medium Risk", "Low Risk"))</f>
        <v>Low Risk</v>
      </c>
      <c r="R1999">
        <f>IF(Table1[[#This Row],[Seconds of Use]]=0,0,Table1[[#This Row],[Customer Value]]/Table1[[#This Row],[Seconds of Use]]*100)</f>
        <v>4.0609689711486121</v>
      </c>
    </row>
    <row r="2000" spans="1:18" x14ac:dyDescent="0.35">
      <c r="A2000" s="3" t="s">
        <v>2021</v>
      </c>
      <c r="B2000">
        <v>0</v>
      </c>
      <c r="C2000">
        <v>0</v>
      </c>
      <c r="D2000">
        <v>6</v>
      </c>
      <c r="E2000">
        <v>0</v>
      </c>
      <c r="F2000">
        <v>3375</v>
      </c>
      <c r="G2000">
        <v>23</v>
      </c>
      <c r="H2000">
        <v>183</v>
      </c>
      <c r="I2000">
        <v>8</v>
      </c>
      <c r="J2000">
        <v>3</v>
      </c>
      <c r="K2000">
        <v>1</v>
      </c>
      <c r="L2000">
        <v>1</v>
      </c>
      <c r="M2000">
        <v>30</v>
      </c>
      <c r="N2000">
        <v>867.92</v>
      </c>
      <c r="O2000">
        <v>0</v>
      </c>
      <c r="P20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0" t="str">
        <f>IF(Table1[[#This Row],[Fraud_Score]]&gt;=6, "High Risk",IF(Table1[[#This Row],[Fraud_Score]]&gt;=3, "Medium Risk", "Low Risk"))</f>
        <v>Low Risk</v>
      </c>
      <c r="R2000">
        <f>IF(Table1[[#This Row],[Seconds of Use]]=0,0,Table1[[#This Row],[Customer Value]]/Table1[[#This Row],[Seconds of Use]]*100)</f>
        <v>25.71614814814815</v>
      </c>
    </row>
    <row r="2001" spans="1:18" x14ac:dyDescent="0.35">
      <c r="A2001" s="3" t="s">
        <v>2022</v>
      </c>
      <c r="B2001">
        <v>0</v>
      </c>
      <c r="C2001">
        <v>0</v>
      </c>
      <c r="D2001">
        <v>6</v>
      </c>
      <c r="E2001">
        <v>0</v>
      </c>
      <c r="F2001">
        <v>472</v>
      </c>
      <c r="G2001">
        <v>2</v>
      </c>
      <c r="H2001">
        <v>0</v>
      </c>
      <c r="I2001">
        <v>5</v>
      </c>
      <c r="J2001">
        <v>2</v>
      </c>
      <c r="K2001">
        <v>1</v>
      </c>
      <c r="L2001">
        <v>1</v>
      </c>
      <c r="M2001">
        <v>25</v>
      </c>
      <c r="N2001">
        <v>21.33</v>
      </c>
      <c r="O2001">
        <v>1</v>
      </c>
      <c r="P20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1" t="str">
        <f>IF(Table1[[#This Row],[Fraud_Score]]&gt;=6, "High Risk",IF(Table1[[#This Row],[Fraud_Score]]&gt;=3, "Medium Risk", "Low Risk"))</f>
        <v>Low Risk</v>
      </c>
      <c r="R2001">
        <f>IF(Table1[[#This Row],[Seconds of Use]]=0,0,Table1[[#This Row],[Customer Value]]/Table1[[#This Row],[Seconds of Use]]*100)</f>
        <v>4.5190677966101687</v>
      </c>
    </row>
    <row r="2002" spans="1:18" x14ac:dyDescent="0.35">
      <c r="A2002" s="3" t="s">
        <v>2023</v>
      </c>
      <c r="B2002">
        <v>3</v>
      </c>
      <c r="C2002">
        <v>0</v>
      </c>
      <c r="D2002">
        <v>36</v>
      </c>
      <c r="E2002">
        <v>0</v>
      </c>
      <c r="F2002">
        <v>4065</v>
      </c>
      <c r="G2002">
        <v>65</v>
      </c>
      <c r="H2002">
        <v>0</v>
      </c>
      <c r="I2002">
        <v>15</v>
      </c>
      <c r="J2002">
        <v>2</v>
      </c>
      <c r="K2002">
        <v>1</v>
      </c>
      <c r="L2002">
        <v>1</v>
      </c>
      <c r="M2002">
        <v>25</v>
      </c>
      <c r="N2002">
        <v>185.85</v>
      </c>
      <c r="O2002">
        <v>0</v>
      </c>
      <c r="P20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2" t="str">
        <f>IF(Table1[[#This Row],[Fraud_Score]]&gt;=6, "High Risk",IF(Table1[[#This Row],[Fraud_Score]]&gt;=3, "Medium Risk", "Low Risk"))</f>
        <v>Low Risk</v>
      </c>
      <c r="R2002">
        <f>IF(Table1[[#This Row],[Seconds of Use]]=0,0,Table1[[#This Row],[Customer Value]]/Table1[[#This Row],[Seconds of Use]]*100)</f>
        <v>4.5719557195571952</v>
      </c>
    </row>
    <row r="2003" spans="1:18" x14ac:dyDescent="0.35">
      <c r="A2003" s="3" t="s">
        <v>2024</v>
      </c>
      <c r="B2003">
        <v>0</v>
      </c>
      <c r="C2003">
        <v>0</v>
      </c>
      <c r="D2003">
        <v>37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2</v>
      </c>
      <c r="K2003">
        <v>1</v>
      </c>
      <c r="L2003">
        <v>2</v>
      </c>
      <c r="M2003">
        <v>25</v>
      </c>
      <c r="N2003">
        <v>0</v>
      </c>
      <c r="O2003">
        <v>0</v>
      </c>
      <c r="P20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3" t="str">
        <f>IF(Table1[[#This Row],[Fraud_Score]]&gt;=6, "High Risk",IF(Table1[[#This Row],[Fraud_Score]]&gt;=3, "Medium Risk", "Low Risk"))</f>
        <v>Low Risk</v>
      </c>
      <c r="R2003">
        <f>IF(Table1[[#This Row],[Seconds of Use]]=0,0,Table1[[#This Row],[Customer Value]]/Table1[[#This Row],[Seconds of Use]]*100)</f>
        <v>0</v>
      </c>
    </row>
    <row r="2004" spans="1:18" x14ac:dyDescent="0.35">
      <c r="A2004" s="3" t="s">
        <v>2025</v>
      </c>
      <c r="B2004">
        <v>5</v>
      </c>
      <c r="C2004">
        <v>0</v>
      </c>
      <c r="D2004">
        <v>35</v>
      </c>
      <c r="E2004">
        <v>0</v>
      </c>
      <c r="F2004">
        <v>2148</v>
      </c>
      <c r="G2004">
        <v>54</v>
      </c>
      <c r="H2004">
        <v>352</v>
      </c>
      <c r="I2004">
        <v>22</v>
      </c>
      <c r="J2004">
        <v>2</v>
      </c>
      <c r="K2004">
        <v>1</v>
      </c>
      <c r="L2004">
        <v>1</v>
      </c>
      <c r="M2004">
        <v>25</v>
      </c>
      <c r="N2004">
        <v>1683.09</v>
      </c>
      <c r="O2004">
        <v>0</v>
      </c>
      <c r="P20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4" t="str">
        <f>IF(Table1[[#This Row],[Fraud_Score]]&gt;=6, "High Risk",IF(Table1[[#This Row],[Fraud_Score]]&gt;=3, "Medium Risk", "Low Risk"))</f>
        <v>Low Risk</v>
      </c>
      <c r="R2004">
        <f>IF(Table1[[#This Row],[Seconds of Use]]=0,0,Table1[[#This Row],[Customer Value]]/Table1[[#This Row],[Seconds of Use]]*100)</f>
        <v>78.35614525139664</v>
      </c>
    </row>
    <row r="2005" spans="1:18" x14ac:dyDescent="0.35">
      <c r="A2005" s="3" t="s">
        <v>2026</v>
      </c>
      <c r="B2005">
        <v>5</v>
      </c>
      <c r="C2005">
        <v>0</v>
      </c>
      <c r="D2005">
        <v>36</v>
      </c>
      <c r="E2005">
        <v>0</v>
      </c>
      <c r="F2005">
        <v>3893</v>
      </c>
      <c r="G2005">
        <v>60</v>
      </c>
      <c r="H2005">
        <v>0</v>
      </c>
      <c r="I2005">
        <v>33</v>
      </c>
      <c r="J2005">
        <v>1</v>
      </c>
      <c r="K2005">
        <v>1</v>
      </c>
      <c r="L2005">
        <v>1</v>
      </c>
      <c r="M2005">
        <v>15</v>
      </c>
      <c r="N2005">
        <v>217.41499999999999</v>
      </c>
      <c r="O2005">
        <v>0</v>
      </c>
      <c r="P20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5" t="str">
        <f>IF(Table1[[#This Row],[Fraud_Score]]&gt;=6, "High Risk",IF(Table1[[#This Row],[Fraud_Score]]&gt;=3, "Medium Risk", "Low Risk"))</f>
        <v>Low Risk</v>
      </c>
      <c r="R2005">
        <f>IF(Table1[[#This Row],[Seconds of Use]]=0,0,Table1[[#This Row],[Customer Value]]/Table1[[#This Row],[Seconds of Use]]*100)</f>
        <v>5.5847675314667349</v>
      </c>
    </row>
    <row r="2006" spans="1:18" x14ac:dyDescent="0.35">
      <c r="A2006" s="3" t="s">
        <v>2027</v>
      </c>
      <c r="B2006">
        <v>0</v>
      </c>
      <c r="C2006">
        <v>0</v>
      </c>
      <c r="D2006">
        <v>36</v>
      </c>
      <c r="E2006">
        <v>0</v>
      </c>
      <c r="F2006">
        <v>2088</v>
      </c>
      <c r="G2006">
        <v>52</v>
      </c>
      <c r="H2006">
        <v>0</v>
      </c>
      <c r="I2006">
        <v>31</v>
      </c>
      <c r="J2006">
        <v>1</v>
      </c>
      <c r="K2006">
        <v>1</v>
      </c>
      <c r="L2006">
        <v>1</v>
      </c>
      <c r="M2006">
        <v>15</v>
      </c>
      <c r="N2006">
        <v>117.7</v>
      </c>
      <c r="O2006">
        <v>0</v>
      </c>
      <c r="P20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6" t="str">
        <f>IF(Table1[[#This Row],[Fraud_Score]]&gt;=6, "High Risk",IF(Table1[[#This Row],[Fraud_Score]]&gt;=3, "Medium Risk", "Low Risk"))</f>
        <v>Low Risk</v>
      </c>
      <c r="R2006">
        <f>IF(Table1[[#This Row],[Seconds of Use]]=0,0,Table1[[#This Row],[Customer Value]]/Table1[[#This Row],[Seconds of Use]]*100)</f>
        <v>5.6369731800766285</v>
      </c>
    </row>
    <row r="2007" spans="1:18" x14ac:dyDescent="0.35">
      <c r="A2007" s="3" t="s">
        <v>2028</v>
      </c>
      <c r="B2007">
        <v>6</v>
      </c>
      <c r="C2007">
        <v>0</v>
      </c>
      <c r="D2007">
        <v>36</v>
      </c>
      <c r="E2007">
        <v>0</v>
      </c>
      <c r="F2007">
        <v>3470</v>
      </c>
      <c r="G2007">
        <v>76</v>
      </c>
      <c r="H2007">
        <v>25</v>
      </c>
      <c r="I2007">
        <v>26</v>
      </c>
      <c r="J2007">
        <v>2</v>
      </c>
      <c r="K2007">
        <v>1</v>
      </c>
      <c r="L2007">
        <v>1</v>
      </c>
      <c r="M2007">
        <v>25</v>
      </c>
      <c r="N2007">
        <v>272.07</v>
      </c>
      <c r="O2007">
        <v>0</v>
      </c>
      <c r="P20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7" t="str">
        <f>IF(Table1[[#This Row],[Fraud_Score]]&gt;=6, "High Risk",IF(Table1[[#This Row],[Fraud_Score]]&gt;=3, "Medium Risk", "Low Risk"))</f>
        <v>Low Risk</v>
      </c>
      <c r="R2007">
        <f>IF(Table1[[#This Row],[Seconds of Use]]=0,0,Table1[[#This Row],[Customer Value]]/Table1[[#This Row],[Seconds of Use]]*100)</f>
        <v>7.8406340057636887</v>
      </c>
    </row>
    <row r="2008" spans="1:18" x14ac:dyDescent="0.35">
      <c r="A2008" s="3" t="s">
        <v>2029</v>
      </c>
      <c r="B2008">
        <v>0</v>
      </c>
      <c r="C2008">
        <v>0</v>
      </c>
      <c r="D2008">
        <v>36</v>
      </c>
      <c r="E2008">
        <v>0</v>
      </c>
      <c r="F2008">
        <v>2055</v>
      </c>
      <c r="G2008">
        <v>33</v>
      </c>
      <c r="H2008">
        <v>278</v>
      </c>
      <c r="I2008">
        <v>16</v>
      </c>
      <c r="J2008">
        <v>3</v>
      </c>
      <c r="K2008">
        <v>1</v>
      </c>
      <c r="L2008">
        <v>1</v>
      </c>
      <c r="M2008">
        <v>30</v>
      </c>
      <c r="N2008">
        <v>1195.52</v>
      </c>
      <c r="O2008">
        <v>0</v>
      </c>
      <c r="P20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08" t="str">
        <f>IF(Table1[[#This Row],[Fraud_Score]]&gt;=6, "High Risk",IF(Table1[[#This Row],[Fraud_Score]]&gt;=3, "Medium Risk", "Low Risk"))</f>
        <v>Low Risk</v>
      </c>
      <c r="R2008">
        <f>IF(Table1[[#This Row],[Seconds of Use]]=0,0,Table1[[#This Row],[Customer Value]]/Table1[[#This Row],[Seconds of Use]]*100)</f>
        <v>58.17615571776156</v>
      </c>
    </row>
    <row r="2009" spans="1:18" x14ac:dyDescent="0.35">
      <c r="A2009" s="3" t="s">
        <v>2030</v>
      </c>
      <c r="B2009">
        <v>8</v>
      </c>
      <c r="C2009">
        <v>0</v>
      </c>
      <c r="D2009">
        <v>35</v>
      </c>
      <c r="E2009">
        <v>1</v>
      </c>
      <c r="F2009">
        <v>8810</v>
      </c>
      <c r="G2009">
        <v>115</v>
      </c>
      <c r="H2009">
        <v>137</v>
      </c>
      <c r="I2009">
        <v>41</v>
      </c>
      <c r="J2009">
        <v>3</v>
      </c>
      <c r="K2009">
        <v>1</v>
      </c>
      <c r="L2009">
        <v>1</v>
      </c>
      <c r="M2009">
        <v>30</v>
      </c>
      <c r="N2009">
        <v>905</v>
      </c>
      <c r="O2009">
        <v>0</v>
      </c>
      <c r="P20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09" t="str">
        <f>IF(Table1[[#This Row],[Fraud_Score]]&gt;=6, "High Risk",IF(Table1[[#This Row],[Fraud_Score]]&gt;=3, "Medium Risk", "Low Risk"))</f>
        <v>Low Risk</v>
      </c>
      <c r="R2009">
        <f>IF(Table1[[#This Row],[Seconds of Use]]=0,0,Table1[[#This Row],[Customer Value]]/Table1[[#This Row],[Seconds of Use]]*100)</f>
        <v>10.272417707150964</v>
      </c>
    </row>
    <row r="2010" spans="1:18" x14ac:dyDescent="0.35">
      <c r="A2010" s="3" t="s">
        <v>2031</v>
      </c>
      <c r="B2010">
        <v>2</v>
      </c>
      <c r="C2010">
        <v>0</v>
      </c>
      <c r="D2010">
        <v>36</v>
      </c>
      <c r="E2010">
        <v>0</v>
      </c>
      <c r="F2010">
        <v>13468</v>
      </c>
      <c r="G2010">
        <v>163</v>
      </c>
      <c r="H2010">
        <v>0</v>
      </c>
      <c r="I2010">
        <v>42</v>
      </c>
      <c r="J2010">
        <v>3</v>
      </c>
      <c r="K2010">
        <v>1</v>
      </c>
      <c r="L2010">
        <v>1</v>
      </c>
      <c r="M2010">
        <v>30</v>
      </c>
      <c r="N2010">
        <v>545.24</v>
      </c>
      <c r="O2010">
        <v>0</v>
      </c>
      <c r="P20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10" t="str">
        <f>IF(Table1[[#This Row],[Fraud_Score]]&gt;=6, "High Risk",IF(Table1[[#This Row],[Fraud_Score]]&gt;=3, "Medium Risk", "Low Risk"))</f>
        <v>Medium Risk</v>
      </c>
      <c r="R2010">
        <f>IF(Table1[[#This Row],[Seconds of Use]]=0,0,Table1[[#This Row],[Customer Value]]/Table1[[#This Row],[Seconds of Use]]*100)</f>
        <v>4.0484110484110483</v>
      </c>
    </row>
    <row r="2011" spans="1:18" x14ac:dyDescent="0.35">
      <c r="A2011" s="3" t="s">
        <v>2032</v>
      </c>
      <c r="B2011">
        <v>2</v>
      </c>
      <c r="C2011">
        <v>0</v>
      </c>
      <c r="D2011">
        <v>36</v>
      </c>
      <c r="E2011">
        <v>0</v>
      </c>
      <c r="F2011">
        <v>4210</v>
      </c>
      <c r="G2011">
        <v>77</v>
      </c>
      <c r="H2011">
        <v>0</v>
      </c>
      <c r="I2011">
        <v>23</v>
      </c>
      <c r="J2011">
        <v>3</v>
      </c>
      <c r="K2011">
        <v>1</v>
      </c>
      <c r="L2011">
        <v>1</v>
      </c>
      <c r="M2011">
        <v>30</v>
      </c>
      <c r="N2011">
        <v>171.48</v>
      </c>
      <c r="O2011">
        <v>0</v>
      </c>
      <c r="P20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11" t="str">
        <f>IF(Table1[[#This Row],[Fraud_Score]]&gt;=6, "High Risk",IF(Table1[[#This Row],[Fraud_Score]]&gt;=3, "Medium Risk", "Low Risk"))</f>
        <v>Low Risk</v>
      </c>
      <c r="R2011">
        <f>IF(Table1[[#This Row],[Seconds of Use]]=0,0,Table1[[#This Row],[Customer Value]]/Table1[[#This Row],[Seconds of Use]]*100)</f>
        <v>4.0731591448931113</v>
      </c>
    </row>
    <row r="2012" spans="1:18" x14ac:dyDescent="0.35">
      <c r="A2012" s="3" t="s">
        <v>2033</v>
      </c>
      <c r="B2012">
        <v>1</v>
      </c>
      <c r="C2012">
        <v>0</v>
      </c>
      <c r="D2012">
        <v>36</v>
      </c>
      <c r="E2012">
        <v>0</v>
      </c>
      <c r="F2012">
        <v>5613</v>
      </c>
      <c r="G2012">
        <v>89</v>
      </c>
      <c r="H2012">
        <v>0</v>
      </c>
      <c r="I2012">
        <v>10</v>
      </c>
      <c r="J2012">
        <v>2</v>
      </c>
      <c r="K2012">
        <v>1</v>
      </c>
      <c r="L2012">
        <v>1</v>
      </c>
      <c r="M2012">
        <v>25</v>
      </c>
      <c r="N2012">
        <v>256.58999999999997</v>
      </c>
      <c r="O2012">
        <v>0</v>
      </c>
      <c r="P20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12" t="str">
        <f>IF(Table1[[#This Row],[Fraud_Score]]&gt;=6, "High Risk",IF(Table1[[#This Row],[Fraud_Score]]&gt;=3, "Medium Risk", "Low Risk"))</f>
        <v>Low Risk</v>
      </c>
      <c r="R2012">
        <f>IF(Table1[[#This Row],[Seconds of Use]]=0,0,Table1[[#This Row],[Customer Value]]/Table1[[#This Row],[Seconds of Use]]*100)</f>
        <v>4.571352218065206</v>
      </c>
    </row>
    <row r="2013" spans="1:18" x14ac:dyDescent="0.35">
      <c r="A2013" s="3" t="s">
        <v>2034</v>
      </c>
      <c r="B2013">
        <v>4</v>
      </c>
      <c r="C2013">
        <v>0</v>
      </c>
      <c r="D2013">
        <v>36</v>
      </c>
      <c r="E2013">
        <v>0</v>
      </c>
      <c r="F2013">
        <v>1933</v>
      </c>
      <c r="G2013">
        <v>48</v>
      </c>
      <c r="H2013">
        <v>1</v>
      </c>
      <c r="I2013">
        <v>15</v>
      </c>
      <c r="J2013">
        <v>3</v>
      </c>
      <c r="K2013">
        <v>1</v>
      </c>
      <c r="L2013">
        <v>2</v>
      </c>
      <c r="M2013">
        <v>30</v>
      </c>
      <c r="N2013">
        <v>83.24</v>
      </c>
      <c r="O2013">
        <v>0</v>
      </c>
      <c r="P20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13" t="str">
        <f>IF(Table1[[#This Row],[Fraud_Score]]&gt;=6, "High Risk",IF(Table1[[#This Row],[Fraud_Score]]&gt;=3, "Medium Risk", "Low Risk"))</f>
        <v>Low Risk</v>
      </c>
      <c r="R2013">
        <f>IF(Table1[[#This Row],[Seconds of Use]]=0,0,Table1[[#This Row],[Customer Value]]/Table1[[#This Row],[Seconds of Use]]*100)</f>
        <v>4.3062596999482663</v>
      </c>
    </row>
    <row r="2014" spans="1:18" x14ac:dyDescent="0.35">
      <c r="A2014" s="3" t="s">
        <v>2035</v>
      </c>
      <c r="B2014">
        <v>20</v>
      </c>
      <c r="C2014">
        <v>0</v>
      </c>
      <c r="D2014">
        <v>36</v>
      </c>
      <c r="E2014">
        <v>2</v>
      </c>
      <c r="F2014">
        <v>14835</v>
      </c>
      <c r="G2014">
        <v>219</v>
      </c>
      <c r="H2014">
        <v>47</v>
      </c>
      <c r="I2014">
        <v>30</v>
      </c>
      <c r="J2014">
        <v>3</v>
      </c>
      <c r="K2014">
        <v>1</v>
      </c>
      <c r="L2014">
        <v>1</v>
      </c>
      <c r="M2014">
        <v>30</v>
      </c>
      <c r="N2014">
        <v>790.16</v>
      </c>
      <c r="O2014">
        <v>0</v>
      </c>
      <c r="P20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014" t="str">
        <f>IF(Table1[[#This Row],[Fraud_Score]]&gt;=6, "High Risk",IF(Table1[[#This Row],[Fraud_Score]]&gt;=3, "Medium Risk", "Low Risk"))</f>
        <v>Medium Risk</v>
      </c>
      <c r="R2014">
        <f>IF(Table1[[#This Row],[Seconds of Use]]=0,0,Table1[[#This Row],[Customer Value]]/Table1[[#This Row],[Seconds of Use]]*100)</f>
        <v>5.3263228850690929</v>
      </c>
    </row>
    <row r="2015" spans="1:18" x14ac:dyDescent="0.35">
      <c r="A2015" s="3" t="s">
        <v>2036</v>
      </c>
      <c r="B2015">
        <v>0</v>
      </c>
      <c r="C2015">
        <v>0</v>
      </c>
      <c r="D2015">
        <v>36</v>
      </c>
      <c r="E2015">
        <v>0</v>
      </c>
      <c r="F2015">
        <v>2790</v>
      </c>
      <c r="G2015">
        <v>21</v>
      </c>
      <c r="H2015">
        <v>476</v>
      </c>
      <c r="I2015">
        <v>6</v>
      </c>
      <c r="J2015">
        <v>3</v>
      </c>
      <c r="K2015">
        <v>1</v>
      </c>
      <c r="L2015">
        <v>1</v>
      </c>
      <c r="M2015">
        <v>30</v>
      </c>
      <c r="N2015">
        <v>2016.44</v>
      </c>
      <c r="O2015">
        <v>0</v>
      </c>
      <c r="P20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15" t="str">
        <f>IF(Table1[[#This Row],[Fraud_Score]]&gt;=6, "High Risk",IF(Table1[[#This Row],[Fraud_Score]]&gt;=3, "Medium Risk", "Low Risk"))</f>
        <v>Low Risk</v>
      </c>
      <c r="R2015">
        <f>IF(Table1[[#This Row],[Seconds of Use]]=0,0,Table1[[#This Row],[Customer Value]]/Table1[[#This Row],[Seconds of Use]]*100)</f>
        <v>72.273835125448031</v>
      </c>
    </row>
    <row r="2016" spans="1:18" x14ac:dyDescent="0.35">
      <c r="A2016" s="3" t="s">
        <v>2037</v>
      </c>
      <c r="B2016">
        <v>4</v>
      </c>
      <c r="C2016">
        <v>0</v>
      </c>
      <c r="D2016">
        <v>35</v>
      </c>
      <c r="E2016">
        <v>0</v>
      </c>
      <c r="F2016">
        <v>15180</v>
      </c>
      <c r="G2016">
        <v>176</v>
      </c>
      <c r="H2016">
        <v>143</v>
      </c>
      <c r="I2016">
        <v>28</v>
      </c>
      <c r="J2016">
        <v>2</v>
      </c>
      <c r="K2016">
        <v>1</v>
      </c>
      <c r="L2016">
        <v>1</v>
      </c>
      <c r="M2016">
        <v>25</v>
      </c>
      <c r="N2016">
        <v>1334.52</v>
      </c>
      <c r="O2016">
        <v>0</v>
      </c>
      <c r="P20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16" t="str">
        <f>IF(Table1[[#This Row],[Fraud_Score]]&gt;=6, "High Risk",IF(Table1[[#This Row],[Fraud_Score]]&gt;=3, "Medium Risk", "Low Risk"))</f>
        <v>Medium Risk</v>
      </c>
      <c r="R2016">
        <f>IF(Table1[[#This Row],[Seconds of Use]]=0,0,Table1[[#This Row],[Customer Value]]/Table1[[#This Row],[Seconds of Use]]*100)</f>
        <v>8.7913043478260864</v>
      </c>
    </row>
    <row r="2017" spans="1:18" x14ac:dyDescent="0.35">
      <c r="A2017" s="3" t="s">
        <v>2038</v>
      </c>
      <c r="B2017">
        <v>0</v>
      </c>
      <c r="C2017">
        <v>0</v>
      </c>
      <c r="D2017">
        <v>35</v>
      </c>
      <c r="E2017">
        <v>0</v>
      </c>
      <c r="F2017">
        <v>6195</v>
      </c>
      <c r="G2017">
        <v>80</v>
      </c>
      <c r="H2017">
        <v>179</v>
      </c>
      <c r="I2017">
        <v>24</v>
      </c>
      <c r="J2017">
        <v>3</v>
      </c>
      <c r="K2017">
        <v>1</v>
      </c>
      <c r="L2017">
        <v>1</v>
      </c>
      <c r="M2017">
        <v>30</v>
      </c>
      <c r="N2017">
        <v>967</v>
      </c>
      <c r="O2017">
        <v>0</v>
      </c>
      <c r="P20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17" t="str">
        <f>IF(Table1[[#This Row],[Fraud_Score]]&gt;=6, "High Risk",IF(Table1[[#This Row],[Fraud_Score]]&gt;=3, "Medium Risk", "Low Risk"))</f>
        <v>Low Risk</v>
      </c>
      <c r="R2017">
        <f>IF(Table1[[#This Row],[Seconds of Use]]=0,0,Table1[[#This Row],[Customer Value]]/Table1[[#This Row],[Seconds of Use]]*100)</f>
        <v>15.609362389023406</v>
      </c>
    </row>
    <row r="2018" spans="1:18" x14ac:dyDescent="0.35">
      <c r="A2018" s="3" t="s">
        <v>2039</v>
      </c>
      <c r="B2018">
        <v>0</v>
      </c>
      <c r="C2018">
        <v>0</v>
      </c>
      <c r="D2018">
        <v>35</v>
      </c>
      <c r="E2018">
        <v>0</v>
      </c>
      <c r="F2018">
        <v>570</v>
      </c>
      <c r="G2018">
        <v>8</v>
      </c>
      <c r="H2018">
        <v>0</v>
      </c>
      <c r="I2018">
        <v>9</v>
      </c>
      <c r="J2018">
        <v>2</v>
      </c>
      <c r="K2018">
        <v>1</v>
      </c>
      <c r="L2018">
        <v>2</v>
      </c>
      <c r="M2018">
        <v>25</v>
      </c>
      <c r="N2018">
        <v>26.01</v>
      </c>
      <c r="O2018">
        <v>0</v>
      </c>
      <c r="P20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18" t="str">
        <f>IF(Table1[[#This Row],[Fraud_Score]]&gt;=6, "High Risk",IF(Table1[[#This Row],[Fraud_Score]]&gt;=3, "Medium Risk", "Low Risk"))</f>
        <v>Low Risk</v>
      </c>
      <c r="R2018">
        <f>IF(Table1[[#This Row],[Seconds of Use]]=0,0,Table1[[#This Row],[Customer Value]]/Table1[[#This Row],[Seconds of Use]]*100)</f>
        <v>4.5631578947368423</v>
      </c>
    </row>
    <row r="2019" spans="1:18" x14ac:dyDescent="0.35">
      <c r="A2019" s="3" t="s">
        <v>2040</v>
      </c>
      <c r="B2019">
        <v>0</v>
      </c>
      <c r="C2019">
        <v>0</v>
      </c>
      <c r="D2019">
        <v>36</v>
      </c>
      <c r="E2019">
        <v>0</v>
      </c>
      <c r="F2019">
        <v>405</v>
      </c>
      <c r="G2019">
        <v>8</v>
      </c>
      <c r="H2019">
        <v>6</v>
      </c>
      <c r="I2019">
        <v>6</v>
      </c>
      <c r="J2019">
        <v>2</v>
      </c>
      <c r="K2019">
        <v>1</v>
      </c>
      <c r="L2019">
        <v>2</v>
      </c>
      <c r="M2019">
        <v>25</v>
      </c>
      <c r="N2019">
        <v>45.585000000000001</v>
      </c>
      <c r="O2019">
        <v>0</v>
      </c>
      <c r="P20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19" t="str">
        <f>IF(Table1[[#This Row],[Fraud_Score]]&gt;=6, "High Risk",IF(Table1[[#This Row],[Fraud_Score]]&gt;=3, "Medium Risk", "Low Risk"))</f>
        <v>Low Risk</v>
      </c>
      <c r="R2019">
        <f>IF(Table1[[#This Row],[Seconds of Use]]=0,0,Table1[[#This Row],[Customer Value]]/Table1[[#This Row],[Seconds of Use]]*100)</f>
        <v>11.255555555555556</v>
      </c>
    </row>
    <row r="2020" spans="1:18" x14ac:dyDescent="0.35">
      <c r="A2020" s="3" t="s">
        <v>2041</v>
      </c>
      <c r="B2020">
        <v>0</v>
      </c>
      <c r="C2020">
        <v>1</v>
      </c>
      <c r="D2020">
        <v>35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2</v>
      </c>
      <c r="K2020">
        <v>1</v>
      </c>
      <c r="L2020">
        <v>2</v>
      </c>
      <c r="M2020">
        <v>25</v>
      </c>
      <c r="N2020">
        <v>0</v>
      </c>
      <c r="O2020">
        <v>1</v>
      </c>
      <c r="P20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20" t="str">
        <f>IF(Table1[[#This Row],[Fraud_Score]]&gt;=6, "High Risk",IF(Table1[[#This Row],[Fraud_Score]]&gt;=3, "Medium Risk", "Low Risk"))</f>
        <v>Medium Risk</v>
      </c>
      <c r="R2020">
        <f>IF(Table1[[#This Row],[Seconds of Use]]=0,0,Table1[[#This Row],[Customer Value]]/Table1[[#This Row],[Seconds of Use]]*100)</f>
        <v>0</v>
      </c>
    </row>
    <row r="2021" spans="1:18" x14ac:dyDescent="0.35">
      <c r="A2021" s="3" t="s">
        <v>2042</v>
      </c>
      <c r="B2021">
        <v>0</v>
      </c>
      <c r="C2021">
        <v>0</v>
      </c>
      <c r="D2021">
        <v>35</v>
      </c>
      <c r="E2021">
        <v>0</v>
      </c>
      <c r="F2021">
        <v>7203</v>
      </c>
      <c r="G2021">
        <v>121</v>
      </c>
      <c r="H2021">
        <v>377</v>
      </c>
      <c r="I2021">
        <v>41</v>
      </c>
      <c r="J2021">
        <v>2</v>
      </c>
      <c r="K2021">
        <v>1</v>
      </c>
      <c r="L2021">
        <v>1</v>
      </c>
      <c r="M2021">
        <v>25</v>
      </c>
      <c r="N2021">
        <v>2026.08</v>
      </c>
      <c r="O2021">
        <v>0</v>
      </c>
      <c r="P20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21" t="str">
        <f>IF(Table1[[#This Row],[Fraud_Score]]&gt;=6, "High Risk",IF(Table1[[#This Row],[Fraud_Score]]&gt;=3, "Medium Risk", "Low Risk"))</f>
        <v>Low Risk</v>
      </c>
      <c r="R2021">
        <f>IF(Table1[[#This Row],[Seconds of Use]]=0,0,Table1[[#This Row],[Customer Value]]/Table1[[#This Row],[Seconds of Use]]*100)</f>
        <v>28.128279883381925</v>
      </c>
    </row>
    <row r="2022" spans="1:18" x14ac:dyDescent="0.35">
      <c r="A2022" s="3" t="s">
        <v>2043</v>
      </c>
      <c r="B2022">
        <v>2</v>
      </c>
      <c r="C2022">
        <v>0</v>
      </c>
      <c r="D2022">
        <v>35</v>
      </c>
      <c r="E2022">
        <v>0</v>
      </c>
      <c r="F2022">
        <v>11160</v>
      </c>
      <c r="G2022">
        <v>148</v>
      </c>
      <c r="H2022">
        <v>4</v>
      </c>
      <c r="I2022">
        <v>45</v>
      </c>
      <c r="J2022">
        <v>3</v>
      </c>
      <c r="K2022">
        <v>1</v>
      </c>
      <c r="L2022">
        <v>1</v>
      </c>
      <c r="M2022">
        <v>30</v>
      </c>
      <c r="N2022">
        <v>468.32</v>
      </c>
      <c r="O2022">
        <v>0</v>
      </c>
      <c r="P20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22" t="str">
        <f>IF(Table1[[#This Row],[Fraud_Score]]&gt;=6, "High Risk",IF(Table1[[#This Row],[Fraud_Score]]&gt;=3, "Medium Risk", "Low Risk"))</f>
        <v>Medium Risk</v>
      </c>
      <c r="R2022">
        <f>IF(Table1[[#This Row],[Seconds of Use]]=0,0,Table1[[#This Row],[Customer Value]]/Table1[[#This Row],[Seconds of Use]]*100)</f>
        <v>4.1964157706093195</v>
      </c>
    </row>
    <row r="2023" spans="1:18" x14ac:dyDescent="0.35">
      <c r="A2023" s="3" t="s">
        <v>2044</v>
      </c>
      <c r="B2023">
        <v>3</v>
      </c>
      <c r="C2023">
        <v>0</v>
      </c>
      <c r="D2023">
        <v>35</v>
      </c>
      <c r="E2023">
        <v>0</v>
      </c>
      <c r="F2023">
        <v>6413</v>
      </c>
      <c r="G2023">
        <v>69</v>
      </c>
      <c r="H2023">
        <v>101</v>
      </c>
      <c r="I2023">
        <v>35</v>
      </c>
      <c r="J2023">
        <v>2</v>
      </c>
      <c r="K2023">
        <v>1</v>
      </c>
      <c r="L2023">
        <v>1</v>
      </c>
      <c r="M2023">
        <v>25</v>
      </c>
      <c r="N2023">
        <v>746.19</v>
      </c>
      <c r="O2023">
        <v>0</v>
      </c>
      <c r="P20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23" t="str">
        <f>IF(Table1[[#This Row],[Fraud_Score]]&gt;=6, "High Risk",IF(Table1[[#This Row],[Fraud_Score]]&gt;=3, "Medium Risk", "Low Risk"))</f>
        <v>Low Risk</v>
      </c>
      <c r="R2023">
        <f>IF(Table1[[#This Row],[Seconds of Use]]=0,0,Table1[[#This Row],[Customer Value]]/Table1[[#This Row],[Seconds of Use]]*100)</f>
        <v>11.635583970060814</v>
      </c>
    </row>
    <row r="2024" spans="1:18" x14ac:dyDescent="0.35">
      <c r="A2024" s="3" t="s">
        <v>2045</v>
      </c>
      <c r="B2024">
        <v>18</v>
      </c>
      <c r="C2024">
        <v>0</v>
      </c>
      <c r="D2024">
        <v>31</v>
      </c>
      <c r="E2024">
        <v>0</v>
      </c>
      <c r="F2024">
        <v>650</v>
      </c>
      <c r="G2024">
        <v>41</v>
      </c>
      <c r="H2024">
        <v>9</v>
      </c>
      <c r="I2024">
        <v>15</v>
      </c>
      <c r="J2024">
        <v>2</v>
      </c>
      <c r="K2024">
        <v>1</v>
      </c>
      <c r="L2024">
        <v>2</v>
      </c>
      <c r="M2024">
        <v>25</v>
      </c>
      <c r="N2024">
        <v>71.594999999999999</v>
      </c>
      <c r="O2024">
        <v>1</v>
      </c>
      <c r="P20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24" t="str">
        <f>IF(Table1[[#This Row],[Fraud_Score]]&gt;=6, "High Risk",IF(Table1[[#This Row],[Fraud_Score]]&gt;=3, "Medium Risk", "Low Risk"))</f>
        <v>Medium Risk</v>
      </c>
      <c r="R2024">
        <f>IF(Table1[[#This Row],[Seconds of Use]]=0,0,Table1[[#This Row],[Customer Value]]/Table1[[#This Row],[Seconds of Use]]*100)</f>
        <v>11.014615384615384</v>
      </c>
    </row>
    <row r="2025" spans="1:18" x14ac:dyDescent="0.35">
      <c r="A2025" s="3" t="s">
        <v>2046</v>
      </c>
      <c r="B2025">
        <v>16</v>
      </c>
      <c r="C2025">
        <v>0</v>
      </c>
      <c r="D2025">
        <v>34</v>
      </c>
      <c r="E2025">
        <v>7</v>
      </c>
      <c r="F2025">
        <v>10130</v>
      </c>
      <c r="G2025">
        <v>87</v>
      </c>
      <c r="H2025">
        <v>0</v>
      </c>
      <c r="I2025">
        <v>40</v>
      </c>
      <c r="J2025">
        <v>4</v>
      </c>
      <c r="K2025">
        <v>1</v>
      </c>
      <c r="L2025">
        <v>1</v>
      </c>
      <c r="M2025">
        <v>45</v>
      </c>
      <c r="N2025">
        <v>255.42500000000001</v>
      </c>
      <c r="O2025">
        <v>0</v>
      </c>
      <c r="P20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025" t="str">
        <f>IF(Table1[[#This Row],[Fraud_Score]]&gt;=6, "High Risk",IF(Table1[[#This Row],[Fraud_Score]]&gt;=3, "Medium Risk", "Low Risk"))</f>
        <v>Low Risk</v>
      </c>
      <c r="R2025">
        <f>IF(Table1[[#This Row],[Seconds of Use]]=0,0,Table1[[#This Row],[Customer Value]]/Table1[[#This Row],[Seconds of Use]]*100)</f>
        <v>2.5214708785784796</v>
      </c>
    </row>
    <row r="2026" spans="1:18" x14ac:dyDescent="0.35">
      <c r="A2026" s="3" t="s">
        <v>2047</v>
      </c>
      <c r="B2026">
        <v>8</v>
      </c>
      <c r="C2026">
        <v>0</v>
      </c>
      <c r="D2026">
        <v>34</v>
      </c>
      <c r="E2026">
        <v>0</v>
      </c>
      <c r="F2026">
        <v>5513</v>
      </c>
      <c r="G2026">
        <v>92</v>
      </c>
      <c r="H2026">
        <v>19</v>
      </c>
      <c r="I2026">
        <v>22</v>
      </c>
      <c r="J2026">
        <v>2</v>
      </c>
      <c r="K2026">
        <v>1</v>
      </c>
      <c r="L2026">
        <v>1</v>
      </c>
      <c r="M2026">
        <v>25</v>
      </c>
      <c r="N2026">
        <v>337.72500000000002</v>
      </c>
      <c r="O2026">
        <v>1</v>
      </c>
      <c r="P20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26" t="str">
        <f>IF(Table1[[#This Row],[Fraud_Score]]&gt;=6, "High Risk",IF(Table1[[#This Row],[Fraud_Score]]&gt;=3, "Medium Risk", "Low Risk"))</f>
        <v>Low Risk</v>
      </c>
      <c r="R2026">
        <f>IF(Table1[[#This Row],[Seconds of Use]]=0,0,Table1[[#This Row],[Customer Value]]/Table1[[#This Row],[Seconds of Use]]*100)</f>
        <v>6.1259749682568474</v>
      </c>
    </row>
    <row r="2027" spans="1:18" x14ac:dyDescent="0.35">
      <c r="A2027" s="3" t="s">
        <v>2048</v>
      </c>
      <c r="B2027">
        <v>0</v>
      </c>
      <c r="C2027">
        <v>0</v>
      </c>
      <c r="D2027">
        <v>32</v>
      </c>
      <c r="E2027">
        <v>0</v>
      </c>
      <c r="F2027">
        <v>2535</v>
      </c>
      <c r="G2027">
        <v>16</v>
      </c>
      <c r="H2027">
        <v>0</v>
      </c>
      <c r="I2027">
        <v>12</v>
      </c>
      <c r="J2027">
        <v>3</v>
      </c>
      <c r="K2027">
        <v>1</v>
      </c>
      <c r="L2027">
        <v>1</v>
      </c>
      <c r="M2027">
        <v>30</v>
      </c>
      <c r="N2027">
        <v>102.04</v>
      </c>
      <c r="O2027">
        <v>0</v>
      </c>
      <c r="P20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27" t="str">
        <f>IF(Table1[[#This Row],[Fraud_Score]]&gt;=6, "High Risk",IF(Table1[[#This Row],[Fraud_Score]]&gt;=3, "Medium Risk", "Low Risk"))</f>
        <v>Low Risk</v>
      </c>
      <c r="R2027">
        <f>IF(Table1[[#This Row],[Seconds of Use]]=0,0,Table1[[#This Row],[Customer Value]]/Table1[[#This Row],[Seconds of Use]]*100)</f>
        <v>4.0252465483234721</v>
      </c>
    </row>
    <row r="2028" spans="1:18" x14ac:dyDescent="0.35">
      <c r="A2028" s="3" t="s">
        <v>2049</v>
      </c>
      <c r="B2028">
        <v>4</v>
      </c>
      <c r="C2028">
        <v>0</v>
      </c>
      <c r="D2028">
        <v>33</v>
      </c>
      <c r="E2028">
        <v>0</v>
      </c>
      <c r="F2028">
        <v>2685</v>
      </c>
      <c r="G2028">
        <v>35</v>
      </c>
      <c r="H2028">
        <v>2</v>
      </c>
      <c r="I2028">
        <v>14</v>
      </c>
      <c r="J2028">
        <v>2</v>
      </c>
      <c r="K2028">
        <v>1</v>
      </c>
      <c r="L2028">
        <v>2</v>
      </c>
      <c r="M2028">
        <v>25</v>
      </c>
      <c r="N2028">
        <v>131.4</v>
      </c>
      <c r="O2028">
        <v>1</v>
      </c>
      <c r="P20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28" t="str">
        <f>IF(Table1[[#This Row],[Fraud_Score]]&gt;=6, "High Risk",IF(Table1[[#This Row],[Fraud_Score]]&gt;=3, "Medium Risk", "Low Risk"))</f>
        <v>Low Risk</v>
      </c>
      <c r="R2028">
        <f>IF(Table1[[#This Row],[Seconds of Use]]=0,0,Table1[[#This Row],[Customer Value]]/Table1[[#This Row],[Seconds of Use]]*100)</f>
        <v>4.8938547486033528</v>
      </c>
    </row>
    <row r="2029" spans="1:18" x14ac:dyDescent="0.35">
      <c r="A2029" s="3" t="s">
        <v>2050</v>
      </c>
      <c r="B2029">
        <v>4</v>
      </c>
      <c r="C2029">
        <v>1</v>
      </c>
      <c r="D2029">
        <v>34</v>
      </c>
      <c r="E2029">
        <v>0</v>
      </c>
      <c r="F2029">
        <v>1963</v>
      </c>
      <c r="G2029">
        <v>38</v>
      </c>
      <c r="H2029">
        <v>27</v>
      </c>
      <c r="I2029">
        <v>29</v>
      </c>
      <c r="J2029">
        <v>3</v>
      </c>
      <c r="K2029">
        <v>1</v>
      </c>
      <c r="L2029">
        <v>2</v>
      </c>
      <c r="M2029">
        <v>30</v>
      </c>
      <c r="N2029">
        <v>188.04</v>
      </c>
      <c r="O2029">
        <v>1</v>
      </c>
      <c r="P20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29" t="str">
        <f>IF(Table1[[#This Row],[Fraud_Score]]&gt;=6, "High Risk",IF(Table1[[#This Row],[Fraud_Score]]&gt;=3, "Medium Risk", "Low Risk"))</f>
        <v>Medium Risk</v>
      </c>
      <c r="R2029">
        <f>IF(Table1[[#This Row],[Seconds of Use]]=0,0,Table1[[#This Row],[Customer Value]]/Table1[[#This Row],[Seconds of Use]]*100)</f>
        <v>9.5792154865002548</v>
      </c>
    </row>
    <row r="2030" spans="1:18" x14ac:dyDescent="0.35">
      <c r="A2030" s="3" t="s">
        <v>2051</v>
      </c>
      <c r="B2030">
        <v>0</v>
      </c>
      <c r="C2030">
        <v>0</v>
      </c>
      <c r="D2030">
        <v>34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3</v>
      </c>
      <c r="K2030">
        <v>1</v>
      </c>
      <c r="L2030">
        <v>2</v>
      </c>
      <c r="M2030">
        <v>30</v>
      </c>
      <c r="N2030">
        <v>0</v>
      </c>
      <c r="O2030">
        <v>1</v>
      </c>
      <c r="P20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0" t="str">
        <f>IF(Table1[[#This Row],[Fraud_Score]]&gt;=6, "High Risk",IF(Table1[[#This Row],[Fraud_Score]]&gt;=3, "Medium Risk", "Low Risk"))</f>
        <v>Low Risk</v>
      </c>
      <c r="R2030">
        <f>IF(Table1[[#This Row],[Seconds of Use]]=0,0,Table1[[#This Row],[Customer Value]]/Table1[[#This Row],[Seconds of Use]]*100)</f>
        <v>0</v>
      </c>
    </row>
    <row r="2031" spans="1:18" x14ac:dyDescent="0.35">
      <c r="A2031" s="3" t="s">
        <v>2052</v>
      </c>
      <c r="B2031">
        <v>0</v>
      </c>
      <c r="C2031">
        <v>0</v>
      </c>
      <c r="D2031">
        <v>34</v>
      </c>
      <c r="E2031">
        <v>0</v>
      </c>
      <c r="F2031">
        <v>1363</v>
      </c>
      <c r="G2031">
        <v>19</v>
      </c>
      <c r="H2031">
        <v>0</v>
      </c>
      <c r="I2031">
        <v>4</v>
      </c>
      <c r="J2031">
        <v>3</v>
      </c>
      <c r="K2031">
        <v>1</v>
      </c>
      <c r="L2031">
        <v>1</v>
      </c>
      <c r="M2031">
        <v>30</v>
      </c>
      <c r="N2031">
        <v>55.28</v>
      </c>
      <c r="O2031">
        <v>0</v>
      </c>
      <c r="P20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1" t="str">
        <f>IF(Table1[[#This Row],[Fraud_Score]]&gt;=6, "High Risk",IF(Table1[[#This Row],[Fraud_Score]]&gt;=3, "Medium Risk", "Low Risk"))</f>
        <v>Low Risk</v>
      </c>
      <c r="R2031">
        <f>IF(Table1[[#This Row],[Seconds of Use]]=0,0,Table1[[#This Row],[Customer Value]]/Table1[[#This Row],[Seconds of Use]]*100)</f>
        <v>4.0557593543653709</v>
      </c>
    </row>
    <row r="2032" spans="1:18" x14ac:dyDescent="0.35">
      <c r="A2032" s="3" t="s">
        <v>2053</v>
      </c>
      <c r="B2032">
        <v>0</v>
      </c>
      <c r="C2032">
        <v>0</v>
      </c>
      <c r="D2032">
        <v>31</v>
      </c>
      <c r="E2032">
        <v>0</v>
      </c>
      <c r="F2032">
        <v>6480</v>
      </c>
      <c r="G2032">
        <v>91</v>
      </c>
      <c r="H2032">
        <v>7</v>
      </c>
      <c r="I2032">
        <v>20</v>
      </c>
      <c r="J2032">
        <v>4</v>
      </c>
      <c r="K2032">
        <v>1</v>
      </c>
      <c r="L2032">
        <v>1</v>
      </c>
      <c r="M2032">
        <v>45</v>
      </c>
      <c r="N2032">
        <v>181.77500000000001</v>
      </c>
      <c r="O2032">
        <v>0</v>
      </c>
      <c r="P20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2" t="str">
        <f>IF(Table1[[#This Row],[Fraud_Score]]&gt;=6, "High Risk",IF(Table1[[#This Row],[Fraud_Score]]&gt;=3, "Medium Risk", "Low Risk"))</f>
        <v>Low Risk</v>
      </c>
      <c r="R2032">
        <f>IF(Table1[[#This Row],[Seconds of Use]]=0,0,Table1[[#This Row],[Customer Value]]/Table1[[#This Row],[Seconds of Use]]*100)</f>
        <v>2.8051697530864197</v>
      </c>
    </row>
    <row r="2033" spans="1:18" x14ac:dyDescent="0.35">
      <c r="A2033" s="3" t="s">
        <v>2054</v>
      </c>
      <c r="B2033">
        <v>0</v>
      </c>
      <c r="C2033">
        <v>1</v>
      </c>
      <c r="D2033">
        <v>34</v>
      </c>
      <c r="E2033">
        <v>0</v>
      </c>
      <c r="F2033">
        <v>323</v>
      </c>
      <c r="G2033">
        <v>1</v>
      </c>
      <c r="H2033">
        <v>2</v>
      </c>
      <c r="I2033">
        <v>2</v>
      </c>
      <c r="J2033">
        <v>4</v>
      </c>
      <c r="K2033">
        <v>1</v>
      </c>
      <c r="L2033">
        <v>2</v>
      </c>
      <c r="M2033">
        <v>45</v>
      </c>
      <c r="N2033">
        <v>13.1</v>
      </c>
      <c r="O2033">
        <v>1</v>
      </c>
      <c r="P20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33" t="str">
        <f>IF(Table1[[#This Row],[Fraud_Score]]&gt;=6, "High Risk",IF(Table1[[#This Row],[Fraud_Score]]&gt;=3, "Medium Risk", "Low Risk"))</f>
        <v>Medium Risk</v>
      </c>
      <c r="R2033">
        <f>IF(Table1[[#This Row],[Seconds of Use]]=0,0,Table1[[#This Row],[Customer Value]]/Table1[[#This Row],[Seconds of Use]]*100)</f>
        <v>4.0557275541795672</v>
      </c>
    </row>
    <row r="2034" spans="1:18" x14ac:dyDescent="0.35">
      <c r="A2034" s="3" t="s">
        <v>2055</v>
      </c>
      <c r="B2034">
        <v>0</v>
      </c>
      <c r="C2034">
        <v>0</v>
      </c>
      <c r="D2034">
        <v>34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5</v>
      </c>
      <c r="K2034">
        <v>1</v>
      </c>
      <c r="L2034">
        <v>1</v>
      </c>
      <c r="M2034">
        <v>55</v>
      </c>
      <c r="N2034">
        <v>0</v>
      </c>
      <c r="O2034">
        <v>0</v>
      </c>
      <c r="P20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4" t="str">
        <f>IF(Table1[[#This Row],[Fraud_Score]]&gt;=6, "High Risk",IF(Table1[[#This Row],[Fraud_Score]]&gt;=3, "Medium Risk", "Low Risk"))</f>
        <v>Low Risk</v>
      </c>
      <c r="R2034">
        <f>IF(Table1[[#This Row],[Seconds of Use]]=0,0,Table1[[#This Row],[Customer Value]]/Table1[[#This Row],[Seconds of Use]]*100)</f>
        <v>0</v>
      </c>
    </row>
    <row r="2035" spans="1:18" x14ac:dyDescent="0.35">
      <c r="A2035" s="3" t="s">
        <v>2056</v>
      </c>
      <c r="B2035">
        <v>20</v>
      </c>
      <c r="C2035">
        <v>0</v>
      </c>
      <c r="D2035">
        <v>29</v>
      </c>
      <c r="E2035">
        <v>2</v>
      </c>
      <c r="F2035">
        <v>15770</v>
      </c>
      <c r="G2035">
        <v>232</v>
      </c>
      <c r="H2035">
        <v>0</v>
      </c>
      <c r="I2035">
        <v>78</v>
      </c>
      <c r="J2035">
        <v>2</v>
      </c>
      <c r="K2035">
        <v>1</v>
      </c>
      <c r="L2035">
        <v>1</v>
      </c>
      <c r="M2035">
        <v>25</v>
      </c>
      <c r="N2035">
        <v>720.09</v>
      </c>
      <c r="O2035">
        <v>0</v>
      </c>
      <c r="P20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035" t="str">
        <f>IF(Table1[[#This Row],[Fraud_Score]]&gt;=6, "High Risk",IF(Table1[[#This Row],[Fraud_Score]]&gt;=3, "Medium Risk", "Low Risk"))</f>
        <v>Medium Risk</v>
      </c>
      <c r="R2035">
        <f>IF(Table1[[#This Row],[Seconds of Use]]=0,0,Table1[[#This Row],[Customer Value]]/Table1[[#This Row],[Seconds of Use]]*100)</f>
        <v>4.5662016487000638</v>
      </c>
    </row>
    <row r="2036" spans="1:18" x14ac:dyDescent="0.35">
      <c r="A2036" s="3" t="s">
        <v>2057</v>
      </c>
      <c r="B2036">
        <v>1</v>
      </c>
      <c r="C2036">
        <v>0</v>
      </c>
      <c r="D2036">
        <v>32</v>
      </c>
      <c r="E2036">
        <v>2</v>
      </c>
      <c r="F2036">
        <v>6660</v>
      </c>
      <c r="G2036">
        <v>110</v>
      </c>
      <c r="H2036">
        <v>264</v>
      </c>
      <c r="I2036">
        <v>31</v>
      </c>
      <c r="J2036">
        <v>2</v>
      </c>
      <c r="K2036">
        <v>2</v>
      </c>
      <c r="L2036">
        <v>1</v>
      </c>
      <c r="M2036">
        <v>25</v>
      </c>
      <c r="N2036">
        <v>1492.65</v>
      </c>
      <c r="O2036">
        <v>0</v>
      </c>
      <c r="P20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36" t="str">
        <f>IF(Table1[[#This Row],[Fraud_Score]]&gt;=6, "High Risk",IF(Table1[[#This Row],[Fraud_Score]]&gt;=3, "Medium Risk", "Low Risk"))</f>
        <v>Low Risk</v>
      </c>
      <c r="R2036">
        <f>IF(Table1[[#This Row],[Seconds of Use]]=0,0,Table1[[#This Row],[Customer Value]]/Table1[[#This Row],[Seconds of Use]]*100)</f>
        <v>22.412162162162165</v>
      </c>
    </row>
    <row r="2037" spans="1:18" x14ac:dyDescent="0.35">
      <c r="A2037" s="3" t="s">
        <v>2058</v>
      </c>
      <c r="B2037">
        <v>0</v>
      </c>
      <c r="C2037">
        <v>0</v>
      </c>
      <c r="D2037">
        <v>34</v>
      </c>
      <c r="E2037">
        <v>0</v>
      </c>
      <c r="F2037">
        <v>3413</v>
      </c>
      <c r="G2037">
        <v>76</v>
      </c>
      <c r="H2037">
        <v>0</v>
      </c>
      <c r="I2037">
        <v>26</v>
      </c>
      <c r="J2037">
        <v>2</v>
      </c>
      <c r="K2037">
        <v>1</v>
      </c>
      <c r="L2037">
        <v>1</v>
      </c>
      <c r="M2037">
        <v>25</v>
      </c>
      <c r="N2037">
        <v>157.005</v>
      </c>
      <c r="O2037">
        <v>0</v>
      </c>
      <c r="P20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7" t="str">
        <f>IF(Table1[[#This Row],[Fraud_Score]]&gt;=6, "High Risk",IF(Table1[[#This Row],[Fraud_Score]]&gt;=3, "Medium Risk", "Low Risk"))</f>
        <v>Low Risk</v>
      </c>
      <c r="R2037">
        <f>IF(Table1[[#This Row],[Seconds of Use]]=0,0,Table1[[#This Row],[Customer Value]]/Table1[[#This Row],[Seconds of Use]]*100)</f>
        <v>4.6002050981541167</v>
      </c>
    </row>
    <row r="2038" spans="1:18" x14ac:dyDescent="0.35">
      <c r="A2038" s="3" t="s">
        <v>2059</v>
      </c>
      <c r="B2038">
        <v>0</v>
      </c>
      <c r="C2038">
        <v>0</v>
      </c>
      <c r="D2038">
        <v>33</v>
      </c>
      <c r="E2038">
        <v>0</v>
      </c>
      <c r="F2038">
        <v>1360</v>
      </c>
      <c r="G2038">
        <v>38</v>
      </c>
      <c r="H2038">
        <v>31</v>
      </c>
      <c r="I2038">
        <v>18</v>
      </c>
      <c r="J2038">
        <v>3</v>
      </c>
      <c r="K2038">
        <v>1</v>
      </c>
      <c r="L2038">
        <v>2</v>
      </c>
      <c r="M2038">
        <v>30</v>
      </c>
      <c r="N2038">
        <v>179.92</v>
      </c>
      <c r="O2038">
        <v>0</v>
      </c>
      <c r="P20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8" t="str">
        <f>IF(Table1[[#This Row],[Fraud_Score]]&gt;=6, "High Risk",IF(Table1[[#This Row],[Fraud_Score]]&gt;=3, "Medium Risk", "Low Risk"))</f>
        <v>Low Risk</v>
      </c>
      <c r="R2038">
        <f>IF(Table1[[#This Row],[Seconds of Use]]=0,0,Table1[[#This Row],[Customer Value]]/Table1[[#This Row],[Seconds of Use]]*100)</f>
        <v>13.229411764705882</v>
      </c>
    </row>
    <row r="2039" spans="1:18" x14ac:dyDescent="0.35">
      <c r="A2039" s="3" t="s">
        <v>2060</v>
      </c>
      <c r="B2039">
        <v>1</v>
      </c>
      <c r="C2039">
        <v>0</v>
      </c>
      <c r="D2039">
        <v>34</v>
      </c>
      <c r="E2039">
        <v>0</v>
      </c>
      <c r="F2039">
        <v>2475</v>
      </c>
      <c r="G2039">
        <v>47</v>
      </c>
      <c r="H2039">
        <v>168</v>
      </c>
      <c r="I2039">
        <v>21</v>
      </c>
      <c r="J2039">
        <v>2</v>
      </c>
      <c r="K2039">
        <v>1</v>
      </c>
      <c r="L2039">
        <v>1</v>
      </c>
      <c r="M2039">
        <v>25</v>
      </c>
      <c r="N2039">
        <v>869.49</v>
      </c>
      <c r="O2039">
        <v>0</v>
      </c>
      <c r="P20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39" t="str">
        <f>IF(Table1[[#This Row],[Fraud_Score]]&gt;=6, "High Risk",IF(Table1[[#This Row],[Fraud_Score]]&gt;=3, "Medium Risk", "Low Risk"))</f>
        <v>Low Risk</v>
      </c>
      <c r="R2039">
        <f>IF(Table1[[#This Row],[Seconds of Use]]=0,0,Table1[[#This Row],[Customer Value]]/Table1[[#This Row],[Seconds of Use]]*100)</f>
        <v>35.130909090909093</v>
      </c>
    </row>
    <row r="2040" spans="1:18" x14ac:dyDescent="0.35">
      <c r="A2040" s="3" t="s">
        <v>2061</v>
      </c>
      <c r="B2040">
        <v>0</v>
      </c>
      <c r="C2040">
        <v>0</v>
      </c>
      <c r="D2040">
        <v>25</v>
      </c>
      <c r="E2040">
        <v>0</v>
      </c>
      <c r="F2040">
        <v>1010</v>
      </c>
      <c r="G2040">
        <v>30</v>
      </c>
      <c r="H2040">
        <v>186</v>
      </c>
      <c r="I2040">
        <v>9</v>
      </c>
      <c r="J2040">
        <v>2</v>
      </c>
      <c r="K2040">
        <v>2</v>
      </c>
      <c r="L2040">
        <v>1</v>
      </c>
      <c r="M2040">
        <v>25</v>
      </c>
      <c r="N2040">
        <v>883.8</v>
      </c>
      <c r="O2040">
        <v>0</v>
      </c>
      <c r="P20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40" t="str">
        <f>IF(Table1[[#This Row],[Fraud_Score]]&gt;=6, "High Risk",IF(Table1[[#This Row],[Fraud_Score]]&gt;=3, "Medium Risk", "Low Risk"))</f>
        <v>Low Risk</v>
      </c>
      <c r="R2040">
        <f>IF(Table1[[#This Row],[Seconds of Use]]=0,0,Table1[[#This Row],[Customer Value]]/Table1[[#This Row],[Seconds of Use]]*100)</f>
        <v>87.504950495049499</v>
      </c>
    </row>
    <row r="2041" spans="1:18" x14ac:dyDescent="0.35">
      <c r="A2041" s="3" t="s">
        <v>2062</v>
      </c>
      <c r="B2041">
        <v>0</v>
      </c>
      <c r="C2041">
        <v>0</v>
      </c>
      <c r="D2041">
        <v>24</v>
      </c>
      <c r="E2041">
        <v>0</v>
      </c>
      <c r="F2041">
        <v>1263</v>
      </c>
      <c r="G2041">
        <v>33</v>
      </c>
      <c r="H2041">
        <v>23</v>
      </c>
      <c r="I2041">
        <v>66</v>
      </c>
      <c r="J2041">
        <v>4</v>
      </c>
      <c r="K2041">
        <v>1</v>
      </c>
      <c r="L2041">
        <v>1</v>
      </c>
      <c r="M2041">
        <v>45</v>
      </c>
      <c r="N2041">
        <v>89.9</v>
      </c>
      <c r="O2041">
        <v>0</v>
      </c>
      <c r="P20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041" t="str">
        <f>IF(Table1[[#This Row],[Fraud_Score]]&gt;=6, "High Risk",IF(Table1[[#This Row],[Fraud_Score]]&gt;=3, "Medium Risk", "Low Risk"))</f>
        <v>Low Risk</v>
      </c>
      <c r="R2041">
        <f>IF(Table1[[#This Row],[Seconds of Use]]=0,0,Table1[[#This Row],[Customer Value]]/Table1[[#This Row],[Seconds of Use]]*100)</f>
        <v>7.1179730799683298</v>
      </c>
    </row>
    <row r="2042" spans="1:18" x14ac:dyDescent="0.35">
      <c r="A2042" s="3" t="s">
        <v>2063</v>
      </c>
      <c r="B2042">
        <v>6</v>
      </c>
      <c r="C2042">
        <v>0</v>
      </c>
      <c r="D2042">
        <v>25</v>
      </c>
      <c r="E2042">
        <v>0</v>
      </c>
      <c r="F2042">
        <v>395</v>
      </c>
      <c r="G2042">
        <v>19</v>
      </c>
      <c r="H2042">
        <v>3</v>
      </c>
      <c r="I2042">
        <v>5</v>
      </c>
      <c r="J2042">
        <v>2</v>
      </c>
      <c r="K2042">
        <v>1</v>
      </c>
      <c r="L2042">
        <v>2</v>
      </c>
      <c r="M2042">
        <v>25</v>
      </c>
      <c r="N2042">
        <v>32.130000000000003</v>
      </c>
      <c r="O2042">
        <v>0</v>
      </c>
      <c r="P20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42" t="str">
        <f>IF(Table1[[#This Row],[Fraud_Score]]&gt;=6, "High Risk",IF(Table1[[#This Row],[Fraud_Score]]&gt;=3, "Medium Risk", "Low Risk"))</f>
        <v>Low Risk</v>
      </c>
      <c r="R2042">
        <f>IF(Table1[[#This Row],[Seconds of Use]]=0,0,Table1[[#This Row],[Customer Value]]/Table1[[#This Row],[Seconds of Use]]*100)</f>
        <v>8.1341772151898741</v>
      </c>
    </row>
    <row r="2043" spans="1:18" x14ac:dyDescent="0.35">
      <c r="A2043" s="3" t="s">
        <v>2064</v>
      </c>
      <c r="B2043">
        <v>0</v>
      </c>
      <c r="C2043">
        <v>0</v>
      </c>
      <c r="D2043">
        <v>24</v>
      </c>
      <c r="E2043">
        <v>0</v>
      </c>
      <c r="F2043">
        <v>520</v>
      </c>
      <c r="G2043">
        <v>4</v>
      </c>
      <c r="H2043">
        <v>14</v>
      </c>
      <c r="I2043">
        <v>1</v>
      </c>
      <c r="J2043">
        <v>4</v>
      </c>
      <c r="K2043">
        <v>1</v>
      </c>
      <c r="L2043">
        <v>2</v>
      </c>
      <c r="M2043">
        <v>45</v>
      </c>
      <c r="N2043">
        <v>48.1</v>
      </c>
      <c r="O2043">
        <v>0</v>
      </c>
      <c r="P20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43" t="str">
        <f>IF(Table1[[#This Row],[Fraud_Score]]&gt;=6, "High Risk",IF(Table1[[#This Row],[Fraud_Score]]&gt;=3, "Medium Risk", "Low Risk"))</f>
        <v>Low Risk</v>
      </c>
      <c r="R2043">
        <f>IF(Table1[[#This Row],[Seconds of Use]]=0,0,Table1[[#This Row],[Customer Value]]/Table1[[#This Row],[Seconds of Use]]*100)</f>
        <v>9.25</v>
      </c>
    </row>
    <row r="2044" spans="1:18" x14ac:dyDescent="0.35">
      <c r="A2044" s="3" t="s">
        <v>2065</v>
      </c>
      <c r="B2044">
        <v>5</v>
      </c>
      <c r="C2044">
        <v>0</v>
      </c>
      <c r="D2044">
        <v>23</v>
      </c>
      <c r="E2044">
        <v>0</v>
      </c>
      <c r="F2044">
        <v>920</v>
      </c>
      <c r="G2044">
        <v>26</v>
      </c>
      <c r="H2044">
        <v>12</v>
      </c>
      <c r="I2044">
        <v>11</v>
      </c>
      <c r="J2044">
        <v>2</v>
      </c>
      <c r="K2044">
        <v>1</v>
      </c>
      <c r="L2044">
        <v>1</v>
      </c>
      <c r="M2044">
        <v>25</v>
      </c>
      <c r="N2044">
        <v>96.57</v>
      </c>
      <c r="O2044">
        <v>0</v>
      </c>
      <c r="P20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44" t="str">
        <f>IF(Table1[[#This Row],[Fraud_Score]]&gt;=6, "High Risk",IF(Table1[[#This Row],[Fraud_Score]]&gt;=3, "Medium Risk", "Low Risk"))</f>
        <v>Low Risk</v>
      </c>
      <c r="R2044">
        <f>IF(Table1[[#This Row],[Seconds of Use]]=0,0,Table1[[#This Row],[Customer Value]]/Table1[[#This Row],[Seconds of Use]]*100)</f>
        <v>10.496739130434781</v>
      </c>
    </row>
    <row r="2045" spans="1:18" x14ac:dyDescent="0.35">
      <c r="A2045" s="3" t="s">
        <v>2066</v>
      </c>
      <c r="B2045">
        <v>0</v>
      </c>
      <c r="C2045">
        <v>0</v>
      </c>
      <c r="D2045">
        <v>23</v>
      </c>
      <c r="E2045">
        <v>0</v>
      </c>
      <c r="F2045">
        <v>2920</v>
      </c>
      <c r="G2045">
        <v>55</v>
      </c>
      <c r="H2045">
        <v>1</v>
      </c>
      <c r="I2045">
        <v>21</v>
      </c>
      <c r="J2045">
        <v>3</v>
      </c>
      <c r="K2045">
        <v>1</v>
      </c>
      <c r="L2045">
        <v>1</v>
      </c>
      <c r="M2045">
        <v>30</v>
      </c>
      <c r="N2045">
        <v>123</v>
      </c>
      <c r="O2045">
        <v>0</v>
      </c>
      <c r="P20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45" t="str">
        <f>IF(Table1[[#This Row],[Fraud_Score]]&gt;=6, "High Risk",IF(Table1[[#This Row],[Fraud_Score]]&gt;=3, "Medium Risk", "Low Risk"))</f>
        <v>Low Risk</v>
      </c>
      <c r="R2045">
        <f>IF(Table1[[#This Row],[Seconds of Use]]=0,0,Table1[[#This Row],[Customer Value]]/Table1[[#This Row],[Seconds of Use]]*100)</f>
        <v>4.2123287671232879</v>
      </c>
    </row>
    <row r="2046" spans="1:18" x14ac:dyDescent="0.35">
      <c r="A2046" s="3" t="s">
        <v>2067</v>
      </c>
      <c r="B2046">
        <v>0</v>
      </c>
      <c r="C2046">
        <v>0</v>
      </c>
      <c r="D2046">
        <v>16</v>
      </c>
      <c r="E2046">
        <v>0</v>
      </c>
      <c r="F2046">
        <v>1390</v>
      </c>
      <c r="G2046">
        <v>20</v>
      </c>
      <c r="H2046">
        <v>21</v>
      </c>
      <c r="I2046">
        <v>12</v>
      </c>
      <c r="J2046">
        <v>2</v>
      </c>
      <c r="K2046">
        <v>1</v>
      </c>
      <c r="L2046">
        <v>1</v>
      </c>
      <c r="M2046">
        <v>25</v>
      </c>
      <c r="N2046">
        <v>157.94999999999999</v>
      </c>
      <c r="O2046">
        <v>0</v>
      </c>
      <c r="P20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46" t="str">
        <f>IF(Table1[[#This Row],[Fraud_Score]]&gt;=6, "High Risk",IF(Table1[[#This Row],[Fraud_Score]]&gt;=3, "Medium Risk", "Low Risk"))</f>
        <v>Low Risk</v>
      </c>
      <c r="R2046">
        <f>IF(Table1[[#This Row],[Seconds of Use]]=0,0,Table1[[#This Row],[Customer Value]]/Table1[[#This Row],[Seconds of Use]]*100)</f>
        <v>11.363309352517986</v>
      </c>
    </row>
    <row r="2047" spans="1:18" x14ac:dyDescent="0.35">
      <c r="A2047" s="3" t="s">
        <v>2068</v>
      </c>
      <c r="B2047">
        <v>11</v>
      </c>
      <c r="C2047">
        <v>0</v>
      </c>
      <c r="D2047">
        <v>15</v>
      </c>
      <c r="E2047">
        <v>0</v>
      </c>
      <c r="F2047">
        <v>6087</v>
      </c>
      <c r="G2047">
        <v>135</v>
      </c>
      <c r="H2047">
        <v>78</v>
      </c>
      <c r="I2047">
        <v>40</v>
      </c>
      <c r="J2047">
        <v>1</v>
      </c>
      <c r="K2047">
        <v>2</v>
      </c>
      <c r="L2047">
        <v>1</v>
      </c>
      <c r="M2047">
        <v>15</v>
      </c>
      <c r="N2047">
        <v>771.21</v>
      </c>
      <c r="O2047">
        <v>0</v>
      </c>
      <c r="P20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47" t="str">
        <f>IF(Table1[[#This Row],[Fraud_Score]]&gt;=6, "High Risk",IF(Table1[[#This Row],[Fraud_Score]]&gt;=3, "Medium Risk", "Low Risk"))</f>
        <v>Medium Risk</v>
      </c>
      <c r="R2047">
        <f>IF(Table1[[#This Row],[Seconds of Use]]=0,0,Table1[[#This Row],[Customer Value]]/Table1[[#This Row],[Seconds of Use]]*100)</f>
        <v>12.669788072942337</v>
      </c>
    </row>
    <row r="2048" spans="1:18" x14ac:dyDescent="0.35">
      <c r="A2048" s="3" t="s">
        <v>2069</v>
      </c>
      <c r="B2048">
        <v>7</v>
      </c>
      <c r="C2048">
        <v>0</v>
      </c>
      <c r="D2048">
        <v>13</v>
      </c>
      <c r="E2048">
        <v>0</v>
      </c>
      <c r="F2048">
        <v>8627</v>
      </c>
      <c r="G2048">
        <v>165</v>
      </c>
      <c r="H2048">
        <v>66</v>
      </c>
      <c r="I2048">
        <v>38</v>
      </c>
      <c r="J2048">
        <v>4</v>
      </c>
      <c r="K2048">
        <v>1</v>
      </c>
      <c r="L2048">
        <v>1</v>
      </c>
      <c r="M2048">
        <v>45</v>
      </c>
      <c r="N2048">
        <v>384.8</v>
      </c>
      <c r="O2048">
        <v>0</v>
      </c>
      <c r="P20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48" t="str">
        <f>IF(Table1[[#This Row],[Fraud_Score]]&gt;=6, "High Risk",IF(Table1[[#This Row],[Fraud_Score]]&gt;=3, "Medium Risk", "Low Risk"))</f>
        <v>Medium Risk</v>
      </c>
      <c r="R2048">
        <f>IF(Table1[[#This Row],[Seconds of Use]]=0,0,Table1[[#This Row],[Customer Value]]/Table1[[#This Row],[Seconds of Use]]*100)</f>
        <v>4.4604149762373941</v>
      </c>
    </row>
    <row r="2049" spans="1:18" x14ac:dyDescent="0.35">
      <c r="A2049" s="3" t="s">
        <v>2070</v>
      </c>
      <c r="B2049">
        <v>3</v>
      </c>
      <c r="C2049">
        <v>0</v>
      </c>
      <c r="D2049">
        <v>14</v>
      </c>
      <c r="E2049">
        <v>2</v>
      </c>
      <c r="F2049">
        <v>2547</v>
      </c>
      <c r="G2049">
        <v>39</v>
      </c>
      <c r="H2049">
        <v>24</v>
      </c>
      <c r="I2049">
        <v>17</v>
      </c>
      <c r="J2049">
        <v>3</v>
      </c>
      <c r="K2049">
        <v>1</v>
      </c>
      <c r="L2049">
        <v>1</v>
      </c>
      <c r="M2049">
        <v>30</v>
      </c>
      <c r="N2049">
        <v>199.44</v>
      </c>
      <c r="O2049">
        <v>0</v>
      </c>
      <c r="P20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49" t="str">
        <f>IF(Table1[[#This Row],[Fraud_Score]]&gt;=6, "High Risk",IF(Table1[[#This Row],[Fraud_Score]]&gt;=3, "Medium Risk", "Low Risk"))</f>
        <v>Low Risk</v>
      </c>
      <c r="R2049">
        <f>IF(Table1[[#This Row],[Seconds of Use]]=0,0,Table1[[#This Row],[Customer Value]]/Table1[[#This Row],[Seconds of Use]]*100)</f>
        <v>7.8303886925795059</v>
      </c>
    </row>
    <row r="2050" spans="1:18" x14ac:dyDescent="0.35">
      <c r="A2050" s="3" t="s">
        <v>2071</v>
      </c>
      <c r="B2050">
        <v>0</v>
      </c>
      <c r="C2050">
        <v>0</v>
      </c>
      <c r="D2050">
        <v>7</v>
      </c>
      <c r="E2050">
        <v>0</v>
      </c>
      <c r="F2050">
        <v>4085</v>
      </c>
      <c r="G2050">
        <v>34</v>
      </c>
      <c r="H2050">
        <v>208</v>
      </c>
      <c r="I2050">
        <v>8</v>
      </c>
      <c r="J2050">
        <v>3</v>
      </c>
      <c r="K2050">
        <v>1</v>
      </c>
      <c r="L2050">
        <v>1</v>
      </c>
      <c r="M2050">
        <v>30</v>
      </c>
      <c r="N2050">
        <v>996.76</v>
      </c>
      <c r="O2050">
        <v>0</v>
      </c>
      <c r="P20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0" t="str">
        <f>IF(Table1[[#This Row],[Fraud_Score]]&gt;=6, "High Risk",IF(Table1[[#This Row],[Fraud_Score]]&gt;=3, "Medium Risk", "Low Risk"))</f>
        <v>Low Risk</v>
      </c>
      <c r="R2050">
        <f>IF(Table1[[#This Row],[Seconds of Use]]=0,0,Table1[[#This Row],[Customer Value]]/Table1[[#This Row],[Seconds of Use]]*100)</f>
        <v>24.400489596083229</v>
      </c>
    </row>
    <row r="2051" spans="1:18" x14ac:dyDescent="0.35">
      <c r="A2051" s="3" t="s">
        <v>2072</v>
      </c>
      <c r="B2051">
        <v>0</v>
      </c>
      <c r="C2051">
        <v>0</v>
      </c>
      <c r="D2051">
        <v>7</v>
      </c>
      <c r="E2051">
        <v>0</v>
      </c>
      <c r="F2051">
        <v>1182</v>
      </c>
      <c r="G2051">
        <v>13</v>
      </c>
      <c r="H2051">
        <v>0</v>
      </c>
      <c r="I2051">
        <v>5</v>
      </c>
      <c r="J2051">
        <v>2</v>
      </c>
      <c r="K2051">
        <v>1</v>
      </c>
      <c r="L2051">
        <v>1</v>
      </c>
      <c r="M2051">
        <v>25</v>
      </c>
      <c r="N2051">
        <v>53.774999999999999</v>
      </c>
      <c r="O2051">
        <v>1</v>
      </c>
      <c r="P20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1" t="str">
        <f>IF(Table1[[#This Row],[Fraud_Score]]&gt;=6, "High Risk",IF(Table1[[#This Row],[Fraud_Score]]&gt;=3, "Medium Risk", "Low Risk"))</f>
        <v>Low Risk</v>
      </c>
      <c r="R2051">
        <f>IF(Table1[[#This Row],[Seconds of Use]]=0,0,Table1[[#This Row],[Customer Value]]/Table1[[#This Row],[Seconds of Use]]*100)</f>
        <v>4.5494923857868024</v>
      </c>
    </row>
    <row r="2052" spans="1:18" x14ac:dyDescent="0.35">
      <c r="A2052" s="3" t="s">
        <v>2073</v>
      </c>
      <c r="B2052">
        <v>3</v>
      </c>
      <c r="C2052">
        <v>0</v>
      </c>
      <c r="D2052">
        <v>36</v>
      </c>
      <c r="E2052">
        <v>0</v>
      </c>
      <c r="F2052">
        <v>4065</v>
      </c>
      <c r="G2052">
        <v>65</v>
      </c>
      <c r="H2052">
        <v>0</v>
      </c>
      <c r="I2052">
        <v>15</v>
      </c>
      <c r="J2052">
        <v>2</v>
      </c>
      <c r="K2052">
        <v>1</v>
      </c>
      <c r="L2052">
        <v>1</v>
      </c>
      <c r="M2052">
        <v>25</v>
      </c>
      <c r="N2052">
        <v>185.85</v>
      </c>
      <c r="O2052">
        <v>0</v>
      </c>
      <c r="P20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2" t="str">
        <f>IF(Table1[[#This Row],[Fraud_Score]]&gt;=6, "High Risk",IF(Table1[[#This Row],[Fraud_Score]]&gt;=3, "Medium Risk", "Low Risk"))</f>
        <v>Low Risk</v>
      </c>
      <c r="R2052">
        <f>IF(Table1[[#This Row],[Seconds of Use]]=0,0,Table1[[#This Row],[Customer Value]]/Table1[[#This Row],[Seconds of Use]]*100)</f>
        <v>4.5719557195571952</v>
      </c>
    </row>
    <row r="2053" spans="1:18" x14ac:dyDescent="0.35">
      <c r="A2053" s="3" t="s">
        <v>2074</v>
      </c>
      <c r="B2053">
        <v>0</v>
      </c>
      <c r="C2053">
        <v>0</v>
      </c>
      <c r="D2053">
        <v>37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2</v>
      </c>
      <c r="K2053">
        <v>1</v>
      </c>
      <c r="L2053">
        <v>2</v>
      </c>
      <c r="M2053">
        <v>25</v>
      </c>
      <c r="N2053">
        <v>0</v>
      </c>
      <c r="O2053">
        <v>0</v>
      </c>
      <c r="P20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3" t="str">
        <f>IF(Table1[[#This Row],[Fraud_Score]]&gt;=6, "High Risk",IF(Table1[[#This Row],[Fraud_Score]]&gt;=3, "Medium Risk", "Low Risk"))</f>
        <v>Low Risk</v>
      </c>
      <c r="R2053">
        <f>IF(Table1[[#This Row],[Seconds of Use]]=0,0,Table1[[#This Row],[Customer Value]]/Table1[[#This Row],[Seconds of Use]]*100)</f>
        <v>0</v>
      </c>
    </row>
    <row r="2054" spans="1:18" x14ac:dyDescent="0.35">
      <c r="A2054" s="3" t="s">
        <v>2075</v>
      </c>
      <c r="B2054">
        <v>5</v>
      </c>
      <c r="C2054">
        <v>0</v>
      </c>
      <c r="D2054">
        <v>35</v>
      </c>
      <c r="E2054">
        <v>0</v>
      </c>
      <c r="F2054">
        <v>2148</v>
      </c>
      <c r="G2054">
        <v>54</v>
      </c>
      <c r="H2054">
        <v>352</v>
      </c>
      <c r="I2054">
        <v>22</v>
      </c>
      <c r="J2054">
        <v>2</v>
      </c>
      <c r="K2054">
        <v>1</v>
      </c>
      <c r="L2054">
        <v>1</v>
      </c>
      <c r="M2054">
        <v>25</v>
      </c>
      <c r="N2054">
        <v>1683.09</v>
      </c>
      <c r="O2054">
        <v>0</v>
      </c>
      <c r="P20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4" t="str">
        <f>IF(Table1[[#This Row],[Fraud_Score]]&gt;=6, "High Risk",IF(Table1[[#This Row],[Fraud_Score]]&gt;=3, "Medium Risk", "Low Risk"))</f>
        <v>Low Risk</v>
      </c>
      <c r="R2054">
        <f>IF(Table1[[#This Row],[Seconds of Use]]=0,0,Table1[[#This Row],[Customer Value]]/Table1[[#This Row],[Seconds of Use]]*100)</f>
        <v>78.35614525139664</v>
      </c>
    </row>
    <row r="2055" spans="1:18" x14ac:dyDescent="0.35">
      <c r="A2055" s="3" t="s">
        <v>2076</v>
      </c>
      <c r="B2055">
        <v>5</v>
      </c>
      <c r="C2055">
        <v>0</v>
      </c>
      <c r="D2055">
        <v>36</v>
      </c>
      <c r="E2055">
        <v>0</v>
      </c>
      <c r="F2055">
        <v>3893</v>
      </c>
      <c r="G2055">
        <v>60</v>
      </c>
      <c r="H2055">
        <v>0</v>
      </c>
      <c r="I2055">
        <v>33</v>
      </c>
      <c r="J2055">
        <v>1</v>
      </c>
      <c r="K2055">
        <v>1</v>
      </c>
      <c r="L2055">
        <v>1</v>
      </c>
      <c r="M2055">
        <v>15</v>
      </c>
      <c r="N2055">
        <v>217.41499999999999</v>
      </c>
      <c r="O2055">
        <v>0</v>
      </c>
      <c r="P20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5" t="str">
        <f>IF(Table1[[#This Row],[Fraud_Score]]&gt;=6, "High Risk",IF(Table1[[#This Row],[Fraud_Score]]&gt;=3, "Medium Risk", "Low Risk"))</f>
        <v>Low Risk</v>
      </c>
      <c r="R2055">
        <f>IF(Table1[[#This Row],[Seconds of Use]]=0,0,Table1[[#This Row],[Customer Value]]/Table1[[#This Row],[Seconds of Use]]*100)</f>
        <v>5.5847675314667349</v>
      </c>
    </row>
    <row r="2056" spans="1:18" x14ac:dyDescent="0.35">
      <c r="A2056" s="3" t="s">
        <v>2077</v>
      </c>
      <c r="B2056">
        <v>0</v>
      </c>
      <c r="C2056">
        <v>0</v>
      </c>
      <c r="D2056">
        <v>36</v>
      </c>
      <c r="E2056">
        <v>0</v>
      </c>
      <c r="F2056">
        <v>2088</v>
      </c>
      <c r="G2056">
        <v>52</v>
      </c>
      <c r="H2056">
        <v>0</v>
      </c>
      <c r="I2056">
        <v>31</v>
      </c>
      <c r="J2056">
        <v>1</v>
      </c>
      <c r="K2056">
        <v>1</v>
      </c>
      <c r="L2056">
        <v>1</v>
      </c>
      <c r="M2056">
        <v>15</v>
      </c>
      <c r="N2056">
        <v>117.7</v>
      </c>
      <c r="O2056">
        <v>0</v>
      </c>
      <c r="P20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6" t="str">
        <f>IF(Table1[[#This Row],[Fraud_Score]]&gt;=6, "High Risk",IF(Table1[[#This Row],[Fraud_Score]]&gt;=3, "Medium Risk", "Low Risk"))</f>
        <v>Low Risk</v>
      </c>
      <c r="R2056">
        <f>IF(Table1[[#This Row],[Seconds of Use]]=0,0,Table1[[#This Row],[Customer Value]]/Table1[[#This Row],[Seconds of Use]]*100)</f>
        <v>5.6369731800766285</v>
      </c>
    </row>
    <row r="2057" spans="1:18" x14ac:dyDescent="0.35">
      <c r="A2057" s="3" t="s">
        <v>2078</v>
      </c>
      <c r="B2057">
        <v>6</v>
      </c>
      <c r="C2057">
        <v>0</v>
      </c>
      <c r="D2057">
        <v>36</v>
      </c>
      <c r="E2057">
        <v>0</v>
      </c>
      <c r="F2057">
        <v>3470</v>
      </c>
      <c r="G2057">
        <v>76</v>
      </c>
      <c r="H2057">
        <v>25</v>
      </c>
      <c r="I2057">
        <v>26</v>
      </c>
      <c r="J2057">
        <v>2</v>
      </c>
      <c r="K2057">
        <v>1</v>
      </c>
      <c r="L2057">
        <v>1</v>
      </c>
      <c r="M2057">
        <v>25</v>
      </c>
      <c r="N2057">
        <v>272.07</v>
      </c>
      <c r="O2057">
        <v>0</v>
      </c>
      <c r="P20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7" t="str">
        <f>IF(Table1[[#This Row],[Fraud_Score]]&gt;=6, "High Risk",IF(Table1[[#This Row],[Fraud_Score]]&gt;=3, "Medium Risk", "Low Risk"))</f>
        <v>Low Risk</v>
      </c>
      <c r="R2057">
        <f>IF(Table1[[#This Row],[Seconds of Use]]=0,0,Table1[[#This Row],[Customer Value]]/Table1[[#This Row],[Seconds of Use]]*100)</f>
        <v>7.8406340057636887</v>
      </c>
    </row>
    <row r="2058" spans="1:18" x14ac:dyDescent="0.35">
      <c r="A2058" s="3" t="s">
        <v>2079</v>
      </c>
      <c r="B2058">
        <v>0</v>
      </c>
      <c r="C2058">
        <v>0</v>
      </c>
      <c r="D2058">
        <v>36</v>
      </c>
      <c r="E2058">
        <v>0</v>
      </c>
      <c r="F2058">
        <v>2055</v>
      </c>
      <c r="G2058">
        <v>33</v>
      </c>
      <c r="H2058">
        <v>278</v>
      </c>
      <c r="I2058">
        <v>16</v>
      </c>
      <c r="J2058">
        <v>3</v>
      </c>
      <c r="K2058">
        <v>1</v>
      </c>
      <c r="L2058">
        <v>1</v>
      </c>
      <c r="M2058">
        <v>30</v>
      </c>
      <c r="N2058">
        <v>1195.52</v>
      </c>
      <c r="O2058">
        <v>0</v>
      </c>
      <c r="P20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58" t="str">
        <f>IF(Table1[[#This Row],[Fraud_Score]]&gt;=6, "High Risk",IF(Table1[[#This Row],[Fraud_Score]]&gt;=3, "Medium Risk", "Low Risk"))</f>
        <v>Low Risk</v>
      </c>
      <c r="R2058">
        <f>IF(Table1[[#This Row],[Seconds of Use]]=0,0,Table1[[#This Row],[Customer Value]]/Table1[[#This Row],[Seconds of Use]]*100)</f>
        <v>58.17615571776156</v>
      </c>
    </row>
    <row r="2059" spans="1:18" x14ac:dyDescent="0.35">
      <c r="A2059" s="3" t="s">
        <v>2080</v>
      </c>
      <c r="B2059">
        <v>8</v>
      </c>
      <c r="C2059">
        <v>0</v>
      </c>
      <c r="D2059">
        <v>35</v>
      </c>
      <c r="E2059">
        <v>1</v>
      </c>
      <c r="F2059">
        <v>8810</v>
      </c>
      <c r="G2059">
        <v>115</v>
      </c>
      <c r="H2059">
        <v>137</v>
      </c>
      <c r="I2059">
        <v>41</v>
      </c>
      <c r="J2059">
        <v>3</v>
      </c>
      <c r="K2059">
        <v>1</v>
      </c>
      <c r="L2059">
        <v>1</v>
      </c>
      <c r="M2059">
        <v>30</v>
      </c>
      <c r="N2059">
        <v>905</v>
      </c>
      <c r="O2059">
        <v>0</v>
      </c>
      <c r="P20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59" t="str">
        <f>IF(Table1[[#This Row],[Fraud_Score]]&gt;=6, "High Risk",IF(Table1[[#This Row],[Fraud_Score]]&gt;=3, "Medium Risk", "Low Risk"))</f>
        <v>Low Risk</v>
      </c>
      <c r="R2059">
        <f>IF(Table1[[#This Row],[Seconds of Use]]=0,0,Table1[[#This Row],[Customer Value]]/Table1[[#This Row],[Seconds of Use]]*100)</f>
        <v>10.272417707150964</v>
      </c>
    </row>
    <row r="2060" spans="1:18" x14ac:dyDescent="0.35">
      <c r="A2060" s="3" t="s">
        <v>2081</v>
      </c>
      <c r="B2060">
        <v>2</v>
      </c>
      <c r="C2060">
        <v>0</v>
      </c>
      <c r="D2060">
        <v>36</v>
      </c>
      <c r="E2060">
        <v>0</v>
      </c>
      <c r="F2060">
        <v>13468</v>
      </c>
      <c r="G2060">
        <v>163</v>
      </c>
      <c r="H2060">
        <v>0</v>
      </c>
      <c r="I2060">
        <v>42</v>
      </c>
      <c r="J2060">
        <v>3</v>
      </c>
      <c r="K2060">
        <v>1</v>
      </c>
      <c r="L2060">
        <v>1</v>
      </c>
      <c r="M2060">
        <v>30</v>
      </c>
      <c r="N2060">
        <v>545.24</v>
      </c>
      <c r="O2060">
        <v>0</v>
      </c>
      <c r="P20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60" t="str">
        <f>IF(Table1[[#This Row],[Fraud_Score]]&gt;=6, "High Risk",IF(Table1[[#This Row],[Fraud_Score]]&gt;=3, "Medium Risk", "Low Risk"))</f>
        <v>Medium Risk</v>
      </c>
      <c r="R2060">
        <f>IF(Table1[[#This Row],[Seconds of Use]]=0,0,Table1[[#This Row],[Customer Value]]/Table1[[#This Row],[Seconds of Use]]*100)</f>
        <v>4.0484110484110483</v>
      </c>
    </row>
    <row r="2061" spans="1:18" x14ac:dyDescent="0.35">
      <c r="A2061" s="3" t="s">
        <v>2082</v>
      </c>
      <c r="B2061">
        <v>2</v>
      </c>
      <c r="C2061">
        <v>0</v>
      </c>
      <c r="D2061">
        <v>36</v>
      </c>
      <c r="E2061">
        <v>0</v>
      </c>
      <c r="F2061">
        <v>4210</v>
      </c>
      <c r="G2061">
        <v>77</v>
      </c>
      <c r="H2061">
        <v>0</v>
      </c>
      <c r="I2061">
        <v>23</v>
      </c>
      <c r="J2061">
        <v>3</v>
      </c>
      <c r="K2061">
        <v>1</v>
      </c>
      <c r="L2061">
        <v>1</v>
      </c>
      <c r="M2061">
        <v>30</v>
      </c>
      <c r="N2061">
        <v>171.48</v>
      </c>
      <c r="O2061">
        <v>0</v>
      </c>
      <c r="P20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1" t="str">
        <f>IF(Table1[[#This Row],[Fraud_Score]]&gt;=6, "High Risk",IF(Table1[[#This Row],[Fraud_Score]]&gt;=3, "Medium Risk", "Low Risk"))</f>
        <v>Low Risk</v>
      </c>
      <c r="R2061">
        <f>IF(Table1[[#This Row],[Seconds of Use]]=0,0,Table1[[#This Row],[Customer Value]]/Table1[[#This Row],[Seconds of Use]]*100)</f>
        <v>4.0731591448931113</v>
      </c>
    </row>
    <row r="2062" spans="1:18" x14ac:dyDescent="0.35">
      <c r="A2062" s="3" t="s">
        <v>2083</v>
      </c>
      <c r="B2062">
        <v>1</v>
      </c>
      <c r="C2062">
        <v>0</v>
      </c>
      <c r="D2062">
        <v>36</v>
      </c>
      <c r="E2062">
        <v>0</v>
      </c>
      <c r="F2062">
        <v>5613</v>
      </c>
      <c r="G2062">
        <v>89</v>
      </c>
      <c r="H2062">
        <v>0</v>
      </c>
      <c r="I2062">
        <v>10</v>
      </c>
      <c r="J2062">
        <v>2</v>
      </c>
      <c r="K2062">
        <v>1</v>
      </c>
      <c r="L2062">
        <v>1</v>
      </c>
      <c r="M2062">
        <v>25</v>
      </c>
      <c r="N2062">
        <v>256.58999999999997</v>
      </c>
      <c r="O2062">
        <v>0</v>
      </c>
      <c r="P20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2" t="str">
        <f>IF(Table1[[#This Row],[Fraud_Score]]&gt;=6, "High Risk",IF(Table1[[#This Row],[Fraud_Score]]&gt;=3, "Medium Risk", "Low Risk"))</f>
        <v>Low Risk</v>
      </c>
      <c r="R2062">
        <f>IF(Table1[[#This Row],[Seconds of Use]]=0,0,Table1[[#This Row],[Customer Value]]/Table1[[#This Row],[Seconds of Use]]*100)</f>
        <v>4.571352218065206</v>
      </c>
    </row>
    <row r="2063" spans="1:18" x14ac:dyDescent="0.35">
      <c r="A2063" s="3" t="s">
        <v>2084</v>
      </c>
      <c r="B2063">
        <v>4</v>
      </c>
      <c r="C2063">
        <v>0</v>
      </c>
      <c r="D2063">
        <v>36</v>
      </c>
      <c r="E2063">
        <v>0</v>
      </c>
      <c r="F2063">
        <v>1933</v>
      </c>
      <c r="G2063">
        <v>48</v>
      </c>
      <c r="H2063">
        <v>1</v>
      </c>
      <c r="I2063">
        <v>15</v>
      </c>
      <c r="J2063">
        <v>3</v>
      </c>
      <c r="K2063">
        <v>1</v>
      </c>
      <c r="L2063">
        <v>2</v>
      </c>
      <c r="M2063">
        <v>30</v>
      </c>
      <c r="N2063">
        <v>83.24</v>
      </c>
      <c r="O2063">
        <v>0</v>
      </c>
      <c r="P20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3" t="str">
        <f>IF(Table1[[#This Row],[Fraud_Score]]&gt;=6, "High Risk",IF(Table1[[#This Row],[Fraud_Score]]&gt;=3, "Medium Risk", "Low Risk"))</f>
        <v>Low Risk</v>
      </c>
      <c r="R2063">
        <f>IF(Table1[[#This Row],[Seconds of Use]]=0,0,Table1[[#This Row],[Customer Value]]/Table1[[#This Row],[Seconds of Use]]*100)</f>
        <v>4.3062596999482663</v>
      </c>
    </row>
    <row r="2064" spans="1:18" x14ac:dyDescent="0.35">
      <c r="A2064" s="3" t="s">
        <v>2085</v>
      </c>
      <c r="B2064">
        <v>20</v>
      </c>
      <c r="C2064">
        <v>0</v>
      </c>
      <c r="D2064">
        <v>36</v>
      </c>
      <c r="E2064">
        <v>2</v>
      </c>
      <c r="F2064">
        <v>14835</v>
      </c>
      <c r="G2064">
        <v>219</v>
      </c>
      <c r="H2064">
        <v>47</v>
      </c>
      <c r="I2064">
        <v>30</v>
      </c>
      <c r="J2064">
        <v>3</v>
      </c>
      <c r="K2064">
        <v>1</v>
      </c>
      <c r="L2064">
        <v>1</v>
      </c>
      <c r="M2064">
        <v>30</v>
      </c>
      <c r="N2064">
        <v>790.16</v>
      </c>
      <c r="O2064">
        <v>0</v>
      </c>
      <c r="P20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064" t="str">
        <f>IF(Table1[[#This Row],[Fraud_Score]]&gt;=6, "High Risk",IF(Table1[[#This Row],[Fraud_Score]]&gt;=3, "Medium Risk", "Low Risk"))</f>
        <v>Medium Risk</v>
      </c>
      <c r="R2064">
        <f>IF(Table1[[#This Row],[Seconds of Use]]=0,0,Table1[[#This Row],[Customer Value]]/Table1[[#This Row],[Seconds of Use]]*100)</f>
        <v>5.3263228850690929</v>
      </c>
    </row>
    <row r="2065" spans="1:18" x14ac:dyDescent="0.35">
      <c r="A2065" s="3" t="s">
        <v>2086</v>
      </c>
      <c r="B2065">
        <v>0</v>
      </c>
      <c r="C2065">
        <v>0</v>
      </c>
      <c r="D2065">
        <v>36</v>
      </c>
      <c r="E2065">
        <v>0</v>
      </c>
      <c r="F2065">
        <v>2790</v>
      </c>
      <c r="G2065">
        <v>21</v>
      </c>
      <c r="H2065">
        <v>476</v>
      </c>
      <c r="I2065">
        <v>6</v>
      </c>
      <c r="J2065">
        <v>3</v>
      </c>
      <c r="K2065">
        <v>1</v>
      </c>
      <c r="L2065">
        <v>1</v>
      </c>
      <c r="M2065">
        <v>30</v>
      </c>
      <c r="N2065">
        <v>2016.44</v>
      </c>
      <c r="O2065">
        <v>0</v>
      </c>
      <c r="P20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5" t="str">
        <f>IF(Table1[[#This Row],[Fraud_Score]]&gt;=6, "High Risk",IF(Table1[[#This Row],[Fraud_Score]]&gt;=3, "Medium Risk", "Low Risk"))</f>
        <v>Low Risk</v>
      </c>
      <c r="R2065">
        <f>IF(Table1[[#This Row],[Seconds of Use]]=0,0,Table1[[#This Row],[Customer Value]]/Table1[[#This Row],[Seconds of Use]]*100)</f>
        <v>72.273835125448031</v>
      </c>
    </row>
    <row r="2066" spans="1:18" x14ac:dyDescent="0.35">
      <c r="A2066" s="3" t="s">
        <v>2087</v>
      </c>
      <c r="B2066">
        <v>4</v>
      </c>
      <c r="C2066">
        <v>0</v>
      </c>
      <c r="D2066">
        <v>35</v>
      </c>
      <c r="E2066">
        <v>0</v>
      </c>
      <c r="F2066">
        <v>15180</v>
      </c>
      <c r="G2066">
        <v>176</v>
      </c>
      <c r="H2066">
        <v>143</v>
      </c>
      <c r="I2066">
        <v>28</v>
      </c>
      <c r="J2066">
        <v>2</v>
      </c>
      <c r="K2066">
        <v>1</v>
      </c>
      <c r="L2066">
        <v>1</v>
      </c>
      <c r="M2066">
        <v>25</v>
      </c>
      <c r="N2066">
        <v>1334.52</v>
      </c>
      <c r="O2066">
        <v>0</v>
      </c>
      <c r="P20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66" t="str">
        <f>IF(Table1[[#This Row],[Fraud_Score]]&gt;=6, "High Risk",IF(Table1[[#This Row],[Fraud_Score]]&gt;=3, "Medium Risk", "Low Risk"))</f>
        <v>Medium Risk</v>
      </c>
      <c r="R2066">
        <f>IF(Table1[[#This Row],[Seconds of Use]]=0,0,Table1[[#This Row],[Customer Value]]/Table1[[#This Row],[Seconds of Use]]*100)</f>
        <v>8.7913043478260864</v>
      </c>
    </row>
    <row r="2067" spans="1:18" x14ac:dyDescent="0.35">
      <c r="A2067" s="3" t="s">
        <v>2088</v>
      </c>
      <c r="B2067">
        <v>0</v>
      </c>
      <c r="C2067">
        <v>0</v>
      </c>
      <c r="D2067">
        <v>35</v>
      </c>
      <c r="E2067">
        <v>0</v>
      </c>
      <c r="F2067">
        <v>6195</v>
      </c>
      <c r="G2067">
        <v>80</v>
      </c>
      <c r="H2067">
        <v>179</v>
      </c>
      <c r="I2067">
        <v>24</v>
      </c>
      <c r="J2067">
        <v>3</v>
      </c>
      <c r="K2067">
        <v>1</v>
      </c>
      <c r="L2067">
        <v>1</v>
      </c>
      <c r="M2067">
        <v>30</v>
      </c>
      <c r="N2067">
        <v>967</v>
      </c>
      <c r="O2067">
        <v>0</v>
      </c>
      <c r="P20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7" t="str">
        <f>IF(Table1[[#This Row],[Fraud_Score]]&gt;=6, "High Risk",IF(Table1[[#This Row],[Fraud_Score]]&gt;=3, "Medium Risk", "Low Risk"))</f>
        <v>Low Risk</v>
      </c>
      <c r="R2067">
        <f>IF(Table1[[#This Row],[Seconds of Use]]=0,0,Table1[[#This Row],[Customer Value]]/Table1[[#This Row],[Seconds of Use]]*100)</f>
        <v>15.609362389023406</v>
      </c>
    </row>
    <row r="2068" spans="1:18" x14ac:dyDescent="0.35">
      <c r="A2068" s="3" t="s">
        <v>2089</v>
      </c>
      <c r="B2068">
        <v>0</v>
      </c>
      <c r="C2068">
        <v>0</v>
      </c>
      <c r="D2068">
        <v>35</v>
      </c>
      <c r="E2068">
        <v>0</v>
      </c>
      <c r="F2068">
        <v>570</v>
      </c>
      <c r="G2068">
        <v>8</v>
      </c>
      <c r="H2068">
        <v>0</v>
      </c>
      <c r="I2068">
        <v>9</v>
      </c>
      <c r="J2068">
        <v>2</v>
      </c>
      <c r="K2068">
        <v>1</v>
      </c>
      <c r="L2068">
        <v>2</v>
      </c>
      <c r="M2068">
        <v>25</v>
      </c>
      <c r="N2068">
        <v>26.01</v>
      </c>
      <c r="O2068">
        <v>0</v>
      </c>
      <c r="P20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8" t="str">
        <f>IF(Table1[[#This Row],[Fraud_Score]]&gt;=6, "High Risk",IF(Table1[[#This Row],[Fraud_Score]]&gt;=3, "Medium Risk", "Low Risk"))</f>
        <v>Low Risk</v>
      </c>
      <c r="R2068">
        <f>IF(Table1[[#This Row],[Seconds of Use]]=0,0,Table1[[#This Row],[Customer Value]]/Table1[[#This Row],[Seconds of Use]]*100)</f>
        <v>4.5631578947368423</v>
      </c>
    </row>
    <row r="2069" spans="1:18" x14ac:dyDescent="0.35">
      <c r="A2069" s="3" t="s">
        <v>2090</v>
      </c>
      <c r="B2069">
        <v>0</v>
      </c>
      <c r="C2069">
        <v>0</v>
      </c>
      <c r="D2069">
        <v>36</v>
      </c>
      <c r="E2069">
        <v>0</v>
      </c>
      <c r="F2069">
        <v>405</v>
      </c>
      <c r="G2069">
        <v>8</v>
      </c>
      <c r="H2069">
        <v>6</v>
      </c>
      <c r="I2069">
        <v>6</v>
      </c>
      <c r="J2069">
        <v>2</v>
      </c>
      <c r="K2069">
        <v>1</v>
      </c>
      <c r="L2069">
        <v>2</v>
      </c>
      <c r="M2069">
        <v>25</v>
      </c>
      <c r="N2069">
        <v>45.585000000000001</v>
      </c>
      <c r="O2069">
        <v>0</v>
      </c>
      <c r="P20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69" t="str">
        <f>IF(Table1[[#This Row],[Fraud_Score]]&gt;=6, "High Risk",IF(Table1[[#This Row],[Fraud_Score]]&gt;=3, "Medium Risk", "Low Risk"))</f>
        <v>Low Risk</v>
      </c>
      <c r="R2069">
        <f>IF(Table1[[#This Row],[Seconds of Use]]=0,0,Table1[[#This Row],[Customer Value]]/Table1[[#This Row],[Seconds of Use]]*100)</f>
        <v>11.255555555555556</v>
      </c>
    </row>
    <row r="2070" spans="1:18" x14ac:dyDescent="0.35">
      <c r="A2070" s="3" t="s">
        <v>2091</v>
      </c>
      <c r="B2070">
        <v>0</v>
      </c>
      <c r="C2070">
        <v>0</v>
      </c>
      <c r="D2070">
        <v>35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2</v>
      </c>
      <c r="K2070">
        <v>1</v>
      </c>
      <c r="L2070">
        <v>2</v>
      </c>
      <c r="M2070">
        <v>25</v>
      </c>
      <c r="N2070">
        <v>0</v>
      </c>
      <c r="O2070">
        <v>1</v>
      </c>
      <c r="P20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70" t="str">
        <f>IF(Table1[[#This Row],[Fraud_Score]]&gt;=6, "High Risk",IF(Table1[[#This Row],[Fraud_Score]]&gt;=3, "Medium Risk", "Low Risk"))</f>
        <v>Low Risk</v>
      </c>
      <c r="R2070">
        <f>IF(Table1[[#This Row],[Seconds of Use]]=0,0,Table1[[#This Row],[Customer Value]]/Table1[[#This Row],[Seconds of Use]]*100)</f>
        <v>0</v>
      </c>
    </row>
    <row r="2071" spans="1:18" x14ac:dyDescent="0.35">
      <c r="A2071" s="3" t="s">
        <v>2092</v>
      </c>
      <c r="B2071">
        <v>0</v>
      </c>
      <c r="C2071">
        <v>0</v>
      </c>
      <c r="D2071">
        <v>35</v>
      </c>
      <c r="E2071">
        <v>0</v>
      </c>
      <c r="F2071">
        <v>7203</v>
      </c>
      <c r="G2071">
        <v>121</v>
      </c>
      <c r="H2071">
        <v>377</v>
      </c>
      <c r="I2071">
        <v>41</v>
      </c>
      <c r="J2071">
        <v>2</v>
      </c>
      <c r="K2071">
        <v>1</v>
      </c>
      <c r="L2071">
        <v>1</v>
      </c>
      <c r="M2071">
        <v>25</v>
      </c>
      <c r="N2071">
        <v>2026.08</v>
      </c>
      <c r="O2071">
        <v>0</v>
      </c>
      <c r="P20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71" t="str">
        <f>IF(Table1[[#This Row],[Fraud_Score]]&gt;=6, "High Risk",IF(Table1[[#This Row],[Fraud_Score]]&gt;=3, "Medium Risk", "Low Risk"))</f>
        <v>Low Risk</v>
      </c>
      <c r="R2071">
        <f>IF(Table1[[#This Row],[Seconds of Use]]=0,0,Table1[[#This Row],[Customer Value]]/Table1[[#This Row],[Seconds of Use]]*100)</f>
        <v>28.128279883381925</v>
      </c>
    </row>
    <row r="2072" spans="1:18" x14ac:dyDescent="0.35">
      <c r="A2072" s="3" t="s">
        <v>2093</v>
      </c>
      <c r="B2072">
        <v>2</v>
      </c>
      <c r="C2072">
        <v>0</v>
      </c>
      <c r="D2072">
        <v>35</v>
      </c>
      <c r="E2072">
        <v>0</v>
      </c>
      <c r="F2072">
        <v>11160</v>
      </c>
      <c r="G2072">
        <v>148</v>
      </c>
      <c r="H2072">
        <v>4</v>
      </c>
      <c r="I2072">
        <v>45</v>
      </c>
      <c r="J2072">
        <v>3</v>
      </c>
      <c r="K2072">
        <v>1</v>
      </c>
      <c r="L2072">
        <v>1</v>
      </c>
      <c r="M2072">
        <v>30</v>
      </c>
      <c r="N2072">
        <v>468.32</v>
      </c>
      <c r="O2072">
        <v>0</v>
      </c>
      <c r="P20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72" t="str">
        <f>IF(Table1[[#This Row],[Fraud_Score]]&gt;=6, "High Risk",IF(Table1[[#This Row],[Fraud_Score]]&gt;=3, "Medium Risk", "Low Risk"))</f>
        <v>Medium Risk</v>
      </c>
      <c r="R2072">
        <f>IF(Table1[[#This Row],[Seconds of Use]]=0,0,Table1[[#This Row],[Customer Value]]/Table1[[#This Row],[Seconds of Use]]*100)</f>
        <v>4.1964157706093195</v>
      </c>
    </row>
    <row r="2073" spans="1:18" x14ac:dyDescent="0.35">
      <c r="A2073" s="3" t="s">
        <v>2094</v>
      </c>
      <c r="B2073">
        <v>3</v>
      </c>
      <c r="C2073">
        <v>0</v>
      </c>
      <c r="D2073">
        <v>35</v>
      </c>
      <c r="E2073">
        <v>0</v>
      </c>
      <c r="F2073">
        <v>6413</v>
      </c>
      <c r="G2073">
        <v>69</v>
      </c>
      <c r="H2073">
        <v>101</v>
      </c>
      <c r="I2073">
        <v>35</v>
      </c>
      <c r="J2073">
        <v>2</v>
      </c>
      <c r="K2073">
        <v>1</v>
      </c>
      <c r="L2073">
        <v>1</v>
      </c>
      <c r="M2073">
        <v>25</v>
      </c>
      <c r="N2073">
        <v>746.19</v>
      </c>
      <c r="O2073">
        <v>0</v>
      </c>
      <c r="P20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73" t="str">
        <f>IF(Table1[[#This Row],[Fraud_Score]]&gt;=6, "High Risk",IF(Table1[[#This Row],[Fraud_Score]]&gt;=3, "Medium Risk", "Low Risk"))</f>
        <v>Low Risk</v>
      </c>
      <c r="R2073">
        <f>IF(Table1[[#This Row],[Seconds of Use]]=0,0,Table1[[#This Row],[Customer Value]]/Table1[[#This Row],[Seconds of Use]]*100)</f>
        <v>11.635583970060814</v>
      </c>
    </row>
    <row r="2074" spans="1:18" x14ac:dyDescent="0.35">
      <c r="A2074" s="3" t="s">
        <v>2095</v>
      </c>
      <c r="B2074">
        <v>18</v>
      </c>
      <c r="C2074">
        <v>1</v>
      </c>
      <c r="D2074">
        <v>31</v>
      </c>
      <c r="E2074">
        <v>0</v>
      </c>
      <c r="F2074">
        <v>650</v>
      </c>
      <c r="G2074">
        <v>41</v>
      </c>
      <c r="H2074">
        <v>9</v>
      </c>
      <c r="I2074">
        <v>15</v>
      </c>
      <c r="J2074">
        <v>2</v>
      </c>
      <c r="K2074">
        <v>1</v>
      </c>
      <c r="L2074">
        <v>2</v>
      </c>
      <c r="M2074">
        <v>25</v>
      </c>
      <c r="N2074">
        <v>71.594999999999999</v>
      </c>
      <c r="O2074">
        <v>1</v>
      </c>
      <c r="P20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074" t="str">
        <f>IF(Table1[[#This Row],[Fraud_Score]]&gt;=6, "High Risk",IF(Table1[[#This Row],[Fraud_Score]]&gt;=3, "Medium Risk", "Low Risk"))</f>
        <v>Medium Risk</v>
      </c>
      <c r="R2074">
        <f>IF(Table1[[#This Row],[Seconds of Use]]=0,0,Table1[[#This Row],[Customer Value]]/Table1[[#This Row],[Seconds of Use]]*100)</f>
        <v>11.014615384615384</v>
      </c>
    </row>
    <row r="2075" spans="1:18" x14ac:dyDescent="0.35">
      <c r="A2075" s="3" t="s">
        <v>2096</v>
      </c>
      <c r="B2075">
        <v>16</v>
      </c>
      <c r="C2075">
        <v>0</v>
      </c>
      <c r="D2075">
        <v>34</v>
      </c>
      <c r="E2075">
        <v>7</v>
      </c>
      <c r="F2075">
        <v>10130</v>
      </c>
      <c r="G2075">
        <v>87</v>
      </c>
      <c r="H2075">
        <v>0</v>
      </c>
      <c r="I2075">
        <v>40</v>
      </c>
      <c r="J2075">
        <v>4</v>
      </c>
      <c r="K2075">
        <v>1</v>
      </c>
      <c r="L2075">
        <v>1</v>
      </c>
      <c r="M2075">
        <v>45</v>
      </c>
      <c r="N2075">
        <v>255.42500000000001</v>
      </c>
      <c r="O2075">
        <v>0</v>
      </c>
      <c r="P20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075" t="str">
        <f>IF(Table1[[#This Row],[Fraud_Score]]&gt;=6, "High Risk",IF(Table1[[#This Row],[Fraud_Score]]&gt;=3, "Medium Risk", "Low Risk"))</f>
        <v>Low Risk</v>
      </c>
      <c r="R2075">
        <f>IF(Table1[[#This Row],[Seconds of Use]]=0,0,Table1[[#This Row],[Customer Value]]/Table1[[#This Row],[Seconds of Use]]*100)</f>
        <v>2.5214708785784796</v>
      </c>
    </row>
    <row r="2076" spans="1:18" x14ac:dyDescent="0.35">
      <c r="A2076" s="3" t="s">
        <v>2097</v>
      </c>
      <c r="B2076">
        <v>8</v>
      </c>
      <c r="C2076">
        <v>0</v>
      </c>
      <c r="D2076">
        <v>34</v>
      </c>
      <c r="E2076">
        <v>0</v>
      </c>
      <c r="F2076">
        <v>5513</v>
      </c>
      <c r="G2076">
        <v>92</v>
      </c>
      <c r="H2076">
        <v>19</v>
      </c>
      <c r="I2076">
        <v>22</v>
      </c>
      <c r="J2076">
        <v>2</v>
      </c>
      <c r="K2076">
        <v>1</v>
      </c>
      <c r="L2076">
        <v>1</v>
      </c>
      <c r="M2076">
        <v>25</v>
      </c>
      <c r="N2076">
        <v>337.72500000000002</v>
      </c>
      <c r="O2076">
        <v>1</v>
      </c>
      <c r="P20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76" t="str">
        <f>IF(Table1[[#This Row],[Fraud_Score]]&gt;=6, "High Risk",IF(Table1[[#This Row],[Fraud_Score]]&gt;=3, "Medium Risk", "Low Risk"))</f>
        <v>Low Risk</v>
      </c>
      <c r="R2076">
        <f>IF(Table1[[#This Row],[Seconds of Use]]=0,0,Table1[[#This Row],[Customer Value]]/Table1[[#This Row],[Seconds of Use]]*100)</f>
        <v>6.1259749682568474</v>
      </c>
    </row>
    <row r="2077" spans="1:18" x14ac:dyDescent="0.35">
      <c r="A2077" s="3" t="s">
        <v>2098</v>
      </c>
      <c r="B2077">
        <v>0</v>
      </c>
      <c r="C2077">
        <v>0</v>
      </c>
      <c r="D2077">
        <v>32</v>
      </c>
      <c r="E2077">
        <v>0</v>
      </c>
      <c r="F2077">
        <v>2535</v>
      </c>
      <c r="G2077">
        <v>16</v>
      </c>
      <c r="H2077">
        <v>0</v>
      </c>
      <c r="I2077">
        <v>12</v>
      </c>
      <c r="J2077">
        <v>3</v>
      </c>
      <c r="K2077">
        <v>1</v>
      </c>
      <c r="L2077">
        <v>1</v>
      </c>
      <c r="M2077">
        <v>30</v>
      </c>
      <c r="N2077">
        <v>102.04</v>
      </c>
      <c r="O2077">
        <v>0</v>
      </c>
      <c r="P20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77" t="str">
        <f>IF(Table1[[#This Row],[Fraud_Score]]&gt;=6, "High Risk",IF(Table1[[#This Row],[Fraud_Score]]&gt;=3, "Medium Risk", "Low Risk"))</f>
        <v>Low Risk</v>
      </c>
      <c r="R2077">
        <f>IF(Table1[[#This Row],[Seconds of Use]]=0,0,Table1[[#This Row],[Customer Value]]/Table1[[#This Row],[Seconds of Use]]*100)</f>
        <v>4.0252465483234721</v>
      </c>
    </row>
    <row r="2078" spans="1:18" x14ac:dyDescent="0.35">
      <c r="A2078" s="3" t="s">
        <v>2099</v>
      </c>
      <c r="B2078">
        <v>4</v>
      </c>
      <c r="C2078">
        <v>1</v>
      </c>
      <c r="D2078">
        <v>33</v>
      </c>
      <c r="E2078">
        <v>0</v>
      </c>
      <c r="F2078">
        <v>2685</v>
      </c>
      <c r="G2078">
        <v>35</v>
      </c>
      <c r="H2078">
        <v>2</v>
      </c>
      <c r="I2078">
        <v>14</v>
      </c>
      <c r="J2078">
        <v>2</v>
      </c>
      <c r="K2078">
        <v>1</v>
      </c>
      <c r="L2078">
        <v>2</v>
      </c>
      <c r="M2078">
        <v>25</v>
      </c>
      <c r="N2078">
        <v>131.4</v>
      </c>
      <c r="O2078">
        <v>1</v>
      </c>
      <c r="P20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78" t="str">
        <f>IF(Table1[[#This Row],[Fraud_Score]]&gt;=6, "High Risk",IF(Table1[[#This Row],[Fraud_Score]]&gt;=3, "Medium Risk", "Low Risk"))</f>
        <v>Medium Risk</v>
      </c>
      <c r="R2078">
        <f>IF(Table1[[#This Row],[Seconds of Use]]=0,0,Table1[[#This Row],[Customer Value]]/Table1[[#This Row],[Seconds of Use]]*100)</f>
        <v>4.8938547486033528</v>
      </c>
    </row>
    <row r="2079" spans="1:18" x14ac:dyDescent="0.35">
      <c r="A2079" s="3" t="s">
        <v>2100</v>
      </c>
      <c r="B2079">
        <v>4</v>
      </c>
      <c r="C2079">
        <v>0</v>
      </c>
      <c r="D2079">
        <v>34</v>
      </c>
      <c r="E2079">
        <v>0</v>
      </c>
      <c r="F2079">
        <v>1963</v>
      </c>
      <c r="G2079">
        <v>38</v>
      </c>
      <c r="H2079">
        <v>27</v>
      </c>
      <c r="I2079">
        <v>29</v>
      </c>
      <c r="J2079">
        <v>3</v>
      </c>
      <c r="K2079">
        <v>1</v>
      </c>
      <c r="L2079">
        <v>2</v>
      </c>
      <c r="M2079">
        <v>30</v>
      </c>
      <c r="N2079">
        <v>188.04</v>
      </c>
      <c r="O2079">
        <v>1</v>
      </c>
      <c r="P20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79" t="str">
        <f>IF(Table1[[#This Row],[Fraud_Score]]&gt;=6, "High Risk",IF(Table1[[#This Row],[Fraud_Score]]&gt;=3, "Medium Risk", "Low Risk"))</f>
        <v>Low Risk</v>
      </c>
      <c r="R2079">
        <f>IF(Table1[[#This Row],[Seconds of Use]]=0,0,Table1[[#This Row],[Customer Value]]/Table1[[#This Row],[Seconds of Use]]*100)</f>
        <v>9.5792154865002548</v>
      </c>
    </row>
    <row r="2080" spans="1:18" x14ac:dyDescent="0.35">
      <c r="A2080" s="3" t="s">
        <v>2101</v>
      </c>
      <c r="B2080">
        <v>0</v>
      </c>
      <c r="C2080">
        <v>1</v>
      </c>
      <c r="D2080">
        <v>34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3</v>
      </c>
      <c r="K2080">
        <v>1</v>
      </c>
      <c r="L2080">
        <v>2</v>
      </c>
      <c r="M2080">
        <v>30</v>
      </c>
      <c r="N2080">
        <v>0</v>
      </c>
      <c r="O2080">
        <v>1</v>
      </c>
      <c r="P20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80" t="str">
        <f>IF(Table1[[#This Row],[Fraud_Score]]&gt;=6, "High Risk",IF(Table1[[#This Row],[Fraud_Score]]&gt;=3, "Medium Risk", "Low Risk"))</f>
        <v>Medium Risk</v>
      </c>
      <c r="R2080">
        <f>IF(Table1[[#This Row],[Seconds of Use]]=0,0,Table1[[#This Row],[Customer Value]]/Table1[[#This Row],[Seconds of Use]]*100)</f>
        <v>0</v>
      </c>
    </row>
    <row r="2081" spans="1:18" x14ac:dyDescent="0.35">
      <c r="A2081" s="3" t="s">
        <v>2102</v>
      </c>
      <c r="B2081">
        <v>0</v>
      </c>
      <c r="C2081">
        <v>0</v>
      </c>
      <c r="D2081">
        <v>34</v>
      </c>
      <c r="E2081">
        <v>0</v>
      </c>
      <c r="F2081">
        <v>1363</v>
      </c>
      <c r="G2081">
        <v>19</v>
      </c>
      <c r="H2081">
        <v>0</v>
      </c>
      <c r="I2081">
        <v>4</v>
      </c>
      <c r="J2081">
        <v>3</v>
      </c>
      <c r="K2081">
        <v>1</v>
      </c>
      <c r="L2081">
        <v>1</v>
      </c>
      <c r="M2081">
        <v>30</v>
      </c>
      <c r="N2081">
        <v>55.28</v>
      </c>
      <c r="O2081">
        <v>0</v>
      </c>
      <c r="P20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1" t="str">
        <f>IF(Table1[[#This Row],[Fraud_Score]]&gt;=6, "High Risk",IF(Table1[[#This Row],[Fraud_Score]]&gt;=3, "Medium Risk", "Low Risk"))</f>
        <v>Low Risk</v>
      </c>
      <c r="R2081">
        <f>IF(Table1[[#This Row],[Seconds of Use]]=0,0,Table1[[#This Row],[Customer Value]]/Table1[[#This Row],[Seconds of Use]]*100)</f>
        <v>4.0557593543653709</v>
      </c>
    </row>
    <row r="2082" spans="1:18" x14ac:dyDescent="0.35">
      <c r="A2082" s="3" t="s">
        <v>2103</v>
      </c>
      <c r="B2082">
        <v>0</v>
      </c>
      <c r="C2082">
        <v>0</v>
      </c>
      <c r="D2082">
        <v>31</v>
      </c>
      <c r="E2082">
        <v>0</v>
      </c>
      <c r="F2082">
        <v>6480</v>
      </c>
      <c r="G2082">
        <v>91</v>
      </c>
      <c r="H2082">
        <v>7</v>
      </c>
      <c r="I2082">
        <v>20</v>
      </c>
      <c r="J2082">
        <v>4</v>
      </c>
      <c r="K2082">
        <v>1</v>
      </c>
      <c r="L2082">
        <v>1</v>
      </c>
      <c r="M2082">
        <v>45</v>
      </c>
      <c r="N2082">
        <v>181.77500000000001</v>
      </c>
      <c r="O2082">
        <v>0</v>
      </c>
      <c r="P20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2" t="str">
        <f>IF(Table1[[#This Row],[Fraud_Score]]&gt;=6, "High Risk",IF(Table1[[#This Row],[Fraud_Score]]&gt;=3, "Medium Risk", "Low Risk"))</f>
        <v>Low Risk</v>
      </c>
      <c r="R2082">
        <f>IF(Table1[[#This Row],[Seconds of Use]]=0,0,Table1[[#This Row],[Customer Value]]/Table1[[#This Row],[Seconds of Use]]*100)</f>
        <v>2.8051697530864197</v>
      </c>
    </row>
    <row r="2083" spans="1:18" x14ac:dyDescent="0.35">
      <c r="A2083" s="3" t="s">
        <v>2104</v>
      </c>
      <c r="B2083">
        <v>0</v>
      </c>
      <c r="C2083">
        <v>0</v>
      </c>
      <c r="D2083">
        <v>34</v>
      </c>
      <c r="E2083">
        <v>0</v>
      </c>
      <c r="F2083">
        <v>323</v>
      </c>
      <c r="G2083">
        <v>1</v>
      </c>
      <c r="H2083">
        <v>2</v>
      </c>
      <c r="I2083">
        <v>2</v>
      </c>
      <c r="J2083">
        <v>4</v>
      </c>
      <c r="K2083">
        <v>1</v>
      </c>
      <c r="L2083">
        <v>2</v>
      </c>
      <c r="M2083">
        <v>45</v>
      </c>
      <c r="N2083">
        <v>13.1</v>
      </c>
      <c r="O2083">
        <v>1</v>
      </c>
      <c r="P20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3" t="str">
        <f>IF(Table1[[#This Row],[Fraud_Score]]&gt;=6, "High Risk",IF(Table1[[#This Row],[Fraud_Score]]&gt;=3, "Medium Risk", "Low Risk"))</f>
        <v>Low Risk</v>
      </c>
      <c r="R2083">
        <f>IF(Table1[[#This Row],[Seconds of Use]]=0,0,Table1[[#This Row],[Customer Value]]/Table1[[#This Row],[Seconds of Use]]*100)</f>
        <v>4.0557275541795672</v>
      </c>
    </row>
    <row r="2084" spans="1:18" x14ac:dyDescent="0.35">
      <c r="A2084" s="3" t="s">
        <v>2105</v>
      </c>
      <c r="B2084">
        <v>0</v>
      </c>
      <c r="C2084">
        <v>0</v>
      </c>
      <c r="D2084">
        <v>34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5</v>
      </c>
      <c r="K2084">
        <v>1</v>
      </c>
      <c r="L2084">
        <v>1</v>
      </c>
      <c r="M2084">
        <v>55</v>
      </c>
      <c r="N2084">
        <v>0</v>
      </c>
      <c r="O2084">
        <v>0</v>
      </c>
      <c r="P20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4" t="str">
        <f>IF(Table1[[#This Row],[Fraud_Score]]&gt;=6, "High Risk",IF(Table1[[#This Row],[Fraud_Score]]&gt;=3, "Medium Risk", "Low Risk"))</f>
        <v>Low Risk</v>
      </c>
      <c r="R2084">
        <f>IF(Table1[[#This Row],[Seconds of Use]]=0,0,Table1[[#This Row],[Customer Value]]/Table1[[#This Row],[Seconds of Use]]*100)</f>
        <v>0</v>
      </c>
    </row>
    <row r="2085" spans="1:18" x14ac:dyDescent="0.35">
      <c r="A2085" s="3" t="s">
        <v>2106</v>
      </c>
      <c r="B2085">
        <v>20</v>
      </c>
      <c r="C2085">
        <v>0</v>
      </c>
      <c r="D2085">
        <v>29</v>
      </c>
      <c r="E2085">
        <v>2</v>
      </c>
      <c r="F2085">
        <v>15770</v>
      </c>
      <c r="G2085">
        <v>232</v>
      </c>
      <c r="H2085">
        <v>0</v>
      </c>
      <c r="I2085">
        <v>78</v>
      </c>
      <c r="J2085">
        <v>2</v>
      </c>
      <c r="K2085">
        <v>1</v>
      </c>
      <c r="L2085">
        <v>1</v>
      </c>
      <c r="M2085">
        <v>25</v>
      </c>
      <c r="N2085">
        <v>720.09</v>
      </c>
      <c r="O2085">
        <v>0</v>
      </c>
      <c r="P20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085" t="str">
        <f>IF(Table1[[#This Row],[Fraud_Score]]&gt;=6, "High Risk",IF(Table1[[#This Row],[Fraud_Score]]&gt;=3, "Medium Risk", "Low Risk"))</f>
        <v>Medium Risk</v>
      </c>
      <c r="R2085">
        <f>IF(Table1[[#This Row],[Seconds of Use]]=0,0,Table1[[#This Row],[Customer Value]]/Table1[[#This Row],[Seconds of Use]]*100)</f>
        <v>4.5662016487000638</v>
      </c>
    </row>
    <row r="2086" spans="1:18" x14ac:dyDescent="0.35">
      <c r="A2086" s="3" t="s">
        <v>2107</v>
      </c>
      <c r="B2086">
        <v>1</v>
      </c>
      <c r="C2086">
        <v>0</v>
      </c>
      <c r="D2086">
        <v>32</v>
      </c>
      <c r="E2086">
        <v>2</v>
      </c>
      <c r="F2086">
        <v>6660</v>
      </c>
      <c r="G2086">
        <v>110</v>
      </c>
      <c r="H2086">
        <v>264</v>
      </c>
      <c r="I2086">
        <v>31</v>
      </c>
      <c r="J2086">
        <v>2</v>
      </c>
      <c r="K2086">
        <v>2</v>
      </c>
      <c r="L2086">
        <v>1</v>
      </c>
      <c r="M2086">
        <v>25</v>
      </c>
      <c r="N2086">
        <v>1492.65</v>
      </c>
      <c r="O2086">
        <v>0</v>
      </c>
      <c r="P20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86" t="str">
        <f>IF(Table1[[#This Row],[Fraud_Score]]&gt;=6, "High Risk",IF(Table1[[#This Row],[Fraud_Score]]&gt;=3, "Medium Risk", "Low Risk"))</f>
        <v>Low Risk</v>
      </c>
      <c r="R2086">
        <f>IF(Table1[[#This Row],[Seconds of Use]]=0,0,Table1[[#This Row],[Customer Value]]/Table1[[#This Row],[Seconds of Use]]*100)</f>
        <v>22.412162162162165</v>
      </c>
    </row>
    <row r="2087" spans="1:18" x14ac:dyDescent="0.35">
      <c r="A2087" s="3" t="s">
        <v>2108</v>
      </c>
      <c r="B2087">
        <v>0</v>
      </c>
      <c r="C2087">
        <v>0</v>
      </c>
      <c r="D2087">
        <v>34</v>
      </c>
      <c r="E2087">
        <v>0</v>
      </c>
      <c r="F2087">
        <v>3413</v>
      </c>
      <c r="G2087">
        <v>76</v>
      </c>
      <c r="H2087">
        <v>0</v>
      </c>
      <c r="I2087">
        <v>26</v>
      </c>
      <c r="J2087">
        <v>2</v>
      </c>
      <c r="K2087">
        <v>1</v>
      </c>
      <c r="L2087">
        <v>1</v>
      </c>
      <c r="M2087">
        <v>25</v>
      </c>
      <c r="N2087">
        <v>157.005</v>
      </c>
      <c r="O2087">
        <v>0</v>
      </c>
      <c r="P20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7" t="str">
        <f>IF(Table1[[#This Row],[Fraud_Score]]&gt;=6, "High Risk",IF(Table1[[#This Row],[Fraud_Score]]&gt;=3, "Medium Risk", "Low Risk"))</f>
        <v>Low Risk</v>
      </c>
      <c r="R2087">
        <f>IF(Table1[[#This Row],[Seconds of Use]]=0,0,Table1[[#This Row],[Customer Value]]/Table1[[#This Row],[Seconds of Use]]*100)</f>
        <v>4.6002050981541167</v>
      </c>
    </row>
    <row r="2088" spans="1:18" x14ac:dyDescent="0.35">
      <c r="A2088" s="3" t="s">
        <v>2109</v>
      </c>
      <c r="B2088">
        <v>0</v>
      </c>
      <c r="C2088">
        <v>0</v>
      </c>
      <c r="D2088">
        <v>33</v>
      </c>
      <c r="E2088">
        <v>0</v>
      </c>
      <c r="F2088">
        <v>1360</v>
      </c>
      <c r="G2088">
        <v>38</v>
      </c>
      <c r="H2088">
        <v>31</v>
      </c>
      <c r="I2088">
        <v>18</v>
      </c>
      <c r="J2088">
        <v>3</v>
      </c>
      <c r="K2088">
        <v>1</v>
      </c>
      <c r="L2088">
        <v>2</v>
      </c>
      <c r="M2088">
        <v>30</v>
      </c>
      <c r="N2088">
        <v>179.92</v>
      </c>
      <c r="O2088">
        <v>0</v>
      </c>
      <c r="P20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8" t="str">
        <f>IF(Table1[[#This Row],[Fraud_Score]]&gt;=6, "High Risk",IF(Table1[[#This Row],[Fraud_Score]]&gt;=3, "Medium Risk", "Low Risk"))</f>
        <v>Low Risk</v>
      </c>
      <c r="R2088">
        <f>IF(Table1[[#This Row],[Seconds of Use]]=0,0,Table1[[#This Row],[Customer Value]]/Table1[[#This Row],[Seconds of Use]]*100)</f>
        <v>13.229411764705882</v>
      </c>
    </row>
    <row r="2089" spans="1:18" x14ac:dyDescent="0.35">
      <c r="A2089" s="3" t="s">
        <v>2110</v>
      </c>
      <c r="B2089">
        <v>1</v>
      </c>
      <c r="C2089">
        <v>0</v>
      </c>
      <c r="D2089">
        <v>34</v>
      </c>
      <c r="E2089">
        <v>0</v>
      </c>
      <c r="F2089">
        <v>2475</v>
      </c>
      <c r="G2089">
        <v>47</v>
      </c>
      <c r="H2089">
        <v>168</v>
      </c>
      <c r="I2089">
        <v>21</v>
      </c>
      <c r="J2089">
        <v>2</v>
      </c>
      <c r="K2089">
        <v>1</v>
      </c>
      <c r="L2089">
        <v>1</v>
      </c>
      <c r="M2089">
        <v>25</v>
      </c>
      <c r="N2089">
        <v>869.49</v>
      </c>
      <c r="O2089">
        <v>0</v>
      </c>
      <c r="P20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89" t="str">
        <f>IF(Table1[[#This Row],[Fraud_Score]]&gt;=6, "High Risk",IF(Table1[[#This Row],[Fraud_Score]]&gt;=3, "Medium Risk", "Low Risk"))</f>
        <v>Low Risk</v>
      </c>
      <c r="R2089">
        <f>IF(Table1[[#This Row],[Seconds of Use]]=0,0,Table1[[#This Row],[Customer Value]]/Table1[[#This Row],[Seconds of Use]]*100)</f>
        <v>35.130909090909093</v>
      </c>
    </row>
    <row r="2090" spans="1:18" x14ac:dyDescent="0.35">
      <c r="A2090" s="3" t="s">
        <v>2111</v>
      </c>
      <c r="B2090">
        <v>0</v>
      </c>
      <c r="C2090">
        <v>0</v>
      </c>
      <c r="D2090">
        <v>25</v>
      </c>
      <c r="E2090">
        <v>0</v>
      </c>
      <c r="F2090">
        <v>1010</v>
      </c>
      <c r="G2090">
        <v>30</v>
      </c>
      <c r="H2090">
        <v>186</v>
      </c>
      <c r="I2090">
        <v>9</v>
      </c>
      <c r="J2090">
        <v>2</v>
      </c>
      <c r="K2090">
        <v>2</v>
      </c>
      <c r="L2090">
        <v>1</v>
      </c>
      <c r="M2090">
        <v>25</v>
      </c>
      <c r="N2090">
        <v>883.8</v>
      </c>
      <c r="O2090">
        <v>0</v>
      </c>
      <c r="P20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90" t="str">
        <f>IF(Table1[[#This Row],[Fraud_Score]]&gt;=6, "High Risk",IF(Table1[[#This Row],[Fraud_Score]]&gt;=3, "Medium Risk", "Low Risk"))</f>
        <v>Low Risk</v>
      </c>
      <c r="R2090">
        <f>IF(Table1[[#This Row],[Seconds of Use]]=0,0,Table1[[#This Row],[Customer Value]]/Table1[[#This Row],[Seconds of Use]]*100)</f>
        <v>87.504950495049499</v>
      </c>
    </row>
    <row r="2091" spans="1:18" x14ac:dyDescent="0.35">
      <c r="A2091" s="3" t="s">
        <v>2112</v>
      </c>
      <c r="B2091">
        <v>0</v>
      </c>
      <c r="C2091">
        <v>0</v>
      </c>
      <c r="D2091">
        <v>24</v>
      </c>
      <c r="E2091">
        <v>0</v>
      </c>
      <c r="F2091">
        <v>1263</v>
      </c>
      <c r="G2091">
        <v>33</v>
      </c>
      <c r="H2091">
        <v>23</v>
      </c>
      <c r="I2091">
        <v>66</v>
      </c>
      <c r="J2091">
        <v>4</v>
      </c>
      <c r="K2091">
        <v>1</v>
      </c>
      <c r="L2091">
        <v>1</v>
      </c>
      <c r="M2091">
        <v>45</v>
      </c>
      <c r="N2091">
        <v>89.9</v>
      </c>
      <c r="O2091">
        <v>0</v>
      </c>
      <c r="P20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091" t="str">
        <f>IF(Table1[[#This Row],[Fraud_Score]]&gt;=6, "High Risk",IF(Table1[[#This Row],[Fraud_Score]]&gt;=3, "Medium Risk", "Low Risk"))</f>
        <v>Low Risk</v>
      </c>
      <c r="R2091">
        <f>IF(Table1[[#This Row],[Seconds of Use]]=0,0,Table1[[#This Row],[Customer Value]]/Table1[[#This Row],[Seconds of Use]]*100)</f>
        <v>7.1179730799683298</v>
      </c>
    </row>
    <row r="2092" spans="1:18" x14ac:dyDescent="0.35">
      <c r="A2092" s="3" t="s">
        <v>2113</v>
      </c>
      <c r="B2092">
        <v>6</v>
      </c>
      <c r="C2092">
        <v>0</v>
      </c>
      <c r="D2092">
        <v>25</v>
      </c>
      <c r="E2092">
        <v>0</v>
      </c>
      <c r="F2092">
        <v>395</v>
      </c>
      <c r="G2092">
        <v>19</v>
      </c>
      <c r="H2092">
        <v>3</v>
      </c>
      <c r="I2092">
        <v>5</v>
      </c>
      <c r="J2092">
        <v>2</v>
      </c>
      <c r="K2092">
        <v>1</v>
      </c>
      <c r="L2092">
        <v>2</v>
      </c>
      <c r="M2092">
        <v>25</v>
      </c>
      <c r="N2092">
        <v>32.130000000000003</v>
      </c>
      <c r="O2092">
        <v>0</v>
      </c>
      <c r="P20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92" t="str">
        <f>IF(Table1[[#This Row],[Fraud_Score]]&gt;=6, "High Risk",IF(Table1[[#This Row],[Fraud_Score]]&gt;=3, "Medium Risk", "Low Risk"))</f>
        <v>Low Risk</v>
      </c>
      <c r="R2092">
        <f>IF(Table1[[#This Row],[Seconds of Use]]=0,0,Table1[[#This Row],[Customer Value]]/Table1[[#This Row],[Seconds of Use]]*100)</f>
        <v>8.1341772151898741</v>
      </c>
    </row>
    <row r="2093" spans="1:18" x14ac:dyDescent="0.35">
      <c r="A2093" s="3" t="s">
        <v>2114</v>
      </c>
      <c r="B2093">
        <v>0</v>
      </c>
      <c r="C2093">
        <v>0</v>
      </c>
      <c r="D2093">
        <v>24</v>
      </c>
      <c r="E2093">
        <v>0</v>
      </c>
      <c r="F2093">
        <v>520</v>
      </c>
      <c r="G2093">
        <v>4</v>
      </c>
      <c r="H2093">
        <v>14</v>
      </c>
      <c r="I2093">
        <v>1</v>
      </c>
      <c r="J2093">
        <v>4</v>
      </c>
      <c r="K2093">
        <v>1</v>
      </c>
      <c r="L2093">
        <v>2</v>
      </c>
      <c r="M2093">
        <v>45</v>
      </c>
      <c r="N2093">
        <v>48.1</v>
      </c>
      <c r="O2093">
        <v>0</v>
      </c>
      <c r="P20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93" t="str">
        <f>IF(Table1[[#This Row],[Fraud_Score]]&gt;=6, "High Risk",IF(Table1[[#This Row],[Fraud_Score]]&gt;=3, "Medium Risk", "Low Risk"))</f>
        <v>Low Risk</v>
      </c>
      <c r="R2093">
        <f>IF(Table1[[#This Row],[Seconds of Use]]=0,0,Table1[[#This Row],[Customer Value]]/Table1[[#This Row],[Seconds of Use]]*100)</f>
        <v>9.25</v>
      </c>
    </row>
    <row r="2094" spans="1:18" x14ac:dyDescent="0.35">
      <c r="A2094" s="3" t="s">
        <v>2115</v>
      </c>
      <c r="B2094">
        <v>5</v>
      </c>
      <c r="C2094">
        <v>0</v>
      </c>
      <c r="D2094">
        <v>23</v>
      </c>
      <c r="E2094">
        <v>0</v>
      </c>
      <c r="F2094">
        <v>920</v>
      </c>
      <c r="G2094">
        <v>26</v>
      </c>
      <c r="H2094">
        <v>12</v>
      </c>
      <c r="I2094">
        <v>11</v>
      </c>
      <c r="J2094">
        <v>2</v>
      </c>
      <c r="K2094">
        <v>1</v>
      </c>
      <c r="L2094">
        <v>1</v>
      </c>
      <c r="M2094">
        <v>25</v>
      </c>
      <c r="N2094">
        <v>96.57</v>
      </c>
      <c r="O2094">
        <v>0</v>
      </c>
      <c r="P20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94" t="str">
        <f>IF(Table1[[#This Row],[Fraud_Score]]&gt;=6, "High Risk",IF(Table1[[#This Row],[Fraud_Score]]&gt;=3, "Medium Risk", "Low Risk"))</f>
        <v>Low Risk</v>
      </c>
      <c r="R2094">
        <f>IF(Table1[[#This Row],[Seconds of Use]]=0,0,Table1[[#This Row],[Customer Value]]/Table1[[#This Row],[Seconds of Use]]*100)</f>
        <v>10.496739130434781</v>
      </c>
    </row>
    <row r="2095" spans="1:18" x14ac:dyDescent="0.35">
      <c r="A2095" s="3" t="s">
        <v>2116</v>
      </c>
      <c r="B2095">
        <v>0</v>
      </c>
      <c r="C2095">
        <v>0</v>
      </c>
      <c r="D2095">
        <v>23</v>
      </c>
      <c r="E2095">
        <v>0</v>
      </c>
      <c r="F2095">
        <v>2920</v>
      </c>
      <c r="G2095">
        <v>55</v>
      </c>
      <c r="H2095">
        <v>1</v>
      </c>
      <c r="I2095">
        <v>21</v>
      </c>
      <c r="J2095">
        <v>3</v>
      </c>
      <c r="K2095">
        <v>1</v>
      </c>
      <c r="L2095">
        <v>1</v>
      </c>
      <c r="M2095">
        <v>30</v>
      </c>
      <c r="N2095">
        <v>123</v>
      </c>
      <c r="O2095">
        <v>0</v>
      </c>
      <c r="P20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95" t="str">
        <f>IF(Table1[[#This Row],[Fraud_Score]]&gt;=6, "High Risk",IF(Table1[[#This Row],[Fraud_Score]]&gt;=3, "Medium Risk", "Low Risk"))</f>
        <v>Low Risk</v>
      </c>
      <c r="R2095">
        <f>IF(Table1[[#This Row],[Seconds of Use]]=0,0,Table1[[#This Row],[Customer Value]]/Table1[[#This Row],[Seconds of Use]]*100)</f>
        <v>4.2123287671232879</v>
      </c>
    </row>
    <row r="2096" spans="1:18" x14ac:dyDescent="0.35">
      <c r="A2096" s="3" t="s">
        <v>2117</v>
      </c>
      <c r="B2096">
        <v>0</v>
      </c>
      <c r="C2096">
        <v>0</v>
      </c>
      <c r="D2096">
        <v>16</v>
      </c>
      <c r="E2096">
        <v>0</v>
      </c>
      <c r="F2096">
        <v>1390</v>
      </c>
      <c r="G2096">
        <v>20</v>
      </c>
      <c r="H2096">
        <v>21</v>
      </c>
      <c r="I2096">
        <v>12</v>
      </c>
      <c r="J2096">
        <v>2</v>
      </c>
      <c r="K2096">
        <v>1</v>
      </c>
      <c r="L2096">
        <v>1</v>
      </c>
      <c r="M2096">
        <v>25</v>
      </c>
      <c r="N2096">
        <v>157.94999999999999</v>
      </c>
      <c r="O2096">
        <v>0</v>
      </c>
      <c r="P20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096" t="str">
        <f>IF(Table1[[#This Row],[Fraud_Score]]&gt;=6, "High Risk",IF(Table1[[#This Row],[Fraud_Score]]&gt;=3, "Medium Risk", "Low Risk"))</f>
        <v>Low Risk</v>
      </c>
      <c r="R2096">
        <f>IF(Table1[[#This Row],[Seconds of Use]]=0,0,Table1[[#This Row],[Customer Value]]/Table1[[#This Row],[Seconds of Use]]*100)</f>
        <v>11.363309352517986</v>
      </c>
    </row>
    <row r="2097" spans="1:18" x14ac:dyDescent="0.35">
      <c r="A2097" s="3" t="s">
        <v>2118</v>
      </c>
      <c r="B2097">
        <v>11</v>
      </c>
      <c r="C2097">
        <v>0</v>
      </c>
      <c r="D2097">
        <v>15</v>
      </c>
      <c r="E2097">
        <v>0</v>
      </c>
      <c r="F2097">
        <v>6087</v>
      </c>
      <c r="G2097">
        <v>135</v>
      </c>
      <c r="H2097">
        <v>78</v>
      </c>
      <c r="I2097">
        <v>40</v>
      </c>
      <c r="J2097">
        <v>1</v>
      </c>
      <c r="K2097">
        <v>2</v>
      </c>
      <c r="L2097">
        <v>1</v>
      </c>
      <c r="M2097">
        <v>15</v>
      </c>
      <c r="N2097">
        <v>771.21</v>
      </c>
      <c r="O2097">
        <v>0</v>
      </c>
      <c r="P20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97" t="str">
        <f>IF(Table1[[#This Row],[Fraud_Score]]&gt;=6, "High Risk",IF(Table1[[#This Row],[Fraud_Score]]&gt;=3, "Medium Risk", "Low Risk"))</f>
        <v>Medium Risk</v>
      </c>
      <c r="R2097">
        <f>IF(Table1[[#This Row],[Seconds of Use]]=0,0,Table1[[#This Row],[Customer Value]]/Table1[[#This Row],[Seconds of Use]]*100)</f>
        <v>12.669788072942337</v>
      </c>
    </row>
    <row r="2098" spans="1:18" x14ac:dyDescent="0.35">
      <c r="A2098" s="3" t="s">
        <v>2119</v>
      </c>
      <c r="B2098">
        <v>7</v>
      </c>
      <c r="C2098">
        <v>0</v>
      </c>
      <c r="D2098">
        <v>13</v>
      </c>
      <c r="E2098">
        <v>0</v>
      </c>
      <c r="F2098">
        <v>8627</v>
      </c>
      <c r="G2098">
        <v>165</v>
      </c>
      <c r="H2098">
        <v>66</v>
      </c>
      <c r="I2098">
        <v>38</v>
      </c>
      <c r="J2098">
        <v>4</v>
      </c>
      <c r="K2098">
        <v>1</v>
      </c>
      <c r="L2098">
        <v>1</v>
      </c>
      <c r="M2098">
        <v>45</v>
      </c>
      <c r="N2098">
        <v>384.8</v>
      </c>
      <c r="O2098">
        <v>0</v>
      </c>
      <c r="P20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098" t="str">
        <f>IF(Table1[[#This Row],[Fraud_Score]]&gt;=6, "High Risk",IF(Table1[[#This Row],[Fraud_Score]]&gt;=3, "Medium Risk", "Low Risk"))</f>
        <v>Medium Risk</v>
      </c>
      <c r="R2098">
        <f>IF(Table1[[#This Row],[Seconds of Use]]=0,0,Table1[[#This Row],[Customer Value]]/Table1[[#This Row],[Seconds of Use]]*100)</f>
        <v>4.4604149762373941</v>
      </c>
    </row>
    <row r="2099" spans="1:18" x14ac:dyDescent="0.35">
      <c r="A2099" s="3" t="s">
        <v>2120</v>
      </c>
      <c r="B2099">
        <v>3</v>
      </c>
      <c r="C2099">
        <v>0</v>
      </c>
      <c r="D2099">
        <v>14</v>
      </c>
      <c r="E2099">
        <v>2</v>
      </c>
      <c r="F2099">
        <v>2547</v>
      </c>
      <c r="G2099">
        <v>39</v>
      </c>
      <c r="H2099">
        <v>24</v>
      </c>
      <c r="I2099">
        <v>17</v>
      </c>
      <c r="J2099">
        <v>3</v>
      </c>
      <c r="K2099">
        <v>1</v>
      </c>
      <c r="L2099">
        <v>1</v>
      </c>
      <c r="M2099">
        <v>30</v>
      </c>
      <c r="N2099">
        <v>199.44</v>
      </c>
      <c r="O2099">
        <v>0</v>
      </c>
      <c r="P20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099" t="str">
        <f>IF(Table1[[#This Row],[Fraud_Score]]&gt;=6, "High Risk",IF(Table1[[#This Row],[Fraud_Score]]&gt;=3, "Medium Risk", "Low Risk"))</f>
        <v>Low Risk</v>
      </c>
      <c r="R2099">
        <f>IF(Table1[[#This Row],[Seconds of Use]]=0,0,Table1[[#This Row],[Customer Value]]/Table1[[#This Row],[Seconds of Use]]*100)</f>
        <v>7.8303886925795059</v>
      </c>
    </row>
    <row r="2100" spans="1:18" x14ac:dyDescent="0.35">
      <c r="A2100" s="3" t="s">
        <v>2121</v>
      </c>
      <c r="B2100">
        <v>0</v>
      </c>
      <c r="C2100">
        <v>0</v>
      </c>
      <c r="D2100">
        <v>7</v>
      </c>
      <c r="E2100">
        <v>0</v>
      </c>
      <c r="F2100">
        <v>4085</v>
      </c>
      <c r="G2100">
        <v>34</v>
      </c>
      <c r="H2100">
        <v>208</v>
      </c>
      <c r="I2100">
        <v>8</v>
      </c>
      <c r="J2100">
        <v>3</v>
      </c>
      <c r="K2100">
        <v>1</v>
      </c>
      <c r="L2100">
        <v>1</v>
      </c>
      <c r="M2100">
        <v>30</v>
      </c>
      <c r="N2100">
        <v>996.76</v>
      </c>
      <c r="O2100">
        <v>0</v>
      </c>
      <c r="P21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00" t="str">
        <f>IF(Table1[[#This Row],[Fraud_Score]]&gt;=6, "High Risk",IF(Table1[[#This Row],[Fraud_Score]]&gt;=3, "Medium Risk", "Low Risk"))</f>
        <v>Low Risk</v>
      </c>
      <c r="R2100">
        <f>IF(Table1[[#This Row],[Seconds of Use]]=0,0,Table1[[#This Row],[Customer Value]]/Table1[[#This Row],[Seconds of Use]]*100)</f>
        <v>24.400489596083229</v>
      </c>
    </row>
    <row r="2101" spans="1:18" x14ac:dyDescent="0.35">
      <c r="A2101" s="3" t="s">
        <v>2122</v>
      </c>
      <c r="B2101">
        <v>0</v>
      </c>
      <c r="C2101">
        <v>0</v>
      </c>
      <c r="D2101">
        <v>7</v>
      </c>
      <c r="E2101">
        <v>0</v>
      </c>
      <c r="F2101">
        <v>1182</v>
      </c>
      <c r="G2101">
        <v>13</v>
      </c>
      <c r="H2101">
        <v>0</v>
      </c>
      <c r="I2101">
        <v>5</v>
      </c>
      <c r="J2101">
        <v>2</v>
      </c>
      <c r="K2101">
        <v>1</v>
      </c>
      <c r="L2101">
        <v>1</v>
      </c>
      <c r="M2101">
        <v>25</v>
      </c>
      <c r="N2101">
        <v>53.774999999999999</v>
      </c>
      <c r="O2101">
        <v>1</v>
      </c>
      <c r="P21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01" t="str">
        <f>IF(Table1[[#This Row],[Fraud_Score]]&gt;=6, "High Risk",IF(Table1[[#This Row],[Fraud_Score]]&gt;=3, "Medium Risk", "Low Risk"))</f>
        <v>Low Risk</v>
      </c>
      <c r="R2101">
        <f>IF(Table1[[#This Row],[Seconds of Use]]=0,0,Table1[[#This Row],[Customer Value]]/Table1[[#This Row],[Seconds of Use]]*100)</f>
        <v>4.5494923857868024</v>
      </c>
    </row>
    <row r="2102" spans="1:18" x14ac:dyDescent="0.35">
      <c r="A2102" s="3" t="s">
        <v>2123</v>
      </c>
      <c r="B2102">
        <v>13</v>
      </c>
      <c r="C2102">
        <v>0</v>
      </c>
      <c r="D2102">
        <v>40</v>
      </c>
      <c r="E2102">
        <v>1</v>
      </c>
      <c r="F2102">
        <v>4675</v>
      </c>
      <c r="G2102">
        <v>77</v>
      </c>
      <c r="H2102">
        <v>12</v>
      </c>
      <c r="I2102">
        <v>19</v>
      </c>
      <c r="J2102">
        <v>3</v>
      </c>
      <c r="K2102">
        <v>1</v>
      </c>
      <c r="L2102">
        <v>1</v>
      </c>
      <c r="M2102">
        <v>30</v>
      </c>
      <c r="N2102">
        <v>238.08</v>
      </c>
      <c r="O2102">
        <v>0</v>
      </c>
      <c r="P21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02" t="str">
        <f>IF(Table1[[#This Row],[Fraud_Score]]&gt;=6, "High Risk",IF(Table1[[#This Row],[Fraud_Score]]&gt;=3, "Medium Risk", "Low Risk"))</f>
        <v>Low Risk</v>
      </c>
      <c r="R2102">
        <f>IF(Table1[[#This Row],[Seconds of Use]]=0,0,Table1[[#This Row],[Customer Value]]/Table1[[#This Row],[Seconds of Use]]*100)</f>
        <v>5.0926203208556151</v>
      </c>
    </row>
    <row r="2103" spans="1:18" x14ac:dyDescent="0.35">
      <c r="A2103" s="3" t="s">
        <v>2124</v>
      </c>
      <c r="B2103">
        <v>5</v>
      </c>
      <c r="C2103">
        <v>0</v>
      </c>
      <c r="D2103">
        <v>41</v>
      </c>
      <c r="E2103">
        <v>0</v>
      </c>
      <c r="F2103">
        <v>623</v>
      </c>
      <c r="G2103">
        <v>11</v>
      </c>
      <c r="H2103">
        <v>14</v>
      </c>
      <c r="I2103">
        <v>6</v>
      </c>
      <c r="J2103">
        <v>3</v>
      </c>
      <c r="K2103">
        <v>1</v>
      </c>
      <c r="L2103">
        <v>2</v>
      </c>
      <c r="M2103">
        <v>30</v>
      </c>
      <c r="N2103">
        <v>81.36</v>
      </c>
      <c r="O2103">
        <v>0</v>
      </c>
      <c r="P21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03" t="str">
        <f>IF(Table1[[#This Row],[Fraud_Score]]&gt;=6, "High Risk",IF(Table1[[#This Row],[Fraud_Score]]&gt;=3, "Medium Risk", "Low Risk"))</f>
        <v>Low Risk</v>
      </c>
      <c r="R2103">
        <f>IF(Table1[[#This Row],[Seconds of Use]]=0,0,Table1[[#This Row],[Customer Value]]/Table1[[#This Row],[Seconds of Use]]*100)</f>
        <v>13.059390048154093</v>
      </c>
    </row>
    <row r="2104" spans="1:18" x14ac:dyDescent="0.35">
      <c r="A2104" s="3" t="s">
        <v>2125</v>
      </c>
      <c r="B2104">
        <v>15</v>
      </c>
      <c r="C2104">
        <v>0</v>
      </c>
      <c r="D2104">
        <v>39</v>
      </c>
      <c r="E2104">
        <v>1</v>
      </c>
      <c r="F2104">
        <v>2758</v>
      </c>
      <c r="G2104">
        <v>66</v>
      </c>
      <c r="H2104">
        <v>366</v>
      </c>
      <c r="I2104">
        <v>26</v>
      </c>
      <c r="J2104">
        <v>3</v>
      </c>
      <c r="K2104">
        <v>1</v>
      </c>
      <c r="L2104">
        <v>1</v>
      </c>
      <c r="M2104">
        <v>30</v>
      </c>
      <c r="N2104">
        <v>1576.96</v>
      </c>
      <c r="O2104">
        <v>0</v>
      </c>
      <c r="P21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04" t="str">
        <f>IF(Table1[[#This Row],[Fraud_Score]]&gt;=6, "High Risk",IF(Table1[[#This Row],[Fraud_Score]]&gt;=3, "Medium Risk", "Low Risk"))</f>
        <v>Low Risk</v>
      </c>
      <c r="R2104">
        <f>IF(Table1[[#This Row],[Seconds of Use]]=0,0,Table1[[#This Row],[Customer Value]]/Table1[[#This Row],[Seconds of Use]]*100)</f>
        <v>57.17766497461929</v>
      </c>
    </row>
    <row r="2105" spans="1:18" x14ac:dyDescent="0.35">
      <c r="A2105" s="3" t="s">
        <v>2126</v>
      </c>
      <c r="B2105">
        <v>15</v>
      </c>
      <c r="C2105">
        <v>0</v>
      </c>
      <c r="D2105">
        <v>40</v>
      </c>
      <c r="E2105">
        <v>1</v>
      </c>
      <c r="F2105">
        <v>4503</v>
      </c>
      <c r="G2105">
        <v>72</v>
      </c>
      <c r="H2105">
        <v>8</v>
      </c>
      <c r="I2105">
        <v>37</v>
      </c>
      <c r="J2105">
        <v>1</v>
      </c>
      <c r="K2105">
        <v>1</v>
      </c>
      <c r="L2105">
        <v>1</v>
      </c>
      <c r="M2105">
        <v>15</v>
      </c>
      <c r="N2105">
        <v>295.625</v>
      </c>
      <c r="O2105">
        <v>0</v>
      </c>
      <c r="P21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05" t="str">
        <f>IF(Table1[[#This Row],[Fraud_Score]]&gt;=6, "High Risk",IF(Table1[[#This Row],[Fraud_Score]]&gt;=3, "Medium Risk", "Low Risk"))</f>
        <v>Low Risk</v>
      </c>
      <c r="R2105">
        <f>IF(Table1[[#This Row],[Seconds of Use]]=0,0,Table1[[#This Row],[Customer Value]]/Table1[[#This Row],[Seconds of Use]]*100)</f>
        <v>6.5650677326226967</v>
      </c>
    </row>
    <row r="2106" spans="1:18" x14ac:dyDescent="0.35">
      <c r="A2106" s="3" t="s">
        <v>2127</v>
      </c>
      <c r="B2106">
        <v>8</v>
      </c>
      <c r="C2106">
        <v>0</v>
      </c>
      <c r="D2106">
        <v>40</v>
      </c>
      <c r="E2106">
        <v>1</v>
      </c>
      <c r="F2106">
        <v>2698</v>
      </c>
      <c r="G2106">
        <v>64</v>
      </c>
      <c r="H2106">
        <v>9</v>
      </c>
      <c r="I2106">
        <v>35</v>
      </c>
      <c r="J2106">
        <v>2</v>
      </c>
      <c r="K2106">
        <v>1</v>
      </c>
      <c r="L2106">
        <v>1</v>
      </c>
      <c r="M2106">
        <v>25</v>
      </c>
      <c r="N2106">
        <v>164.79</v>
      </c>
      <c r="O2106">
        <v>0</v>
      </c>
      <c r="P21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06" t="str">
        <f>IF(Table1[[#This Row],[Fraud_Score]]&gt;=6, "High Risk",IF(Table1[[#This Row],[Fraud_Score]]&gt;=3, "Medium Risk", "Low Risk"))</f>
        <v>Low Risk</v>
      </c>
      <c r="R2106">
        <f>IF(Table1[[#This Row],[Seconds of Use]]=0,0,Table1[[#This Row],[Customer Value]]/Table1[[#This Row],[Seconds of Use]]*100)</f>
        <v>6.1078576723498887</v>
      </c>
    </row>
    <row r="2107" spans="1:18" x14ac:dyDescent="0.35">
      <c r="A2107" s="3" t="s">
        <v>2128</v>
      </c>
      <c r="B2107">
        <v>16</v>
      </c>
      <c r="C2107">
        <v>0</v>
      </c>
      <c r="D2107">
        <v>40</v>
      </c>
      <c r="E2107">
        <v>2</v>
      </c>
      <c r="F2107">
        <v>4080</v>
      </c>
      <c r="G2107">
        <v>88</v>
      </c>
      <c r="H2107">
        <v>39</v>
      </c>
      <c r="I2107">
        <v>30</v>
      </c>
      <c r="J2107">
        <v>3</v>
      </c>
      <c r="K2107">
        <v>1</v>
      </c>
      <c r="L2107">
        <v>1</v>
      </c>
      <c r="M2107">
        <v>30</v>
      </c>
      <c r="N2107">
        <v>322.72000000000003</v>
      </c>
      <c r="O2107">
        <v>0</v>
      </c>
      <c r="P21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07" t="str">
        <f>IF(Table1[[#This Row],[Fraud_Score]]&gt;=6, "High Risk",IF(Table1[[#This Row],[Fraud_Score]]&gt;=3, "Medium Risk", "Low Risk"))</f>
        <v>Low Risk</v>
      </c>
      <c r="R2107">
        <f>IF(Table1[[#This Row],[Seconds of Use]]=0,0,Table1[[#This Row],[Customer Value]]/Table1[[#This Row],[Seconds of Use]]*100)</f>
        <v>7.9098039215686287</v>
      </c>
    </row>
    <row r="2108" spans="1:18" x14ac:dyDescent="0.35">
      <c r="A2108" s="3" t="s">
        <v>2129</v>
      </c>
      <c r="B2108">
        <v>9</v>
      </c>
      <c r="C2108">
        <v>0</v>
      </c>
      <c r="D2108">
        <v>40</v>
      </c>
      <c r="E2108">
        <v>1</v>
      </c>
      <c r="F2108">
        <v>2665</v>
      </c>
      <c r="G2108">
        <v>45</v>
      </c>
      <c r="H2108">
        <v>292</v>
      </c>
      <c r="I2108">
        <v>20</v>
      </c>
      <c r="J2108">
        <v>3</v>
      </c>
      <c r="K2108">
        <v>1</v>
      </c>
      <c r="L2108">
        <v>1</v>
      </c>
      <c r="M2108">
        <v>30</v>
      </c>
      <c r="N2108">
        <v>1276.4000000000001</v>
      </c>
      <c r="O2108">
        <v>0</v>
      </c>
      <c r="P21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08" t="str">
        <f>IF(Table1[[#This Row],[Fraud_Score]]&gt;=6, "High Risk",IF(Table1[[#This Row],[Fraud_Score]]&gt;=3, "Medium Risk", "Low Risk"))</f>
        <v>Low Risk</v>
      </c>
      <c r="R2108">
        <f>IF(Table1[[#This Row],[Seconds of Use]]=0,0,Table1[[#This Row],[Customer Value]]/Table1[[#This Row],[Seconds of Use]]*100)</f>
        <v>47.89493433395873</v>
      </c>
    </row>
    <row r="2109" spans="1:18" x14ac:dyDescent="0.35">
      <c r="A2109" s="3" t="s">
        <v>2130</v>
      </c>
      <c r="B2109">
        <v>18</v>
      </c>
      <c r="C2109">
        <v>0</v>
      </c>
      <c r="D2109">
        <v>39</v>
      </c>
      <c r="E2109">
        <v>3</v>
      </c>
      <c r="F2109">
        <v>9420</v>
      </c>
      <c r="G2109">
        <v>127</v>
      </c>
      <c r="H2109">
        <v>151</v>
      </c>
      <c r="I2109">
        <v>45</v>
      </c>
      <c r="J2109">
        <v>3</v>
      </c>
      <c r="K2109">
        <v>1</v>
      </c>
      <c r="L2109">
        <v>1</v>
      </c>
      <c r="M2109">
        <v>30</v>
      </c>
      <c r="N2109">
        <v>985.88</v>
      </c>
      <c r="O2109">
        <v>0</v>
      </c>
      <c r="P21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09" t="str">
        <f>IF(Table1[[#This Row],[Fraud_Score]]&gt;=6, "High Risk",IF(Table1[[#This Row],[Fraud_Score]]&gt;=3, "Medium Risk", "Low Risk"))</f>
        <v>Low Risk</v>
      </c>
      <c r="R2109">
        <f>IF(Table1[[#This Row],[Seconds of Use]]=0,0,Table1[[#This Row],[Customer Value]]/Table1[[#This Row],[Seconds of Use]]*100)</f>
        <v>10.465817409766455</v>
      </c>
    </row>
    <row r="2110" spans="1:18" x14ac:dyDescent="0.35">
      <c r="A2110" s="3" t="s">
        <v>2131</v>
      </c>
      <c r="B2110">
        <v>12</v>
      </c>
      <c r="C2110">
        <v>0</v>
      </c>
      <c r="D2110">
        <v>40</v>
      </c>
      <c r="E2110">
        <v>1</v>
      </c>
      <c r="F2110">
        <v>14078</v>
      </c>
      <c r="G2110">
        <v>175</v>
      </c>
      <c r="H2110">
        <v>7</v>
      </c>
      <c r="I2110">
        <v>46</v>
      </c>
      <c r="J2110">
        <v>3</v>
      </c>
      <c r="K2110">
        <v>1</v>
      </c>
      <c r="L2110">
        <v>1</v>
      </c>
      <c r="M2110">
        <v>30</v>
      </c>
      <c r="N2110">
        <v>598.12</v>
      </c>
      <c r="O2110">
        <v>0</v>
      </c>
      <c r="P21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10" t="str">
        <f>IF(Table1[[#This Row],[Fraud_Score]]&gt;=6, "High Risk",IF(Table1[[#This Row],[Fraud_Score]]&gt;=3, "Medium Risk", "Low Risk"))</f>
        <v>Medium Risk</v>
      </c>
      <c r="R2110">
        <f>IF(Table1[[#This Row],[Seconds of Use]]=0,0,Table1[[#This Row],[Customer Value]]/Table1[[#This Row],[Seconds of Use]]*100)</f>
        <v>4.2486148600653504</v>
      </c>
    </row>
    <row r="2111" spans="1:18" x14ac:dyDescent="0.35">
      <c r="A2111" s="3" t="s">
        <v>2132</v>
      </c>
      <c r="B2111">
        <v>12</v>
      </c>
      <c r="C2111">
        <v>0</v>
      </c>
      <c r="D2111">
        <v>40</v>
      </c>
      <c r="E2111">
        <v>2</v>
      </c>
      <c r="F2111">
        <v>4820</v>
      </c>
      <c r="G2111">
        <v>89</v>
      </c>
      <c r="H2111">
        <v>9</v>
      </c>
      <c r="I2111">
        <v>27</v>
      </c>
      <c r="J2111">
        <v>3</v>
      </c>
      <c r="K2111">
        <v>1</v>
      </c>
      <c r="L2111">
        <v>1</v>
      </c>
      <c r="M2111">
        <v>30</v>
      </c>
      <c r="N2111">
        <v>232.36</v>
      </c>
      <c r="O2111">
        <v>0</v>
      </c>
      <c r="P21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11" t="str">
        <f>IF(Table1[[#This Row],[Fraud_Score]]&gt;=6, "High Risk",IF(Table1[[#This Row],[Fraud_Score]]&gt;=3, "Medium Risk", "Low Risk"))</f>
        <v>Low Risk</v>
      </c>
      <c r="R2111">
        <f>IF(Table1[[#This Row],[Seconds of Use]]=0,0,Table1[[#This Row],[Customer Value]]/Table1[[#This Row],[Seconds of Use]]*100)</f>
        <v>4.8207468879668047</v>
      </c>
    </row>
    <row r="2112" spans="1:18" x14ac:dyDescent="0.35">
      <c r="A2112" s="3" t="s">
        <v>2133</v>
      </c>
      <c r="B2112">
        <v>11</v>
      </c>
      <c r="C2112">
        <v>0</v>
      </c>
      <c r="D2112">
        <v>40</v>
      </c>
      <c r="E2112">
        <v>1</v>
      </c>
      <c r="F2112">
        <v>6223</v>
      </c>
      <c r="G2112">
        <v>101</v>
      </c>
      <c r="H2112">
        <v>14</v>
      </c>
      <c r="I2112">
        <v>14</v>
      </c>
      <c r="J2112">
        <v>3</v>
      </c>
      <c r="K2112">
        <v>1</v>
      </c>
      <c r="L2112">
        <v>1</v>
      </c>
      <c r="M2112">
        <v>30</v>
      </c>
      <c r="N2112">
        <v>308.95999999999998</v>
      </c>
      <c r="O2112">
        <v>0</v>
      </c>
      <c r="P21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12" t="str">
        <f>IF(Table1[[#This Row],[Fraud_Score]]&gt;=6, "High Risk",IF(Table1[[#This Row],[Fraud_Score]]&gt;=3, "Medium Risk", "Low Risk"))</f>
        <v>Low Risk</v>
      </c>
      <c r="R2112">
        <f>IF(Table1[[#This Row],[Seconds of Use]]=0,0,Table1[[#This Row],[Customer Value]]/Table1[[#This Row],[Seconds of Use]]*100)</f>
        <v>4.9648079704322665</v>
      </c>
    </row>
    <row r="2113" spans="1:18" x14ac:dyDescent="0.35">
      <c r="A2113" s="3" t="s">
        <v>2134</v>
      </c>
      <c r="B2113">
        <v>14</v>
      </c>
      <c r="C2113">
        <v>1</v>
      </c>
      <c r="D2113">
        <v>40</v>
      </c>
      <c r="E2113">
        <v>0</v>
      </c>
      <c r="F2113">
        <v>2543</v>
      </c>
      <c r="G2113">
        <v>60</v>
      </c>
      <c r="H2113">
        <v>15</v>
      </c>
      <c r="I2113">
        <v>19</v>
      </c>
      <c r="J2113">
        <v>3</v>
      </c>
      <c r="K2113">
        <v>1</v>
      </c>
      <c r="L2113">
        <v>2</v>
      </c>
      <c r="M2113">
        <v>30</v>
      </c>
      <c r="N2113">
        <v>164.12</v>
      </c>
      <c r="O2113">
        <v>0</v>
      </c>
      <c r="P21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13" t="str">
        <f>IF(Table1[[#This Row],[Fraud_Score]]&gt;=6, "High Risk",IF(Table1[[#This Row],[Fraud_Score]]&gt;=3, "Medium Risk", "Low Risk"))</f>
        <v>Medium Risk</v>
      </c>
      <c r="R2113">
        <f>IF(Table1[[#This Row],[Seconds of Use]]=0,0,Table1[[#This Row],[Customer Value]]/Table1[[#This Row],[Seconds of Use]]*100)</f>
        <v>6.4537947306331116</v>
      </c>
    </row>
    <row r="2114" spans="1:18" x14ac:dyDescent="0.35">
      <c r="A2114" s="3" t="s">
        <v>2135</v>
      </c>
      <c r="B2114">
        <v>30</v>
      </c>
      <c r="C2114">
        <v>0</v>
      </c>
      <c r="D2114">
        <v>40</v>
      </c>
      <c r="E2114">
        <v>4</v>
      </c>
      <c r="F2114">
        <v>15445</v>
      </c>
      <c r="G2114">
        <v>231</v>
      </c>
      <c r="H2114">
        <v>61</v>
      </c>
      <c r="I2114">
        <v>34</v>
      </c>
      <c r="J2114">
        <v>3</v>
      </c>
      <c r="K2114">
        <v>2</v>
      </c>
      <c r="L2114">
        <v>1</v>
      </c>
      <c r="M2114">
        <v>30</v>
      </c>
      <c r="N2114">
        <v>871.04</v>
      </c>
      <c r="O2114">
        <v>0</v>
      </c>
      <c r="P21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14" t="str">
        <f>IF(Table1[[#This Row],[Fraud_Score]]&gt;=6, "High Risk",IF(Table1[[#This Row],[Fraud_Score]]&gt;=3, "Medium Risk", "Low Risk"))</f>
        <v>Medium Risk</v>
      </c>
      <c r="R2114">
        <f>IF(Table1[[#This Row],[Seconds of Use]]=0,0,Table1[[#This Row],[Customer Value]]/Table1[[#This Row],[Seconds of Use]]*100)</f>
        <v>5.6396244739397865</v>
      </c>
    </row>
    <row r="2115" spans="1:18" x14ac:dyDescent="0.35">
      <c r="A2115" s="3" t="s">
        <v>2136</v>
      </c>
      <c r="B2115">
        <v>9</v>
      </c>
      <c r="C2115">
        <v>0</v>
      </c>
      <c r="D2115">
        <v>40</v>
      </c>
      <c r="E2115">
        <v>2</v>
      </c>
      <c r="F2115">
        <v>3400</v>
      </c>
      <c r="G2115">
        <v>33</v>
      </c>
      <c r="H2115">
        <v>490</v>
      </c>
      <c r="I2115">
        <v>10</v>
      </c>
      <c r="J2115">
        <v>3</v>
      </c>
      <c r="K2115">
        <v>1</v>
      </c>
      <c r="L2115">
        <v>1</v>
      </c>
      <c r="M2115">
        <v>30</v>
      </c>
      <c r="N2115">
        <v>2097.3200000000002</v>
      </c>
      <c r="O2115">
        <v>0</v>
      </c>
      <c r="P21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15" t="str">
        <f>IF(Table1[[#This Row],[Fraud_Score]]&gt;=6, "High Risk",IF(Table1[[#This Row],[Fraud_Score]]&gt;=3, "Medium Risk", "Low Risk"))</f>
        <v>Low Risk</v>
      </c>
      <c r="R2115">
        <f>IF(Table1[[#This Row],[Seconds of Use]]=0,0,Table1[[#This Row],[Customer Value]]/Table1[[#This Row],[Seconds of Use]]*100)</f>
        <v>61.685882352941178</v>
      </c>
    </row>
    <row r="2116" spans="1:18" x14ac:dyDescent="0.35">
      <c r="A2116" s="3" t="s">
        <v>2137</v>
      </c>
      <c r="B2116">
        <v>14</v>
      </c>
      <c r="C2116">
        <v>0</v>
      </c>
      <c r="D2116">
        <v>39</v>
      </c>
      <c r="E2116">
        <v>1</v>
      </c>
      <c r="F2116">
        <v>15790</v>
      </c>
      <c r="G2116">
        <v>188</v>
      </c>
      <c r="H2116">
        <v>157</v>
      </c>
      <c r="I2116">
        <v>32</v>
      </c>
      <c r="J2116">
        <v>2</v>
      </c>
      <c r="K2116">
        <v>1</v>
      </c>
      <c r="L2116">
        <v>1</v>
      </c>
      <c r="M2116">
        <v>25</v>
      </c>
      <c r="N2116">
        <v>1425.51</v>
      </c>
      <c r="O2116">
        <v>0</v>
      </c>
      <c r="P21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16" t="str">
        <f>IF(Table1[[#This Row],[Fraud_Score]]&gt;=6, "High Risk",IF(Table1[[#This Row],[Fraud_Score]]&gt;=3, "Medium Risk", "Low Risk"))</f>
        <v>Medium Risk</v>
      </c>
      <c r="R2116">
        <f>IF(Table1[[#This Row],[Seconds of Use]]=0,0,Table1[[#This Row],[Customer Value]]/Table1[[#This Row],[Seconds of Use]]*100)</f>
        <v>9.0279290690310319</v>
      </c>
    </row>
    <row r="2117" spans="1:18" x14ac:dyDescent="0.35">
      <c r="A2117" s="3" t="s">
        <v>2138</v>
      </c>
      <c r="B2117">
        <v>8</v>
      </c>
      <c r="C2117">
        <v>0</v>
      </c>
      <c r="D2117">
        <v>39</v>
      </c>
      <c r="E2117">
        <v>2</v>
      </c>
      <c r="F2117">
        <v>6805</v>
      </c>
      <c r="G2117">
        <v>92</v>
      </c>
      <c r="H2117">
        <v>193</v>
      </c>
      <c r="I2117">
        <v>28</v>
      </c>
      <c r="J2117">
        <v>3</v>
      </c>
      <c r="K2117">
        <v>1</v>
      </c>
      <c r="L2117">
        <v>1</v>
      </c>
      <c r="M2117">
        <v>30</v>
      </c>
      <c r="N2117">
        <v>1047.8800000000001</v>
      </c>
      <c r="O2117">
        <v>0</v>
      </c>
      <c r="P21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17" t="str">
        <f>IF(Table1[[#This Row],[Fraud_Score]]&gt;=6, "High Risk",IF(Table1[[#This Row],[Fraud_Score]]&gt;=3, "Medium Risk", "Low Risk"))</f>
        <v>Low Risk</v>
      </c>
      <c r="R2117">
        <f>IF(Table1[[#This Row],[Seconds of Use]]=0,0,Table1[[#This Row],[Customer Value]]/Table1[[#This Row],[Seconds of Use]]*100)</f>
        <v>15.398677443056577</v>
      </c>
    </row>
    <row r="2118" spans="1:18" x14ac:dyDescent="0.35">
      <c r="A2118" s="3" t="s">
        <v>2139</v>
      </c>
      <c r="B2118">
        <v>5</v>
      </c>
      <c r="C2118">
        <v>0</v>
      </c>
      <c r="D2118">
        <v>39</v>
      </c>
      <c r="E2118">
        <v>0</v>
      </c>
      <c r="F2118">
        <v>1180</v>
      </c>
      <c r="G2118">
        <v>20</v>
      </c>
      <c r="H2118">
        <v>7</v>
      </c>
      <c r="I2118">
        <v>13</v>
      </c>
      <c r="J2118">
        <v>2</v>
      </c>
      <c r="K2118">
        <v>1</v>
      </c>
      <c r="L2118">
        <v>2</v>
      </c>
      <c r="M2118">
        <v>25</v>
      </c>
      <c r="N2118">
        <v>85.5</v>
      </c>
      <c r="O2118">
        <v>0</v>
      </c>
      <c r="P21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18" t="str">
        <f>IF(Table1[[#This Row],[Fraud_Score]]&gt;=6, "High Risk",IF(Table1[[#This Row],[Fraud_Score]]&gt;=3, "Medium Risk", "Low Risk"))</f>
        <v>Low Risk</v>
      </c>
      <c r="R2118">
        <f>IF(Table1[[#This Row],[Seconds of Use]]=0,0,Table1[[#This Row],[Customer Value]]/Table1[[#This Row],[Seconds of Use]]*100)</f>
        <v>7.2457627118644066</v>
      </c>
    </row>
    <row r="2119" spans="1:18" x14ac:dyDescent="0.35">
      <c r="A2119" s="3" t="s">
        <v>2140</v>
      </c>
      <c r="B2119">
        <v>7</v>
      </c>
      <c r="C2119">
        <v>0</v>
      </c>
      <c r="D2119">
        <v>40</v>
      </c>
      <c r="E2119">
        <v>0</v>
      </c>
      <c r="F2119">
        <v>1015</v>
      </c>
      <c r="G2119">
        <v>20</v>
      </c>
      <c r="H2119">
        <v>20</v>
      </c>
      <c r="I2119">
        <v>10</v>
      </c>
      <c r="J2119">
        <v>3</v>
      </c>
      <c r="K2119">
        <v>1</v>
      </c>
      <c r="L2119">
        <v>2</v>
      </c>
      <c r="M2119">
        <v>30</v>
      </c>
      <c r="N2119">
        <v>121.4</v>
      </c>
      <c r="O2119">
        <v>0</v>
      </c>
      <c r="P21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19" t="str">
        <f>IF(Table1[[#This Row],[Fraud_Score]]&gt;=6, "High Risk",IF(Table1[[#This Row],[Fraud_Score]]&gt;=3, "Medium Risk", "Low Risk"))</f>
        <v>Low Risk</v>
      </c>
      <c r="R2119">
        <f>IF(Table1[[#This Row],[Seconds of Use]]=0,0,Table1[[#This Row],[Customer Value]]/Table1[[#This Row],[Seconds of Use]]*100)</f>
        <v>11.960591133004925</v>
      </c>
    </row>
    <row r="2120" spans="1:18" x14ac:dyDescent="0.35">
      <c r="A2120" s="3" t="s">
        <v>2141</v>
      </c>
      <c r="B2120">
        <v>5</v>
      </c>
      <c r="C2120">
        <v>0</v>
      </c>
      <c r="D2120">
        <v>39</v>
      </c>
      <c r="E2120">
        <v>0</v>
      </c>
      <c r="F2120">
        <v>305</v>
      </c>
      <c r="G2120">
        <v>6</v>
      </c>
      <c r="H2120">
        <v>7</v>
      </c>
      <c r="I2120">
        <v>2</v>
      </c>
      <c r="J2120">
        <v>2</v>
      </c>
      <c r="K2120">
        <v>1</v>
      </c>
      <c r="L2120">
        <v>2</v>
      </c>
      <c r="M2120">
        <v>25</v>
      </c>
      <c r="N2120">
        <v>45.494999999999997</v>
      </c>
      <c r="O2120">
        <v>1</v>
      </c>
      <c r="P21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20" t="str">
        <f>IF(Table1[[#This Row],[Fraud_Score]]&gt;=6, "High Risk",IF(Table1[[#This Row],[Fraud_Score]]&gt;=3, "Medium Risk", "Low Risk"))</f>
        <v>Low Risk</v>
      </c>
      <c r="R2120">
        <f>IF(Table1[[#This Row],[Seconds of Use]]=0,0,Table1[[#This Row],[Customer Value]]/Table1[[#This Row],[Seconds of Use]]*100)</f>
        <v>14.916393442622949</v>
      </c>
    </row>
    <row r="2121" spans="1:18" x14ac:dyDescent="0.35">
      <c r="A2121" s="3" t="s">
        <v>2142</v>
      </c>
      <c r="B2121">
        <v>8</v>
      </c>
      <c r="C2121">
        <v>0</v>
      </c>
      <c r="D2121">
        <v>39</v>
      </c>
      <c r="E2121">
        <v>1</v>
      </c>
      <c r="F2121">
        <v>7813</v>
      </c>
      <c r="G2121">
        <v>133</v>
      </c>
      <c r="H2121">
        <v>391</v>
      </c>
      <c r="I2121">
        <v>45</v>
      </c>
      <c r="J2121">
        <v>3</v>
      </c>
      <c r="K2121">
        <v>1</v>
      </c>
      <c r="L2121">
        <v>1</v>
      </c>
      <c r="M2121">
        <v>30</v>
      </c>
      <c r="N2121">
        <v>1881.84</v>
      </c>
      <c r="O2121">
        <v>0</v>
      </c>
      <c r="P21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21" t="str">
        <f>IF(Table1[[#This Row],[Fraud_Score]]&gt;=6, "High Risk",IF(Table1[[#This Row],[Fraud_Score]]&gt;=3, "Medium Risk", "Low Risk"))</f>
        <v>Low Risk</v>
      </c>
      <c r="R2121">
        <f>IF(Table1[[#This Row],[Seconds of Use]]=0,0,Table1[[#This Row],[Customer Value]]/Table1[[#This Row],[Seconds of Use]]*100)</f>
        <v>24.086010495328296</v>
      </c>
    </row>
    <row r="2122" spans="1:18" x14ac:dyDescent="0.35">
      <c r="A2122" s="3" t="s">
        <v>2143</v>
      </c>
      <c r="B2122">
        <v>12</v>
      </c>
      <c r="C2122">
        <v>0</v>
      </c>
      <c r="D2122">
        <v>39</v>
      </c>
      <c r="E2122">
        <v>2</v>
      </c>
      <c r="F2122">
        <v>11770</v>
      </c>
      <c r="G2122">
        <v>160</v>
      </c>
      <c r="H2122">
        <v>18</v>
      </c>
      <c r="I2122">
        <v>49</v>
      </c>
      <c r="J2122">
        <v>4</v>
      </c>
      <c r="K2122">
        <v>1</v>
      </c>
      <c r="L2122">
        <v>1</v>
      </c>
      <c r="M2122">
        <v>45</v>
      </c>
      <c r="N2122">
        <v>343.25</v>
      </c>
      <c r="O2122">
        <v>0</v>
      </c>
      <c r="P21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22" t="str">
        <f>IF(Table1[[#This Row],[Fraud_Score]]&gt;=6, "High Risk",IF(Table1[[#This Row],[Fraud_Score]]&gt;=3, "Medium Risk", "Low Risk"))</f>
        <v>Medium Risk</v>
      </c>
      <c r="R2122">
        <f>IF(Table1[[#This Row],[Seconds of Use]]=0,0,Table1[[#This Row],[Customer Value]]/Table1[[#This Row],[Seconds of Use]]*100)</f>
        <v>2.9163126593033133</v>
      </c>
    </row>
    <row r="2123" spans="1:18" x14ac:dyDescent="0.35">
      <c r="A2123" s="3" t="s">
        <v>2144</v>
      </c>
      <c r="B2123">
        <v>13</v>
      </c>
      <c r="C2123">
        <v>0</v>
      </c>
      <c r="D2123">
        <v>39</v>
      </c>
      <c r="E2123">
        <v>2</v>
      </c>
      <c r="F2123">
        <v>7023</v>
      </c>
      <c r="G2123">
        <v>81</v>
      </c>
      <c r="H2123">
        <v>115</v>
      </c>
      <c r="I2123">
        <v>39</v>
      </c>
      <c r="J2123">
        <v>2</v>
      </c>
      <c r="K2123">
        <v>1</v>
      </c>
      <c r="L2123">
        <v>1</v>
      </c>
      <c r="M2123">
        <v>25</v>
      </c>
      <c r="N2123">
        <v>837.18</v>
      </c>
      <c r="O2123">
        <v>0</v>
      </c>
      <c r="P21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23" t="str">
        <f>IF(Table1[[#This Row],[Fraud_Score]]&gt;=6, "High Risk",IF(Table1[[#This Row],[Fraud_Score]]&gt;=3, "Medium Risk", "Low Risk"))</f>
        <v>Low Risk</v>
      </c>
      <c r="R2123">
        <f>IF(Table1[[#This Row],[Seconds of Use]]=0,0,Table1[[#This Row],[Customer Value]]/Table1[[#This Row],[Seconds of Use]]*100)</f>
        <v>11.920546774882528</v>
      </c>
    </row>
    <row r="2124" spans="1:18" x14ac:dyDescent="0.35">
      <c r="A2124" s="3" t="s">
        <v>2145</v>
      </c>
      <c r="B2124">
        <v>28</v>
      </c>
      <c r="C2124">
        <v>0</v>
      </c>
      <c r="D2124">
        <v>35</v>
      </c>
      <c r="E2124">
        <v>0</v>
      </c>
      <c r="F2124">
        <v>1260</v>
      </c>
      <c r="G2124">
        <v>53</v>
      </c>
      <c r="H2124">
        <v>23</v>
      </c>
      <c r="I2124">
        <v>19</v>
      </c>
      <c r="J2124">
        <v>3</v>
      </c>
      <c r="K2124">
        <v>1</v>
      </c>
      <c r="L2124">
        <v>2</v>
      </c>
      <c r="M2124">
        <v>30</v>
      </c>
      <c r="N2124">
        <v>144.52000000000001</v>
      </c>
      <c r="O2124">
        <v>1</v>
      </c>
      <c r="P21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124" t="str">
        <f>IF(Table1[[#This Row],[Fraud_Score]]&gt;=6, "High Risk",IF(Table1[[#This Row],[Fraud_Score]]&gt;=3, "Medium Risk", "Low Risk"))</f>
        <v>Medium Risk</v>
      </c>
      <c r="R2124">
        <f>IF(Table1[[#This Row],[Seconds of Use]]=0,0,Table1[[#This Row],[Customer Value]]/Table1[[#This Row],[Seconds of Use]]*100)</f>
        <v>11.46984126984127</v>
      </c>
    </row>
    <row r="2125" spans="1:18" x14ac:dyDescent="0.35">
      <c r="A2125" s="3" t="s">
        <v>2146</v>
      </c>
      <c r="B2125">
        <v>26</v>
      </c>
      <c r="C2125">
        <v>0</v>
      </c>
      <c r="D2125">
        <v>38</v>
      </c>
      <c r="E2125">
        <v>9</v>
      </c>
      <c r="F2125">
        <v>10740</v>
      </c>
      <c r="G2125">
        <v>99</v>
      </c>
      <c r="H2125">
        <v>8</v>
      </c>
      <c r="I2125">
        <v>44</v>
      </c>
      <c r="J2125">
        <v>5</v>
      </c>
      <c r="K2125">
        <v>1</v>
      </c>
      <c r="L2125">
        <v>1</v>
      </c>
      <c r="M2125">
        <v>55</v>
      </c>
      <c r="N2125">
        <v>174.58500000000001</v>
      </c>
      <c r="O2125">
        <v>0</v>
      </c>
      <c r="P21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25" t="str">
        <f>IF(Table1[[#This Row],[Fraud_Score]]&gt;=6, "High Risk",IF(Table1[[#This Row],[Fraud_Score]]&gt;=3, "Medium Risk", "Low Risk"))</f>
        <v>Low Risk</v>
      </c>
      <c r="R2125">
        <f>IF(Table1[[#This Row],[Seconds of Use]]=0,0,Table1[[#This Row],[Customer Value]]/Table1[[#This Row],[Seconds of Use]]*100)</f>
        <v>1.625558659217877</v>
      </c>
    </row>
    <row r="2126" spans="1:18" x14ac:dyDescent="0.35">
      <c r="A2126" s="3" t="s">
        <v>2147</v>
      </c>
      <c r="B2126">
        <v>18</v>
      </c>
      <c r="C2126">
        <v>0</v>
      </c>
      <c r="D2126">
        <v>38</v>
      </c>
      <c r="E2126">
        <v>2</v>
      </c>
      <c r="F2126">
        <v>6123</v>
      </c>
      <c r="G2126">
        <v>104</v>
      </c>
      <c r="H2126">
        <v>33</v>
      </c>
      <c r="I2126">
        <v>26</v>
      </c>
      <c r="J2126">
        <v>2</v>
      </c>
      <c r="K2126">
        <v>1</v>
      </c>
      <c r="L2126">
        <v>1</v>
      </c>
      <c r="M2126">
        <v>25</v>
      </c>
      <c r="N2126">
        <v>428.71499999999997</v>
      </c>
      <c r="O2126">
        <v>0</v>
      </c>
      <c r="P21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26" t="str">
        <f>IF(Table1[[#This Row],[Fraud_Score]]&gt;=6, "High Risk",IF(Table1[[#This Row],[Fraud_Score]]&gt;=3, "Medium Risk", "Low Risk"))</f>
        <v>Low Risk</v>
      </c>
      <c r="R2126">
        <f>IF(Table1[[#This Row],[Seconds of Use]]=0,0,Table1[[#This Row],[Customer Value]]/Table1[[#This Row],[Seconds of Use]]*100)</f>
        <v>7.0017148456638898</v>
      </c>
    </row>
    <row r="2127" spans="1:18" x14ac:dyDescent="0.35">
      <c r="A2127" s="3" t="s">
        <v>2148</v>
      </c>
      <c r="B2127">
        <v>6</v>
      </c>
      <c r="C2127">
        <v>0</v>
      </c>
      <c r="D2127">
        <v>36</v>
      </c>
      <c r="E2127">
        <v>1</v>
      </c>
      <c r="F2127">
        <v>3145</v>
      </c>
      <c r="G2127">
        <v>28</v>
      </c>
      <c r="H2127">
        <v>7</v>
      </c>
      <c r="I2127">
        <v>16</v>
      </c>
      <c r="J2127">
        <v>3</v>
      </c>
      <c r="K2127">
        <v>1</v>
      </c>
      <c r="L2127">
        <v>1</v>
      </c>
      <c r="M2127">
        <v>30</v>
      </c>
      <c r="N2127">
        <v>154.91999999999999</v>
      </c>
      <c r="O2127">
        <v>0</v>
      </c>
      <c r="P21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27" t="str">
        <f>IF(Table1[[#This Row],[Fraud_Score]]&gt;=6, "High Risk",IF(Table1[[#This Row],[Fraud_Score]]&gt;=3, "Medium Risk", "Low Risk"))</f>
        <v>Low Risk</v>
      </c>
      <c r="R2127">
        <f>IF(Table1[[#This Row],[Seconds of Use]]=0,0,Table1[[#This Row],[Customer Value]]/Table1[[#This Row],[Seconds of Use]]*100)</f>
        <v>4.9259141494435612</v>
      </c>
    </row>
    <row r="2128" spans="1:18" x14ac:dyDescent="0.35">
      <c r="A2128" s="3" t="s">
        <v>2149</v>
      </c>
      <c r="B2128">
        <v>14</v>
      </c>
      <c r="C2128">
        <v>1</v>
      </c>
      <c r="D2128">
        <v>37</v>
      </c>
      <c r="E2128">
        <v>0</v>
      </c>
      <c r="F2128">
        <v>3295</v>
      </c>
      <c r="G2128">
        <v>47</v>
      </c>
      <c r="H2128">
        <v>16</v>
      </c>
      <c r="I2128">
        <v>18</v>
      </c>
      <c r="J2128">
        <v>3</v>
      </c>
      <c r="K2128">
        <v>1</v>
      </c>
      <c r="L2128">
        <v>2</v>
      </c>
      <c r="M2128">
        <v>30</v>
      </c>
      <c r="N2128">
        <v>197.68</v>
      </c>
      <c r="O2128">
        <v>1</v>
      </c>
      <c r="P21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28" t="str">
        <f>IF(Table1[[#This Row],[Fraud_Score]]&gt;=6, "High Risk",IF(Table1[[#This Row],[Fraud_Score]]&gt;=3, "Medium Risk", "Low Risk"))</f>
        <v>Medium Risk</v>
      </c>
      <c r="R2128">
        <f>IF(Table1[[#This Row],[Seconds of Use]]=0,0,Table1[[#This Row],[Customer Value]]/Table1[[#This Row],[Seconds of Use]]*100)</f>
        <v>5.9993930197268588</v>
      </c>
    </row>
    <row r="2129" spans="1:18" x14ac:dyDescent="0.35">
      <c r="A2129" s="3" t="s">
        <v>2150</v>
      </c>
      <c r="B2129">
        <v>14</v>
      </c>
      <c r="C2129">
        <v>1</v>
      </c>
      <c r="D2129">
        <v>38</v>
      </c>
      <c r="E2129">
        <v>0</v>
      </c>
      <c r="F2129">
        <v>2573</v>
      </c>
      <c r="G2129">
        <v>50</v>
      </c>
      <c r="H2129">
        <v>41</v>
      </c>
      <c r="I2129">
        <v>33</v>
      </c>
      <c r="J2129">
        <v>4</v>
      </c>
      <c r="K2129">
        <v>1</v>
      </c>
      <c r="L2129">
        <v>2</v>
      </c>
      <c r="M2129">
        <v>45</v>
      </c>
      <c r="N2129">
        <v>168.07499999999999</v>
      </c>
      <c r="O2129">
        <v>1</v>
      </c>
      <c r="P21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29" t="str">
        <f>IF(Table1[[#This Row],[Fraud_Score]]&gt;=6, "High Risk",IF(Table1[[#This Row],[Fraud_Score]]&gt;=3, "Medium Risk", "Low Risk"))</f>
        <v>Medium Risk</v>
      </c>
      <c r="R2129">
        <f>IF(Table1[[#This Row],[Seconds of Use]]=0,0,Table1[[#This Row],[Customer Value]]/Table1[[#This Row],[Seconds of Use]]*100)</f>
        <v>6.532258064516129</v>
      </c>
    </row>
    <row r="2130" spans="1:18" x14ac:dyDescent="0.35">
      <c r="A2130" s="3" t="s">
        <v>2151</v>
      </c>
      <c r="B2130">
        <v>5</v>
      </c>
      <c r="C2130">
        <v>0</v>
      </c>
      <c r="D2130">
        <v>38</v>
      </c>
      <c r="E2130">
        <v>0</v>
      </c>
      <c r="F2130">
        <v>438</v>
      </c>
      <c r="G2130">
        <v>8</v>
      </c>
      <c r="H2130">
        <v>7</v>
      </c>
      <c r="I2130">
        <v>4</v>
      </c>
      <c r="J2130">
        <v>3</v>
      </c>
      <c r="K2130">
        <v>1</v>
      </c>
      <c r="L2130">
        <v>2</v>
      </c>
      <c r="M2130">
        <v>30</v>
      </c>
      <c r="N2130">
        <v>45.84</v>
      </c>
      <c r="O2130">
        <v>1</v>
      </c>
      <c r="P21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30" t="str">
        <f>IF(Table1[[#This Row],[Fraud_Score]]&gt;=6, "High Risk",IF(Table1[[#This Row],[Fraud_Score]]&gt;=3, "Medium Risk", "Low Risk"))</f>
        <v>Low Risk</v>
      </c>
      <c r="R2130">
        <f>IF(Table1[[#This Row],[Seconds of Use]]=0,0,Table1[[#This Row],[Customer Value]]/Table1[[#This Row],[Seconds of Use]]*100)</f>
        <v>10.465753424657535</v>
      </c>
    </row>
    <row r="2131" spans="1:18" x14ac:dyDescent="0.35">
      <c r="A2131" s="3" t="s">
        <v>2152</v>
      </c>
      <c r="B2131">
        <v>6</v>
      </c>
      <c r="C2131">
        <v>0</v>
      </c>
      <c r="D2131">
        <v>38</v>
      </c>
      <c r="E2131">
        <v>1</v>
      </c>
      <c r="F2131">
        <v>1973</v>
      </c>
      <c r="G2131">
        <v>31</v>
      </c>
      <c r="H2131">
        <v>7</v>
      </c>
      <c r="I2131">
        <v>8</v>
      </c>
      <c r="J2131">
        <v>4</v>
      </c>
      <c r="K2131">
        <v>1</v>
      </c>
      <c r="L2131">
        <v>1</v>
      </c>
      <c r="M2131">
        <v>45</v>
      </c>
      <c r="N2131">
        <v>67.599999999999994</v>
      </c>
      <c r="O2131">
        <v>0</v>
      </c>
      <c r="P21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31" t="str">
        <f>IF(Table1[[#This Row],[Fraud_Score]]&gt;=6, "High Risk",IF(Table1[[#This Row],[Fraud_Score]]&gt;=3, "Medium Risk", "Low Risk"))</f>
        <v>Low Risk</v>
      </c>
      <c r="R2131">
        <f>IF(Table1[[#This Row],[Seconds of Use]]=0,0,Table1[[#This Row],[Customer Value]]/Table1[[#This Row],[Seconds of Use]]*100)</f>
        <v>3.4262544348707547</v>
      </c>
    </row>
    <row r="2132" spans="1:18" x14ac:dyDescent="0.35">
      <c r="A2132" s="3" t="s">
        <v>2153</v>
      </c>
      <c r="B2132">
        <v>8</v>
      </c>
      <c r="C2132">
        <v>0</v>
      </c>
      <c r="D2132">
        <v>35</v>
      </c>
      <c r="E2132">
        <v>2</v>
      </c>
      <c r="F2132">
        <v>7090</v>
      </c>
      <c r="G2132">
        <v>103</v>
      </c>
      <c r="H2132">
        <v>21</v>
      </c>
      <c r="I2132">
        <v>24</v>
      </c>
      <c r="J2132">
        <v>5</v>
      </c>
      <c r="K2132">
        <v>1</v>
      </c>
      <c r="L2132">
        <v>1</v>
      </c>
      <c r="M2132">
        <v>55</v>
      </c>
      <c r="N2132">
        <v>139.39500000000001</v>
      </c>
      <c r="O2132">
        <v>0</v>
      </c>
      <c r="P21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32" t="str">
        <f>IF(Table1[[#This Row],[Fraud_Score]]&gt;=6, "High Risk",IF(Table1[[#This Row],[Fraud_Score]]&gt;=3, "Medium Risk", "Low Risk"))</f>
        <v>Low Risk</v>
      </c>
      <c r="R2132">
        <f>IF(Table1[[#This Row],[Seconds of Use]]=0,0,Table1[[#This Row],[Customer Value]]/Table1[[#This Row],[Seconds of Use]]*100)</f>
        <v>1.9660789844851905</v>
      </c>
    </row>
    <row r="2133" spans="1:18" x14ac:dyDescent="0.35">
      <c r="A2133" s="3" t="s">
        <v>2154</v>
      </c>
      <c r="B2133">
        <v>5</v>
      </c>
      <c r="C2133">
        <v>0</v>
      </c>
      <c r="D2133">
        <v>38</v>
      </c>
      <c r="E2133">
        <v>0</v>
      </c>
      <c r="F2133">
        <v>933</v>
      </c>
      <c r="G2133">
        <v>13</v>
      </c>
      <c r="H2133">
        <v>16</v>
      </c>
      <c r="I2133">
        <v>6</v>
      </c>
      <c r="J2133">
        <v>4</v>
      </c>
      <c r="K2133">
        <v>1</v>
      </c>
      <c r="L2133">
        <v>2</v>
      </c>
      <c r="M2133">
        <v>45</v>
      </c>
      <c r="N2133">
        <v>63.65</v>
      </c>
      <c r="O2133">
        <v>1</v>
      </c>
      <c r="P21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33" t="str">
        <f>IF(Table1[[#This Row],[Fraud_Score]]&gt;=6, "High Risk",IF(Table1[[#This Row],[Fraud_Score]]&gt;=3, "Medium Risk", "Low Risk"))</f>
        <v>Low Risk</v>
      </c>
      <c r="R2133">
        <f>IF(Table1[[#This Row],[Seconds of Use]]=0,0,Table1[[#This Row],[Customer Value]]/Table1[[#This Row],[Seconds of Use]]*100)</f>
        <v>6.8220793140407281</v>
      </c>
    </row>
    <row r="2134" spans="1:18" x14ac:dyDescent="0.35">
      <c r="A2134" s="3" t="s">
        <v>2155</v>
      </c>
      <c r="B2134">
        <v>5</v>
      </c>
      <c r="C2134">
        <v>0</v>
      </c>
      <c r="D2134">
        <v>38</v>
      </c>
      <c r="E2134">
        <v>2</v>
      </c>
      <c r="F2134">
        <v>643</v>
      </c>
      <c r="G2134">
        <v>10</v>
      </c>
      <c r="H2134">
        <v>11</v>
      </c>
      <c r="I2134">
        <v>4</v>
      </c>
      <c r="J2134">
        <v>5</v>
      </c>
      <c r="K2134">
        <v>1</v>
      </c>
      <c r="L2134">
        <v>1</v>
      </c>
      <c r="M2134">
        <v>55</v>
      </c>
      <c r="N2134">
        <v>26.295000000000002</v>
      </c>
      <c r="O2134">
        <v>0</v>
      </c>
      <c r="P21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34" t="str">
        <f>IF(Table1[[#This Row],[Fraud_Score]]&gt;=6, "High Risk",IF(Table1[[#This Row],[Fraud_Score]]&gt;=3, "Medium Risk", "Low Risk"))</f>
        <v>Low Risk</v>
      </c>
      <c r="R2134">
        <f>IF(Table1[[#This Row],[Seconds of Use]]=0,0,Table1[[#This Row],[Customer Value]]/Table1[[#This Row],[Seconds of Use]]*100)</f>
        <v>4.0894245723172631</v>
      </c>
    </row>
    <row r="2135" spans="1:18" x14ac:dyDescent="0.35">
      <c r="A2135" s="3" t="s">
        <v>2156</v>
      </c>
      <c r="B2135">
        <v>30</v>
      </c>
      <c r="C2135">
        <v>0</v>
      </c>
      <c r="D2135">
        <v>33</v>
      </c>
      <c r="E2135">
        <v>4</v>
      </c>
      <c r="F2135">
        <v>16380</v>
      </c>
      <c r="G2135">
        <v>244</v>
      </c>
      <c r="H2135">
        <v>7</v>
      </c>
      <c r="I2135">
        <v>82</v>
      </c>
      <c r="J2135">
        <v>2</v>
      </c>
      <c r="K2135">
        <v>2</v>
      </c>
      <c r="L2135">
        <v>1</v>
      </c>
      <c r="M2135">
        <v>25</v>
      </c>
      <c r="N2135">
        <v>779.58</v>
      </c>
      <c r="O2135">
        <v>0</v>
      </c>
      <c r="P21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35" t="str">
        <f>IF(Table1[[#This Row],[Fraud_Score]]&gt;=6, "High Risk",IF(Table1[[#This Row],[Fraud_Score]]&gt;=3, "Medium Risk", "Low Risk"))</f>
        <v>Medium Risk</v>
      </c>
      <c r="R2135">
        <f>IF(Table1[[#This Row],[Seconds of Use]]=0,0,Table1[[#This Row],[Customer Value]]/Table1[[#This Row],[Seconds of Use]]*100)</f>
        <v>4.7593406593406593</v>
      </c>
    </row>
    <row r="2136" spans="1:18" x14ac:dyDescent="0.35">
      <c r="A2136" s="3" t="s">
        <v>2157</v>
      </c>
      <c r="B2136">
        <v>11</v>
      </c>
      <c r="C2136">
        <v>0</v>
      </c>
      <c r="D2136">
        <v>36</v>
      </c>
      <c r="E2136">
        <v>4</v>
      </c>
      <c r="F2136">
        <v>7270</v>
      </c>
      <c r="G2136">
        <v>122</v>
      </c>
      <c r="H2136">
        <v>278</v>
      </c>
      <c r="I2136">
        <v>35</v>
      </c>
      <c r="J2136">
        <v>3</v>
      </c>
      <c r="K2136">
        <v>2</v>
      </c>
      <c r="L2136">
        <v>1</v>
      </c>
      <c r="M2136">
        <v>30</v>
      </c>
      <c r="N2136">
        <v>1407.68</v>
      </c>
      <c r="O2136">
        <v>0</v>
      </c>
      <c r="P21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36" t="str">
        <f>IF(Table1[[#This Row],[Fraud_Score]]&gt;=6, "High Risk",IF(Table1[[#This Row],[Fraud_Score]]&gt;=3, "Medium Risk", "Low Risk"))</f>
        <v>Low Risk</v>
      </c>
      <c r="R2136">
        <f>IF(Table1[[#This Row],[Seconds of Use]]=0,0,Table1[[#This Row],[Customer Value]]/Table1[[#This Row],[Seconds of Use]]*100)</f>
        <v>19.362861072902341</v>
      </c>
    </row>
    <row r="2137" spans="1:18" x14ac:dyDescent="0.35">
      <c r="A2137" s="3" t="s">
        <v>2158</v>
      </c>
      <c r="B2137">
        <v>7</v>
      </c>
      <c r="C2137">
        <v>0</v>
      </c>
      <c r="D2137">
        <v>38</v>
      </c>
      <c r="E2137">
        <v>1</v>
      </c>
      <c r="F2137">
        <v>4023</v>
      </c>
      <c r="G2137">
        <v>88</v>
      </c>
      <c r="H2137">
        <v>9</v>
      </c>
      <c r="I2137">
        <v>30</v>
      </c>
      <c r="J2137">
        <v>3</v>
      </c>
      <c r="K2137">
        <v>1</v>
      </c>
      <c r="L2137">
        <v>1</v>
      </c>
      <c r="M2137">
        <v>30</v>
      </c>
      <c r="N2137">
        <v>200.44</v>
      </c>
      <c r="O2137">
        <v>0</v>
      </c>
      <c r="P21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37" t="str">
        <f>IF(Table1[[#This Row],[Fraud_Score]]&gt;=6, "High Risk",IF(Table1[[#This Row],[Fraud_Score]]&gt;=3, "Medium Risk", "Low Risk"))</f>
        <v>Low Risk</v>
      </c>
      <c r="R2137">
        <f>IF(Table1[[#This Row],[Seconds of Use]]=0,0,Table1[[#This Row],[Customer Value]]/Table1[[#This Row],[Seconds of Use]]*100)</f>
        <v>4.9823514789957741</v>
      </c>
    </row>
    <row r="2138" spans="1:18" x14ac:dyDescent="0.35">
      <c r="A2138" s="3" t="s">
        <v>2159</v>
      </c>
      <c r="B2138">
        <v>8</v>
      </c>
      <c r="C2138">
        <v>0</v>
      </c>
      <c r="D2138">
        <v>37</v>
      </c>
      <c r="E2138">
        <v>0</v>
      </c>
      <c r="F2138">
        <v>1970</v>
      </c>
      <c r="G2138">
        <v>50</v>
      </c>
      <c r="H2138">
        <v>45</v>
      </c>
      <c r="I2138">
        <v>22</v>
      </c>
      <c r="J2138">
        <v>3</v>
      </c>
      <c r="K2138">
        <v>1</v>
      </c>
      <c r="L2138">
        <v>2</v>
      </c>
      <c r="M2138">
        <v>30</v>
      </c>
      <c r="N2138">
        <v>260.8</v>
      </c>
      <c r="O2138">
        <v>0</v>
      </c>
      <c r="P21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38" t="str">
        <f>IF(Table1[[#This Row],[Fraud_Score]]&gt;=6, "High Risk",IF(Table1[[#This Row],[Fraud_Score]]&gt;=3, "Medium Risk", "Low Risk"))</f>
        <v>Low Risk</v>
      </c>
      <c r="R2138">
        <f>IF(Table1[[#This Row],[Seconds of Use]]=0,0,Table1[[#This Row],[Customer Value]]/Table1[[#This Row],[Seconds of Use]]*100)</f>
        <v>13.238578680203048</v>
      </c>
    </row>
    <row r="2139" spans="1:18" x14ac:dyDescent="0.35">
      <c r="A2139" s="3" t="s">
        <v>2160</v>
      </c>
      <c r="B2139">
        <v>11</v>
      </c>
      <c r="C2139">
        <v>0</v>
      </c>
      <c r="D2139">
        <v>38</v>
      </c>
      <c r="E2139">
        <v>1</v>
      </c>
      <c r="F2139">
        <v>3085</v>
      </c>
      <c r="G2139">
        <v>59</v>
      </c>
      <c r="H2139">
        <v>182</v>
      </c>
      <c r="I2139">
        <v>25</v>
      </c>
      <c r="J2139">
        <v>2</v>
      </c>
      <c r="K2139">
        <v>1</v>
      </c>
      <c r="L2139">
        <v>1</v>
      </c>
      <c r="M2139">
        <v>25</v>
      </c>
      <c r="N2139">
        <v>960.48</v>
      </c>
      <c r="O2139">
        <v>0</v>
      </c>
      <c r="P21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39" t="str">
        <f>IF(Table1[[#This Row],[Fraud_Score]]&gt;=6, "High Risk",IF(Table1[[#This Row],[Fraud_Score]]&gt;=3, "Medium Risk", "Low Risk"))</f>
        <v>Low Risk</v>
      </c>
      <c r="R2139">
        <f>IF(Table1[[#This Row],[Seconds of Use]]=0,0,Table1[[#This Row],[Customer Value]]/Table1[[#This Row],[Seconds of Use]]*100)</f>
        <v>31.133873581847649</v>
      </c>
    </row>
    <row r="2140" spans="1:18" x14ac:dyDescent="0.35">
      <c r="A2140" s="3" t="s">
        <v>2161</v>
      </c>
      <c r="B2140">
        <v>9</v>
      </c>
      <c r="C2140">
        <v>0</v>
      </c>
      <c r="D2140">
        <v>29</v>
      </c>
      <c r="E2140">
        <v>2</v>
      </c>
      <c r="F2140">
        <v>1620</v>
      </c>
      <c r="G2140">
        <v>42</v>
      </c>
      <c r="H2140">
        <v>200</v>
      </c>
      <c r="I2140">
        <v>13</v>
      </c>
      <c r="J2140">
        <v>3</v>
      </c>
      <c r="K2140">
        <v>2</v>
      </c>
      <c r="L2140">
        <v>1</v>
      </c>
      <c r="M2140">
        <v>30</v>
      </c>
      <c r="N2140">
        <v>866.48</v>
      </c>
      <c r="O2140">
        <v>0</v>
      </c>
      <c r="P21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40" t="str">
        <f>IF(Table1[[#This Row],[Fraud_Score]]&gt;=6, "High Risk",IF(Table1[[#This Row],[Fraud_Score]]&gt;=3, "Medium Risk", "Low Risk"))</f>
        <v>Low Risk</v>
      </c>
      <c r="R2140">
        <f>IF(Table1[[#This Row],[Seconds of Use]]=0,0,Table1[[#This Row],[Customer Value]]/Table1[[#This Row],[Seconds of Use]]*100)</f>
        <v>53.486419753086423</v>
      </c>
    </row>
    <row r="2141" spans="1:18" x14ac:dyDescent="0.35">
      <c r="A2141" s="3" t="s">
        <v>2162</v>
      </c>
      <c r="B2141">
        <v>9</v>
      </c>
      <c r="C2141">
        <v>0</v>
      </c>
      <c r="D2141">
        <v>28</v>
      </c>
      <c r="E2141">
        <v>1</v>
      </c>
      <c r="F2141">
        <v>1873</v>
      </c>
      <c r="G2141">
        <v>45</v>
      </c>
      <c r="H2141">
        <v>37</v>
      </c>
      <c r="I2141">
        <v>70</v>
      </c>
      <c r="J2141">
        <v>5</v>
      </c>
      <c r="K2141">
        <v>1</v>
      </c>
      <c r="L2141">
        <v>1</v>
      </c>
      <c r="M2141">
        <v>55</v>
      </c>
      <c r="N2141">
        <v>84.27</v>
      </c>
      <c r="O2141">
        <v>0</v>
      </c>
      <c r="P21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41" t="str">
        <f>IF(Table1[[#This Row],[Fraud_Score]]&gt;=6, "High Risk",IF(Table1[[#This Row],[Fraud_Score]]&gt;=3, "Medium Risk", "Low Risk"))</f>
        <v>Low Risk</v>
      </c>
      <c r="R2141">
        <f>IF(Table1[[#This Row],[Seconds of Use]]=0,0,Table1[[#This Row],[Customer Value]]/Table1[[#This Row],[Seconds of Use]]*100)</f>
        <v>4.4991991457554725</v>
      </c>
    </row>
    <row r="2142" spans="1:18" x14ac:dyDescent="0.35">
      <c r="A2142" s="3" t="s">
        <v>2163</v>
      </c>
      <c r="B2142">
        <v>16</v>
      </c>
      <c r="C2142">
        <v>0</v>
      </c>
      <c r="D2142">
        <v>29</v>
      </c>
      <c r="E2142">
        <v>0</v>
      </c>
      <c r="F2142">
        <v>1005</v>
      </c>
      <c r="G2142">
        <v>31</v>
      </c>
      <c r="H2142">
        <v>17</v>
      </c>
      <c r="I2142">
        <v>9</v>
      </c>
      <c r="J2142">
        <v>3</v>
      </c>
      <c r="K2142">
        <v>1</v>
      </c>
      <c r="L2142">
        <v>2</v>
      </c>
      <c r="M2142">
        <v>30</v>
      </c>
      <c r="N2142">
        <v>109.44</v>
      </c>
      <c r="O2142">
        <v>0</v>
      </c>
      <c r="P21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142" t="str">
        <f>IF(Table1[[#This Row],[Fraud_Score]]&gt;=6, "High Risk",IF(Table1[[#This Row],[Fraud_Score]]&gt;=3, "Medium Risk", "Low Risk"))</f>
        <v>Medium Risk</v>
      </c>
      <c r="R2142">
        <f>IF(Table1[[#This Row],[Seconds of Use]]=0,0,Table1[[#This Row],[Customer Value]]/Table1[[#This Row],[Seconds of Use]]*100)</f>
        <v>10.889552238805971</v>
      </c>
    </row>
    <row r="2143" spans="1:18" x14ac:dyDescent="0.35">
      <c r="A2143" s="3" t="s">
        <v>2164</v>
      </c>
      <c r="B2143">
        <v>5</v>
      </c>
      <c r="C2143">
        <v>0</v>
      </c>
      <c r="D2143">
        <v>28</v>
      </c>
      <c r="E2143">
        <v>0</v>
      </c>
      <c r="F2143">
        <v>1130</v>
      </c>
      <c r="G2143">
        <v>16</v>
      </c>
      <c r="H2143">
        <v>28</v>
      </c>
      <c r="I2143">
        <v>5</v>
      </c>
      <c r="J2143">
        <v>4</v>
      </c>
      <c r="K2143">
        <v>1</v>
      </c>
      <c r="L2143">
        <v>2</v>
      </c>
      <c r="M2143">
        <v>45</v>
      </c>
      <c r="N2143">
        <v>98.65</v>
      </c>
      <c r="O2143">
        <v>0</v>
      </c>
      <c r="P21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143" t="str">
        <f>IF(Table1[[#This Row],[Fraud_Score]]&gt;=6, "High Risk",IF(Table1[[#This Row],[Fraud_Score]]&gt;=3, "Medium Risk", "Low Risk"))</f>
        <v>Low Risk</v>
      </c>
      <c r="R2143">
        <f>IF(Table1[[#This Row],[Seconds of Use]]=0,0,Table1[[#This Row],[Customer Value]]/Table1[[#This Row],[Seconds of Use]]*100)</f>
        <v>8.730088495575222</v>
      </c>
    </row>
    <row r="2144" spans="1:18" x14ac:dyDescent="0.35">
      <c r="A2144" s="3" t="s">
        <v>2165</v>
      </c>
      <c r="B2144">
        <v>15</v>
      </c>
      <c r="C2144">
        <v>0</v>
      </c>
      <c r="D2144">
        <v>27</v>
      </c>
      <c r="E2144">
        <v>1</v>
      </c>
      <c r="F2144">
        <v>1530</v>
      </c>
      <c r="G2144">
        <v>38</v>
      </c>
      <c r="H2144">
        <v>26</v>
      </c>
      <c r="I2144">
        <v>15</v>
      </c>
      <c r="J2144">
        <v>2</v>
      </c>
      <c r="K2144">
        <v>1</v>
      </c>
      <c r="L2144">
        <v>1</v>
      </c>
      <c r="M2144">
        <v>25</v>
      </c>
      <c r="N2144">
        <v>187.56</v>
      </c>
      <c r="O2144">
        <v>0</v>
      </c>
      <c r="P21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44" t="str">
        <f>IF(Table1[[#This Row],[Fraud_Score]]&gt;=6, "High Risk",IF(Table1[[#This Row],[Fraud_Score]]&gt;=3, "Medium Risk", "Low Risk"))</f>
        <v>Low Risk</v>
      </c>
      <c r="R2144">
        <f>IF(Table1[[#This Row],[Seconds of Use]]=0,0,Table1[[#This Row],[Customer Value]]/Table1[[#This Row],[Seconds of Use]]*100)</f>
        <v>12.258823529411766</v>
      </c>
    </row>
    <row r="2145" spans="1:18" x14ac:dyDescent="0.35">
      <c r="A2145" s="3" t="s">
        <v>2166</v>
      </c>
      <c r="B2145">
        <v>7</v>
      </c>
      <c r="C2145">
        <v>0</v>
      </c>
      <c r="D2145">
        <v>27</v>
      </c>
      <c r="E2145">
        <v>1</v>
      </c>
      <c r="F2145">
        <v>3530</v>
      </c>
      <c r="G2145">
        <v>67</v>
      </c>
      <c r="H2145">
        <v>15</v>
      </c>
      <c r="I2145">
        <v>25</v>
      </c>
      <c r="J2145">
        <v>3</v>
      </c>
      <c r="K2145">
        <v>1</v>
      </c>
      <c r="L2145">
        <v>1</v>
      </c>
      <c r="M2145">
        <v>30</v>
      </c>
      <c r="N2145">
        <v>203.88</v>
      </c>
      <c r="O2145">
        <v>0</v>
      </c>
      <c r="P21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45" t="str">
        <f>IF(Table1[[#This Row],[Fraud_Score]]&gt;=6, "High Risk",IF(Table1[[#This Row],[Fraud_Score]]&gt;=3, "Medium Risk", "Low Risk"))</f>
        <v>Low Risk</v>
      </c>
      <c r="R2145">
        <f>IF(Table1[[#This Row],[Seconds of Use]]=0,0,Table1[[#This Row],[Customer Value]]/Table1[[#This Row],[Seconds of Use]]*100)</f>
        <v>5.7756373937677052</v>
      </c>
    </row>
    <row r="2146" spans="1:18" x14ac:dyDescent="0.35">
      <c r="A2146" s="3" t="s">
        <v>2167</v>
      </c>
      <c r="B2146">
        <v>7</v>
      </c>
      <c r="C2146">
        <v>0</v>
      </c>
      <c r="D2146">
        <v>20</v>
      </c>
      <c r="E2146">
        <v>1</v>
      </c>
      <c r="F2146">
        <v>2000</v>
      </c>
      <c r="G2146">
        <v>32</v>
      </c>
      <c r="H2146">
        <v>35</v>
      </c>
      <c r="I2146">
        <v>16</v>
      </c>
      <c r="J2146">
        <v>3</v>
      </c>
      <c r="K2146">
        <v>1</v>
      </c>
      <c r="L2146">
        <v>1</v>
      </c>
      <c r="M2146">
        <v>30</v>
      </c>
      <c r="N2146">
        <v>221.28</v>
      </c>
      <c r="O2146">
        <v>0</v>
      </c>
      <c r="P21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46" t="str">
        <f>IF(Table1[[#This Row],[Fraud_Score]]&gt;=6, "High Risk",IF(Table1[[#This Row],[Fraud_Score]]&gt;=3, "Medium Risk", "Low Risk"))</f>
        <v>Low Risk</v>
      </c>
      <c r="R2146">
        <f>IF(Table1[[#This Row],[Seconds of Use]]=0,0,Table1[[#This Row],[Customer Value]]/Table1[[#This Row],[Seconds of Use]]*100)</f>
        <v>11.064</v>
      </c>
    </row>
    <row r="2147" spans="1:18" x14ac:dyDescent="0.35">
      <c r="A2147" s="3" t="s">
        <v>2168</v>
      </c>
      <c r="B2147">
        <v>21</v>
      </c>
      <c r="C2147">
        <v>0</v>
      </c>
      <c r="D2147">
        <v>19</v>
      </c>
      <c r="E2147">
        <v>2</v>
      </c>
      <c r="F2147">
        <v>6698</v>
      </c>
      <c r="G2147">
        <v>147</v>
      </c>
      <c r="H2147">
        <v>92</v>
      </c>
      <c r="I2147">
        <v>44</v>
      </c>
      <c r="J2147">
        <v>2</v>
      </c>
      <c r="K2147">
        <v>2</v>
      </c>
      <c r="L2147">
        <v>1</v>
      </c>
      <c r="M2147">
        <v>25</v>
      </c>
      <c r="N2147">
        <v>722.02499999999998</v>
      </c>
      <c r="O2147">
        <v>0</v>
      </c>
      <c r="P21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47" t="str">
        <f>IF(Table1[[#This Row],[Fraud_Score]]&gt;=6, "High Risk",IF(Table1[[#This Row],[Fraud_Score]]&gt;=3, "Medium Risk", "Low Risk"))</f>
        <v>Medium Risk</v>
      </c>
      <c r="R2147">
        <f>IF(Table1[[#This Row],[Seconds of Use]]=0,0,Table1[[#This Row],[Customer Value]]/Table1[[#This Row],[Seconds of Use]]*100)</f>
        <v>10.779710361301881</v>
      </c>
    </row>
    <row r="2148" spans="1:18" x14ac:dyDescent="0.35">
      <c r="A2148" s="3" t="s">
        <v>2169</v>
      </c>
      <c r="B2148">
        <v>17</v>
      </c>
      <c r="C2148">
        <v>0</v>
      </c>
      <c r="D2148">
        <v>17</v>
      </c>
      <c r="E2148">
        <v>1</v>
      </c>
      <c r="F2148">
        <v>9238</v>
      </c>
      <c r="G2148">
        <v>177</v>
      </c>
      <c r="H2148">
        <v>80</v>
      </c>
      <c r="I2148">
        <v>42</v>
      </c>
      <c r="J2148">
        <v>5</v>
      </c>
      <c r="K2148">
        <v>1</v>
      </c>
      <c r="L2148">
        <v>1</v>
      </c>
      <c r="M2148">
        <v>55</v>
      </c>
      <c r="N2148">
        <v>261.22500000000002</v>
      </c>
      <c r="O2148">
        <v>0</v>
      </c>
      <c r="P21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48" t="str">
        <f>IF(Table1[[#This Row],[Fraud_Score]]&gt;=6, "High Risk",IF(Table1[[#This Row],[Fraud_Score]]&gt;=3, "Medium Risk", "Low Risk"))</f>
        <v>Medium Risk</v>
      </c>
      <c r="R2148">
        <f>IF(Table1[[#This Row],[Seconds of Use]]=0,0,Table1[[#This Row],[Customer Value]]/Table1[[#This Row],[Seconds of Use]]*100)</f>
        <v>2.827722450746915</v>
      </c>
    </row>
    <row r="2149" spans="1:18" x14ac:dyDescent="0.35">
      <c r="A2149" s="3" t="s">
        <v>2170</v>
      </c>
      <c r="B2149">
        <v>13</v>
      </c>
      <c r="C2149">
        <v>0</v>
      </c>
      <c r="D2149">
        <v>18</v>
      </c>
      <c r="E2149">
        <v>4</v>
      </c>
      <c r="F2149">
        <v>3158</v>
      </c>
      <c r="G2149">
        <v>51</v>
      </c>
      <c r="H2149">
        <v>38</v>
      </c>
      <c r="I2149">
        <v>21</v>
      </c>
      <c r="J2149">
        <v>3</v>
      </c>
      <c r="K2149">
        <v>2</v>
      </c>
      <c r="L2149">
        <v>1</v>
      </c>
      <c r="M2149">
        <v>30</v>
      </c>
      <c r="N2149">
        <v>280.36</v>
      </c>
      <c r="O2149">
        <v>0</v>
      </c>
      <c r="P21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49" t="str">
        <f>IF(Table1[[#This Row],[Fraud_Score]]&gt;=6, "High Risk",IF(Table1[[#This Row],[Fraud_Score]]&gt;=3, "Medium Risk", "Low Risk"))</f>
        <v>Low Risk</v>
      </c>
      <c r="R2149">
        <f>IF(Table1[[#This Row],[Seconds of Use]]=0,0,Table1[[#This Row],[Customer Value]]/Table1[[#This Row],[Seconds of Use]]*100)</f>
        <v>8.8777707409753006</v>
      </c>
    </row>
    <row r="2150" spans="1:18" x14ac:dyDescent="0.35">
      <c r="A2150" s="3" t="s">
        <v>2171</v>
      </c>
      <c r="B2150">
        <v>7</v>
      </c>
      <c r="C2150">
        <v>0</v>
      </c>
      <c r="D2150">
        <v>11</v>
      </c>
      <c r="E2150">
        <v>2</v>
      </c>
      <c r="F2150">
        <v>4695</v>
      </c>
      <c r="G2150">
        <v>46</v>
      </c>
      <c r="H2150">
        <v>222</v>
      </c>
      <c r="I2150">
        <v>12</v>
      </c>
      <c r="J2150">
        <v>3</v>
      </c>
      <c r="K2150">
        <v>1</v>
      </c>
      <c r="L2150">
        <v>1</v>
      </c>
      <c r="M2150">
        <v>30</v>
      </c>
      <c r="N2150">
        <v>1077.6400000000001</v>
      </c>
      <c r="O2150">
        <v>0</v>
      </c>
      <c r="P21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50" t="str">
        <f>IF(Table1[[#This Row],[Fraud_Score]]&gt;=6, "High Risk",IF(Table1[[#This Row],[Fraud_Score]]&gt;=3, "Medium Risk", "Low Risk"))</f>
        <v>Low Risk</v>
      </c>
      <c r="R2150">
        <f>IF(Table1[[#This Row],[Seconds of Use]]=0,0,Table1[[#This Row],[Customer Value]]/Table1[[#This Row],[Seconds of Use]]*100)</f>
        <v>22.952928647497338</v>
      </c>
    </row>
    <row r="2151" spans="1:18" x14ac:dyDescent="0.35">
      <c r="A2151" s="3" t="s">
        <v>2172</v>
      </c>
      <c r="B2151">
        <v>8</v>
      </c>
      <c r="C2151">
        <v>1</v>
      </c>
      <c r="D2151">
        <v>11</v>
      </c>
      <c r="E2151">
        <v>2</v>
      </c>
      <c r="F2151">
        <v>1793</v>
      </c>
      <c r="G2151">
        <v>25</v>
      </c>
      <c r="H2151">
        <v>7</v>
      </c>
      <c r="I2151">
        <v>9</v>
      </c>
      <c r="J2151">
        <v>3</v>
      </c>
      <c r="K2151">
        <v>1</v>
      </c>
      <c r="L2151">
        <v>1</v>
      </c>
      <c r="M2151">
        <v>30</v>
      </c>
      <c r="N2151">
        <v>100.72</v>
      </c>
      <c r="O2151">
        <v>1</v>
      </c>
      <c r="P21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1" t="str">
        <f>IF(Table1[[#This Row],[Fraud_Score]]&gt;=6, "High Risk",IF(Table1[[#This Row],[Fraud_Score]]&gt;=3, "Medium Risk", "Low Risk"))</f>
        <v>Low Risk</v>
      </c>
      <c r="R2151">
        <f>IF(Table1[[#This Row],[Seconds of Use]]=0,0,Table1[[#This Row],[Customer Value]]/Table1[[#This Row],[Seconds of Use]]*100)</f>
        <v>5.6174010039040709</v>
      </c>
    </row>
    <row r="2152" spans="1:18" x14ac:dyDescent="0.35">
      <c r="A2152" s="3" t="s">
        <v>2173</v>
      </c>
      <c r="B2152">
        <v>16</v>
      </c>
      <c r="C2152">
        <v>0</v>
      </c>
      <c r="D2152">
        <v>42</v>
      </c>
      <c r="E2152">
        <v>2</v>
      </c>
      <c r="F2152">
        <v>4735</v>
      </c>
      <c r="G2152">
        <v>80</v>
      </c>
      <c r="H2152">
        <v>17</v>
      </c>
      <c r="I2152">
        <v>21</v>
      </c>
      <c r="J2152">
        <v>3</v>
      </c>
      <c r="K2152">
        <v>1</v>
      </c>
      <c r="L2152">
        <v>1</v>
      </c>
      <c r="M2152">
        <v>30</v>
      </c>
      <c r="N2152">
        <v>260.60000000000002</v>
      </c>
      <c r="O2152">
        <v>0</v>
      </c>
      <c r="P21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2" t="str">
        <f>IF(Table1[[#This Row],[Fraud_Score]]&gt;=6, "High Risk",IF(Table1[[#This Row],[Fraud_Score]]&gt;=3, "Medium Risk", "Low Risk"))</f>
        <v>Low Risk</v>
      </c>
      <c r="R2152">
        <f>IF(Table1[[#This Row],[Seconds of Use]]=0,0,Table1[[#This Row],[Customer Value]]/Table1[[#This Row],[Seconds of Use]]*100)</f>
        <v>5.5036958817317849</v>
      </c>
    </row>
    <row r="2153" spans="1:18" x14ac:dyDescent="0.35">
      <c r="A2153" s="3" t="s">
        <v>2174</v>
      </c>
      <c r="B2153">
        <v>8</v>
      </c>
      <c r="C2153">
        <v>0</v>
      </c>
      <c r="D2153">
        <v>43</v>
      </c>
      <c r="E2153">
        <v>2</v>
      </c>
      <c r="F2153">
        <v>683</v>
      </c>
      <c r="G2153">
        <v>14</v>
      </c>
      <c r="H2153">
        <v>19</v>
      </c>
      <c r="I2153">
        <v>8</v>
      </c>
      <c r="J2153">
        <v>3</v>
      </c>
      <c r="K2153">
        <v>1</v>
      </c>
      <c r="L2153">
        <v>1</v>
      </c>
      <c r="M2153">
        <v>30</v>
      </c>
      <c r="N2153">
        <v>103.88</v>
      </c>
      <c r="O2153">
        <v>0</v>
      </c>
      <c r="P21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53" t="str">
        <f>IF(Table1[[#This Row],[Fraud_Score]]&gt;=6, "High Risk",IF(Table1[[#This Row],[Fraud_Score]]&gt;=3, "Medium Risk", "Low Risk"))</f>
        <v>Low Risk</v>
      </c>
      <c r="R2153">
        <f>IF(Table1[[#This Row],[Seconds of Use]]=0,0,Table1[[#This Row],[Customer Value]]/Table1[[#This Row],[Seconds of Use]]*100)</f>
        <v>15.209370424597363</v>
      </c>
    </row>
    <row r="2154" spans="1:18" x14ac:dyDescent="0.35">
      <c r="A2154" s="3" t="s">
        <v>2175</v>
      </c>
      <c r="B2154">
        <v>18</v>
      </c>
      <c r="C2154">
        <v>0</v>
      </c>
      <c r="D2154">
        <v>41</v>
      </c>
      <c r="E2154">
        <v>2</v>
      </c>
      <c r="F2154">
        <v>2818</v>
      </c>
      <c r="G2154">
        <v>69</v>
      </c>
      <c r="H2154">
        <v>371</v>
      </c>
      <c r="I2154">
        <v>28</v>
      </c>
      <c r="J2154">
        <v>3</v>
      </c>
      <c r="K2154">
        <v>1</v>
      </c>
      <c r="L2154">
        <v>1</v>
      </c>
      <c r="M2154">
        <v>30</v>
      </c>
      <c r="N2154">
        <v>1599.48</v>
      </c>
      <c r="O2154">
        <v>0</v>
      </c>
      <c r="P21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4" t="str">
        <f>IF(Table1[[#This Row],[Fraud_Score]]&gt;=6, "High Risk",IF(Table1[[#This Row],[Fraud_Score]]&gt;=3, "Medium Risk", "Low Risk"))</f>
        <v>Low Risk</v>
      </c>
      <c r="R2154">
        <f>IF(Table1[[#This Row],[Seconds of Use]]=0,0,Table1[[#This Row],[Customer Value]]/Table1[[#This Row],[Seconds of Use]]*100)</f>
        <v>56.759403832505328</v>
      </c>
    </row>
    <row r="2155" spans="1:18" x14ac:dyDescent="0.35">
      <c r="A2155" s="3" t="s">
        <v>2176</v>
      </c>
      <c r="B2155">
        <v>18</v>
      </c>
      <c r="C2155">
        <v>0</v>
      </c>
      <c r="D2155">
        <v>42</v>
      </c>
      <c r="E2155">
        <v>2</v>
      </c>
      <c r="F2155">
        <v>4563</v>
      </c>
      <c r="G2155">
        <v>75</v>
      </c>
      <c r="H2155">
        <v>13</v>
      </c>
      <c r="I2155">
        <v>39</v>
      </c>
      <c r="J2155">
        <v>1</v>
      </c>
      <c r="K2155">
        <v>1</v>
      </c>
      <c r="L2155">
        <v>1</v>
      </c>
      <c r="M2155">
        <v>15</v>
      </c>
      <c r="N2155">
        <v>326.58999999999997</v>
      </c>
      <c r="O2155">
        <v>0</v>
      </c>
      <c r="P21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5" t="str">
        <f>IF(Table1[[#This Row],[Fraud_Score]]&gt;=6, "High Risk",IF(Table1[[#This Row],[Fraud_Score]]&gt;=3, "Medium Risk", "Low Risk"))</f>
        <v>Low Risk</v>
      </c>
      <c r="R2155">
        <f>IF(Table1[[#This Row],[Seconds of Use]]=0,0,Table1[[#This Row],[Customer Value]]/Table1[[#This Row],[Seconds of Use]]*100)</f>
        <v>7.1573526188910801</v>
      </c>
    </row>
    <row r="2156" spans="1:18" x14ac:dyDescent="0.35">
      <c r="A2156" s="3" t="s">
        <v>2177</v>
      </c>
      <c r="B2156">
        <v>11</v>
      </c>
      <c r="C2156">
        <v>0</v>
      </c>
      <c r="D2156">
        <v>42</v>
      </c>
      <c r="E2156">
        <v>2</v>
      </c>
      <c r="F2156">
        <v>2758</v>
      </c>
      <c r="G2156">
        <v>67</v>
      </c>
      <c r="H2156">
        <v>14</v>
      </c>
      <c r="I2156">
        <v>37</v>
      </c>
      <c r="J2156">
        <v>2</v>
      </c>
      <c r="K2156">
        <v>1</v>
      </c>
      <c r="L2156">
        <v>1</v>
      </c>
      <c r="M2156">
        <v>25</v>
      </c>
      <c r="N2156">
        <v>190.125</v>
      </c>
      <c r="O2156">
        <v>0</v>
      </c>
      <c r="P21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6" t="str">
        <f>IF(Table1[[#This Row],[Fraud_Score]]&gt;=6, "High Risk",IF(Table1[[#This Row],[Fraud_Score]]&gt;=3, "Medium Risk", "Low Risk"))</f>
        <v>Low Risk</v>
      </c>
      <c r="R2156">
        <f>IF(Table1[[#This Row],[Seconds of Use]]=0,0,Table1[[#This Row],[Customer Value]]/Table1[[#This Row],[Seconds of Use]]*100)</f>
        <v>6.8935823060188541</v>
      </c>
    </row>
    <row r="2157" spans="1:18" x14ac:dyDescent="0.35">
      <c r="A2157" s="3" t="s">
        <v>2178</v>
      </c>
      <c r="B2157">
        <v>19</v>
      </c>
      <c r="C2157">
        <v>0</v>
      </c>
      <c r="D2157">
        <v>42</v>
      </c>
      <c r="E2157">
        <v>3</v>
      </c>
      <c r="F2157">
        <v>4140</v>
      </c>
      <c r="G2157">
        <v>91</v>
      </c>
      <c r="H2157">
        <v>44</v>
      </c>
      <c r="I2157">
        <v>32</v>
      </c>
      <c r="J2157">
        <v>3</v>
      </c>
      <c r="K2157">
        <v>1</v>
      </c>
      <c r="L2157">
        <v>1</v>
      </c>
      <c r="M2157">
        <v>30</v>
      </c>
      <c r="N2157">
        <v>345.24</v>
      </c>
      <c r="O2157">
        <v>0</v>
      </c>
      <c r="P21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7" t="str">
        <f>IF(Table1[[#This Row],[Fraud_Score]]&gt;=6, "High Risk",IF(Table1[[#This Row],[Fraud_Score]]&gt;=3, "Medium Risk", "Low Risk"))</f>
        <v>Low Risk</v>
      </c>
      <c r="R2157">
        <f>IF(Table1[[#This Row],[Seconds of Use]]=0,0,Table1[[#This Row],[Customer Value]]/Table1[[#This Row],[Seconds of Use]]*100)</f>
        <v>8.339130434782609</v>
      </c>
    </row>
    <row r="2158" spans="1:18" x14ac:dyDescent="0.35">
      <c r="A2158" s="3" t="s">
        <v>2179</v>
      </c>
      <c r="B2158">
        <v>12</v>
      </c>
      <c r="C2158">
        <v>0</v>
      </c>
      <c r="D2158">
        <v>42</v>
      </c>
      <c r="E2158">
        <v>2</v>
      </c>
      <c r="F2158">
        <v>2725</v>
      </c>
      <c r="G2158">
        <v>48</v>
      </c>
      <c r="H2158">
        <v>297</v>
      </c>
      <c r="I2158">
        <v>22</v>
      </c>
      <c r="J2158">
        <v>4</v>
      </c>
      <c r="K2158">
        <v>1</v>
      </c>
      <c r="L2158">
        <v>1</v>
      </c>
      <c r="M2158">
        <v>45</v>
      </c>
      <c r="N2158">
        <v>811.82500000000005</v>
      </c>
      <c r="O2158">
        <v>0</v>
      </c>
      <c r="P21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8" t="str">
        <f>IF(Table1[[#This Row],[Fraud_Score]]&gt;=6, "High Risk",IF(Table1[[#This Row],[Fraud_Score]]&gt;=3, "Medium Risk", "Low Risk"))</f>
        <v>Low Risk</v>
      </c>
      <c r="R2158">
        <f>IF(Table1[[#This Row],[Seconds of Use]]=0,0,Table1[[#This Row],[Customer Value]]/Table1[[#This Row],[Seconds of Use]]*100)</f>
        <v>29.791743119266055</v>
      </c>
    </row>
    <row r="2159" spans="1:18" x14ac:dyDescent="0.35">
      <c r="A2159" s="3" t="s">
        <v>2180</v>
      </c>
      <c r="B2159">
        <v>21</v>
      </c>
      <c r="C2159">
        <v>0</v>
      </c>
      <c r="D2159">
        <v>41</v>
      </c>
      <c r="E2159">
        <v>4</v>
      </c>
      <c r="F2159">
        <v>9480</v>
      </c>
      <c r="G2159">
        <v>130</v>
      </c>
      <c r="H2159">
        <v>156</v>
      </c>
      <c r="I2159">
        <v>47</v>
      </c>
      <c r="J2159">
        <v>3</v>
      </c>
      <c r="K2159">
        <v>1</v>
      </c>
      <c r="L2159">
        <v>1</v>
      </c>
      <c r="M2159">
        <v>30</v>
      </c>
      <c r="N2159">
        <v>1008.4</v>
      </c>
      <c r="O2159">
        <v>0</v>
      </c>
      <c r="P21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59" t="str">
        <f>IF(Table1[[#This Row],[Fraud_Score]]&gt;=6, "High Risk",IF(Table1[[#This Row],[Fraud_Score]]&gt;=3, "Medium Risk", "Low Risk"))</f>
        <v>Low Risk</v>
      </c>
      <c r="R2159">
        <f>IF(Table1[[#This Row],[Seconds of Use]]=0,0,Table1[[#This Row],[Customer Value]]/Table1[[#This Row],[Seconds of Use]]*100)</f>
        <v>10.637130801687764</v>
      </c>
    </row>
    <row r="2160" spans="1:18" x14ac:dyDescent="0.35">
      <c r="A2160" s="3" t="s">
        <v>2181</v>
      </c>
      <c r="B2160">
        <v>15</v>
      </c>
      <c r="C2160">
        <v>0</v>
      </c>
      <c r="D2160">
        <v>42</v>
      </c>
      <c r="E2160">
        <v>2</v>
      </c>
      <c r="F2160">
        <v>14138</v>
      </c>
      <c r="G2160">
        <v>178</v>
      </c>
      <c r="H2160">
        <v>12</v>
      </c>
      <c r="I2160">
        <v>48</v>
      </c>
      <c r="J2160">
        <v>3</v>
      </c>
      <c r="K2160">
        <v>1</v>
      </c>
      <c r="L2160">
        <v>1</v>
      </c>
      <c r="M2160">
        <v>30</v>
      </c>
      <c r="N2160">
        <v>620.64</v>
      </c>
      <c r="O2160">
        <v>0</v>
      </c>
      <c r="P21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60" t="str">
        <f>IF(Table1[[#This Row],[Fraud_Score]]&gt;=6, "High Risk",IF(Table1[[#This Row],[Fraud_Score]]&gt;=3, "Medium Risk", "Low Risk"))</f>
        <v>Medium Risk</v>
      </c>
      <c r="R2160">
        <f>IF(Table1[[#This Row],[Seconds of Use]]=0,0,Table1[[#This Row],[Customer Value]]/Table1[[#This Row],[Seconds of Use]]*100)</f>
        <v>4.3898712689206389</v>
      </c>
    </row>
    <row r="2161" spans="1:18" x14ac:dyDescent="0.35">
      <c r="A2161" s="3" t="s">
        <v>2182</v>
      </c>
      <c r="B2161">
        <v>15</v>
      </c>
      <c r="C2161">
        <v>0</v>
      </c>
      <c r="D2161">
        <v>42</v>
      </c>
      <c r="E2161">
        <v>3</v>
      </c>
      <c r="F2161">
        <v>4880</v>
      </c>
      <c r="G2161">
        <v>92</v>
      </c>
      <c r="H2161">
        <v>14</v>
      </c>
      <c r="I2161">
        <v>29</v>
      </c>
      <c r="J2161">
        <v>4</v>
      </c>
      <c r="K2161">
        <v>1</v>
      </c>
      <c r="L2161">
        <v>1</v>
      </c>
      <c r="M2161">
        <v>45</v>
      </c>
      <c r="N2161">
        <v>159.30000000000001</v>
      </c>
      <c r="O2161">
        <v>0</v>
      </c>
      <c r="P21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61" t="str">
        <f>IF(Table1[[#This Row],[Fraud_Score]]&gt;=6, "High Risk",IF(Table1[[#This Row],[Fraud_Score]]&gt;=3, "Medium Risk", "Low Risk"))</f>
        <v>Low Risk</v>
      </c>
      <c r="R2161">
        <f>IF(Table1[[#This Row],[Seconds of Use]]=0,0,Table1[[#This Row],[Customer Value]]/Table1[[#This Row],[Seconds of Use]]*100)</f>
        <v>3.2643442622950825</v>
      </c>
    </row>
    <row r="2162" spans="1:18" x14ac:dyDescent="0.35">
      <c r="A2162" s="3" t="s">
        <v>2183</v>
      </c>
      <c r="B2162">
        <v>14</v>
      </c>
      <c r="C2162">
        <v>0</v>
      </c>
      <c r="D2162">
        <v>42</v>
      </c>
      <c r="E2162">
        <v>2</v>
      </c>
      <c r="F2162">
        <v>6283</v>
      </c>
      <c r="G2162">
        <v>104</v>
      </c>
      <c r="H2162">
        <v>19</v>
      </c>
      <c r="I2162">
        <v>16</v>
      </c>
      <c r="J2162">
        <v>3</v>
      </c>
      <c r="K2162">
        <v>1</v>
      </c>
      <c r="L2162">
        <v>1</v>
      </c>
      <c r="M2162">
        <v>30</v>
      </c>
      <c r="N2162">
        <v>331.48</v>
      </c>
      <c r="O2162">
        <v>0</v>
      </c>
      <c r="P21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62" t="str">
        <f>IF(Table1[[#This Row],[Fraud_Score]]&gt;=6, "High Risk",IF(Table1[[#This Row],[Fraud_Score]]&gt;=3, "Medium Risk", "Low Risk"))</f>
        <v>Low Risk</v>
      </c>
      <c r="R2162">
        <f>IF(Table1[[#This Row],[Seconds of Use]]=0,0,Table1[[#This Row],[Customer Value]]/Table1[[#This Row],[Seconds of Use]]*100)</f>
        <v>5.2758236511220762</v>
      </c>
    </row>
    <row r="2163" spans="1:18" x14ac:dyDescent="0.35">
      <c r="A2163" s="3" t="s">
        <v>2184</v>
      </c>
      <c r="B2163">
        <v>17</v>
      </c>
      <c r="C2163">
        <v>0</v>
      </c>
      <c r="D2163">
        <v>42</v>
      </c>
      <c r="E2163">
        <v>2</v>
      </c>
      <c r="F2163">
        <v>2603</v>
      </c>
      <c r="G2163">
        <v>63</v>
      </c>
      <c r="H2163">
        <v>20</v>
      </c>
      <c r="I2163">
        <v>21</v>
      </c>
      <c r="J2163">
        <v>4</v>
      </c>
      <c r="K2163">
        <v>1</v>
      </c>
      <c r="L2163">
        <v>1</v>
      </c>
      <c r="M2163">
        <v>45</v>
      </c>
      <c r="N2163">
        <v>116.65</v>
      </c>
      <c r="O2163">
        <v>0</v>
      </c>
      <c r="P21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63" t="str">
        <f>IF(Table1[[#This Row],[Fraud_Score]]&gt;=6, "High Risk",IF(Table1[[#This Row],[Fraud_Score]]&gt;=3, "Medium Risk", "Low Risk"))</f>
        <v>Low Risk</v>
      </c>
      <c r="R2163">
        <f>IF(Table1[[#This Row],[Seconds of Use]]=0,0,Table1[[#This Row],[Customer Value]]/Table1[[#This Row],[Seconds of Use]]*100)</f>
        <v>4.4813676527084141</v>
      </c>
    </row>
    <row r="2164" spans="1:18" x14ac:dyDescent="0.35">
      <c r="A2164" s="3" t="s">
        <v>2185</v>
      </c>
      <c r="B2164">
        <v>33</v>
      </c>
      <c r="C2164">
        <v>0</v>
      </c>
      <c r="D2164">
        <v>42</v>
      </c>
      <c r="E2164">
        <v>5</v>
      </c>
      <c r="F2164">
        <v>15505</v>
      </c>
      <c r="G2164">
        <v>234</v>
      </c>
      <c r="H2164">
        <v>66</v>
      </c>
      <c r="I2164">
        <v>36</v>
      </c>
      <c r="J2164">
        <v>3</v>
      </c>
      <c r="K2164">
        <v>2</v>
      </c>
      <c r="L2164">
        <v>1</v>
      </c>
      <c r="M2164">
        <v>30</v>
      </c>
      <c r="N2164">
        <v>893.56</v>
      </c>
      <c r="O2164">
        <v>0</v>
      </c>
      <c r="P21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64" t="str">
        <f>IF(Table1[[#This Row],[Fraud_Score]]&gt;=6, "High Risk",IF(Table1[[#This Row],[Fraud_Score]]&gt;=3, "Medium Risk", "Low Risk"))</f>
        <v>Medium Risk</v>
      </c>
      <c r="R2164">
        <f>IF(Table1[[#This Row],[Seconds of Use]]=0,0,Table1[[#This Row],[Customer Value]]/Table1[[#This Row],[Seconds of Use]]*100)</f>
        <v>5.7630441792970011</v>
      </c>
    </row>
    <row r="2165" spans="1:18" x14ac:dyDescent="0.35">
      <c r="A2165" s="3" t="s">
        <v>2186</v>
      </c>
      <c r="B2165">
        <v>12</v>
      </c>
      <c r="C2165">
        <v>0</v>
      </c>
      <c r="D2165">
        <v>42</v>
      </c>
      <c r="E2165">
        <v>3</v>
      </c>
      <c r="F2165">
        <v>3460</v>
      </c>
      <c r="G2165">
        <v>36</v>
      </c>
      <c r="H2165">
        <v>495</v>
      </c>
      <c r="I2165">
        <v>12</v>
      </c>
      <c r="J2165">
        <v>4</v>
      </c>
      <c r="K2165">
        <v>1</v>
      </c>
      <c r="L2165">
        <v>1</v>
      </c>
      <c r="M2165">
        <v>45</v>
      </c>
      <c r="N2165">
        <v>1324.9</v>
      </c>
      <c r="O2165">
        <v>0</v>
      </c>
      <c r="P21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65" t="str">
        <f>IF(Table1[[#This Row],[Fraud_Score]]&gt;=6, "High Risk",IF(Table1[[#This Row],[Fraud_Score]]&gt;=3, "Medium Risk", "Low Risk"))</f>
        <v>Low Risk</v>
      </c>
      <c r="R2165">
        <f>IF(Table1[[#This Row],[Seconds of Use]]=0,0,Table1[[#This Row],[Customer Value]]/Table1[[#This Row],[Seconds of Use]]*100)</f>
        <v>38.29190751445087</v>
      </c>
    </row>
    <row r="2166" spans="1:18" x14ac:dyDescent="0.35">
      <c r="A2166" s="3" t="s">
        <v>2187</v>
      </c>
      <c r="B2166">
        <v>17</v>
      </c>
      <c r="C2166">
        <v>0</v>
      </c>
      <c r="D2166">
        <v>41</v>
      </c>
      <c r="E2166">
        <v>2</v>
      </c>
      <c r="F2166">
        <v>15850</v>
      </c>
      <c r="G2166">
        <v>191</v>
      </c>
      <c r="H2166">
        <v>162</v>
      </c>
      <c r="I2166">
        <v>34</v>
      </c>
      <c r="J2166">
        <v>2</v>
      </c>
      <c r="K2166">
        <v>1</v>
      </c>
      <c r="L2166">
        <v>1</v>
      </c>
      <c r="M2166">
        <v>25</v>
      </c>
      <c r="N2166">
        <v>1450.845</v>
      </c>
      <c r="O2166">
        <v>0</v>
      </c>
      <c r="P21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66" t="str">
        <f>IF(Table1[[#This Row],[Fraud_Score]]&gt;=6, "High Risk",IF(Table1[[#This Row],[Fraud_Score]]&gt;=3, "Medium Risk", "Low Risk"))</f>
        <v>Medium Risk</v>
      </c>
      <c r="R2166">
        <f>IF(Table1[[#This Row],[Seconds of Use]]=0,0,Table1[[#This Row],[Customer Value]]/Table1[[#This Row],[Seconds of Use]]*100)</f>
        <v>9.1535962145110403</v>
      </c>
    </row>
    <row r="2167" spans="1:18" x14ac:dyDescent="0.35">
      <c r="A2167" s="3" t="s">
        <v>2188</v>
      </c>
      <c r="B2167">
        <v>11</v>
      </c>
      <c r="C2167">
        <v>0</v>
      </c>
      <c r="D2167">
        <v>41</v>
      </c>
      <c r="E2167">
        <v>3</v>
      </c>
      <c r="F2167">
        <v>6865</v>
      </c>
      <c r="G2167">
        <v>95</v>
      </c>
      <c r="H2167">
        <v>198</v>
      </c>
      <c r="I2167">
        <v>30</v>
      </c>
      <c r="J2167">
        <v>3</v>
      </c>
      <c r="K2167">
        <v>1</v>
      </c>
      <c r="L2167">
        <v>1</v>
      </c>
      <c r="M2167">
        <v>30</v>
      </c>
      <c r="N2167">
        <v>1070.4000000000001</v>
      </c>
      <c r="O2167">
        <v>0</v>
      </c>
      <c r="P21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67" t="str">
        <f>IF(Table1[[#This Row],[Fraud_Score]]&gt;=6, "High Risk",IF(Table1[[#This Row],[Fraud_Score]]&gt;=3, "Medium Risk", "Low Risk"))</f>
        <v>Low Risk</v>
      </c>
      <c r="R2167">
        <f>IF(Table1[[#This Row],[Seconds of Use]]=0,0,Table1[[#This Row],[Customer Value]]/Table1[[#This Row],[Seconds of Use]]*100)</f>
        <v>15.592134013109979</v>
      </c>
    </row>
    <row r="2168" spans="1:18" x14ac:dyDescent="0.35">
      <c r="A2168" s="3" t="s">
        <v>2189</v>
      </c>
      <c r="B2168">
        <v>8</v>
      </c>
      <c r="C2168">
        <v>0</v>
      </c>
      <c r="D2168">
        <v>41</v>
      </c>
      <c r="E2168">
        <v>2</v>
      </c>
      <c r="F2168">
        <v>1240</v>
      </c>
      <c r="G2168">
        <v>23</v>
      </c>
      <c r="H2168">
        <v>12</v>
      </c>
      <c r="I2168">
        <v>15</v>
      </c>
      <c r="J2168">
        <v>2</v>
      </c>
      <c r="K2168">
        <v>1</v>
      </c>
      <c r="L2168">
        <v>1</v>
      </c>
      <c r="M2168">
        <v>25</v>
      </c>
      <c r="N2168">
        <v>110.83499999999999</v>
      </c>
      <c r="O2168">
        <v>0</v>
      </c>
      <c r="P21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68" t="str">
        <f>IF(Table1[[#This Row],[Fraud_Score]]&gt;=6, "High Risk",IF(Table1[[#This Row],[Fraud_Score]]&gt;=3, "Medium Risk", "Low Risk"))</f>
        <v>Low Risk</v>
      </c>
      <c r="R2168">
        <f>IF(Table1[[#This Row],[Seconds of Use]]=0,0,Table1[[#This Row],[Customer Value]]/Table1[[#This Row],[Seconds of Use]]*100)</f>
        <v>8.9383064516129025</v>
      </c>
    </row>
    <row r="2169" spans="1:18" x14ac:dyDescent="0.35">
      <c r="A2169" s="3" t="s">
        <v>2190</v>
      </c>
      <c r="B2169">
        <v>10</v>
      </c>
      <c r="C2169">
        <v>0</v>
      </c>
      <c r="D2169">
        <v>42</v>
      </c>
      <c r="E2169">
        <v>2</v>
      </c>
      <c r="F2169">
        <v>1075</v>
      </c>
      <c r="G2169">
        <v>23</v>
      </c>
      <c r="H2169">
        <v>25</v>
      </c>
      <c r="I2169">
        <v>12</v>
      </c>
      <c r="J2169">
        <v>3</v>
      </c>
      <c r="K2169">
        <v>1</v>
      </c>
      <c r="L2169">
        <v>1</v>
      </c>
      <c r="M2169">
        <v>30</v>
      </c>
      <c r="N2169">
        <v>143.91999999999999</v>
      </c>
      <c r="O2169">
        <v>0</v>
      </c>
      <c r="P21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69" t="str">
        <f>IF(Table1[[#This Row],[Fraud_Score]]&gt;=6, "High Risk",IF(Table1[[#This Row],[Fraud_Score]]&gt;=3, "Medium Risk", "Low Risk"))</f>
        <v>Low Risk</v>
      </c>
      <c r="R2169">
        <f>IF(Table1[[#This Row],[Seconds of Use]]=0,0,Table1[[#This Row],[Customer Value]]/Table1[[#This Row],[Seconds of Use]]*100)</f>
        <v>13.387906976744185</v>
      </c>
    </row>
    <row r="2170" spans="1:18" x14ac:dyDescent="0.35">
      <c r="A2170" s="3" t="s">
        <v>2191</v>
      </c>
      <c r="B2170">
        <v>8</v>
      </c>
      <c r="C2170">
        <v>0</v>
      </c>
      <c r="D2170">
        <v>41</v>
      </c>
      <c r="E2170">
        <v>2</v>
      </c>
      <c r="F2170">
        <v>365</v>
      </c>
      <c r="G2170">
        <v>9</v>
      </c>
      <c r="H2170">
        <v>12</v>
      </c>
      <c r="I2170">
        <v>4</v>
      </c>
      <c r="J2170">
        <v>3</v>
      </c>
      <c r="K2170">
        <v>1</v>
      </c>
      <c r="L2170">
        <v>1</v>
      </c>
      <c r="M2170">
        <v>30</v>
      </c>
      <c r="N2170">
        <v>62.96</v>
      </c>
      <c r="O2170">
        <v>1</v>
      </c>
      <c r="P21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70" t="str">
        <f>IF(Table1[[#This Row],[Fraud_Score]]&gt;=6, "High Risk",IF(Table1[[#This Row],[Fraud_Score]]&gt;=3, "Medium Risk", "Low Risk"))</f>
        <v>Low Risk</v>
      </c>
      <c r="R2170">
        <f>IF(Table1[[#This Row],[Seconds of Use]]=0,0,Table1[[#This Row],[Customer Value]]/Table1[[#This Row],[Seconds of Use]]*100)</f>
        <v>17.24931506849315</v>
      </c>
    </row>
    <row r="2171" spans="1:18" x14ac:dyDescent="0.35">
      <c r="A2171" s="3" t="s">
        <v>2192</v>
      </c>
      <c r="B2171">
        <v>11</v>
      </c>
      <c r="C2171">
        <v>0</v>
      </c>
      <c r="D2171">
        <v>41</v>
      </c>
      <c r="E2171">
        <v>2</v>
      </c>
      <c r="F2171">
        <v>7873</v>
      </c>
      <c r="G2171">
        <v>136</v>
      </c>
      <c r="H2171">
        <v>396</v>
      </c>
      <c r="I2171">
        <v>47</v>
      </c>
      <c r="J2171">
        <v>3</v>
      </c>
      <c r="K2171">
        <v>1</v>
      </c>
      <c r="L2171">
        <v>1</v>
      </c>
      <c r="M2171">
        <v>30</v>
      </c>
      <c r="N2171">
        <v>1904.36</v>
      </c>
      <c r="O2171">
        <v>0</v>
      </c>
      <c r="P21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71" t="str">
        <f>IF(Table1[[#This Row],[Fraud_Score]]&gt;=6, "High Risk",IF(Table1[[#This Row],[Fraud_Score]]&gt;=3, "Medium Risk", "Low Risk"))</f>
        <v>Low Risk</v>
      </c>
      <c r="R2171">
        <f>IF(Table1[[#This Row],[Seconds of Use]]=0,0,Table1[[#This Row],[Customer Value]]/Table1[[#This Row],[Seconds of Use]]*100)</f>
        <v>24.1884923155087</v>
      </c>
    </row>
    <row r="2172" spans="1:18" x14ac:dyDescent="0.35">
      <c r="A2172" s="3" t="s">
        <v>2193</v>
      </c>
      <c r="B2172">
        <v>15</v>
      </c>
      <c r="C2172">
        <v>0</v>
      </c>
      <c r="D2172">
        <v>41</v>
      </c>
      <c r="E2172">
        <v>3</v>
      </c>
      <c r="F2172">
        <v>11830</v>
      </c>
      <c r="G2172">
        <v>163</v>
      </c>
      <c r="H2172">
        <v>23</v>
      </c>
      <c r="I2172">
        <v>51</v>
      </c>
      <c r="J2172">
        <v>4</v>
      </c>
      <c r="K2172">
        <v>1</v>
      </c>
      <c r="L2172">
        <v>1</v>
      </c>
      <c r="M2172">
        <v>45</v>
      </c>
      <c r="N2172">
        <v>357.32499999999999</v>
      </c>
      <c r="O2172">
        <v>0</v>
      </c>
      <c r="P21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72" t="str">
        <f>IF(Table1[[#This Row],[Fraud_Score]]&gt;=6, "High Risk",IF(Table1[[#This Row],[Fraud_Score]]&gt;=3, "Medium Risk", "Low Risk"))</f>
        <v>Medium Risk</v>
      </c>
      <c r="R2172">
        <f>IF(Table1[[#This Row],[Seconds of Use]]=0,0,Table1[[#This Row],[Customer Value]]/Table1[[#This Row],[Seconds of Use]]*100)</f>
        <v>3.0204987320371934</v>
      </c>
    </row>
    <row r="2173" spans="1:18" x14ac:dyDescent="0.35">
      <c r="A2173" s="3" t="s">
        <v>2194</v>
      </c>
      <c r="B2173">
        <v>16</v>
      </c>
      <c r="C2173">
        <v>0</v>
      </c>
      <c r="D2173">
        <v>41</v>
      </c>
      <c r="E2173">
        <v>3</v>
      </c>
      <c r="F2173">
        <v>7083</v>
      </c>
      <c r="G2173">
        <v>84</v>
      </c>
      <c r="H2173">
        <v>120</v>
      </c>
      <c r="I2173">
        <v>41</v>
      </c>
      <c r="J2173">
        <v>2</v>
      </c>
      <c r="K2173">
        <v>1</v>
      </c>
      <c r="L2173">
        <v>1</v>
      </c>
      <c r="M2173">
        <v>25</v>
      </c>
      <c r="N2173">
        <v>862.51499999999999</v>
      </c>
      <c r="O2173">
        <v>0</v>
      </c>
      <c r="P21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73" t="str">
        <f>IF(Table1[[#This Row],[Fraud_Score]]&gt;=6, "High Risk",IF(Table1[[#This Row],[Fraud_Score]]&gt;=3, "Medium Risk", "Low Risk"))</f>
        <v>Low Risk</v>
      </c>
      <c r="R2173">
        <f>IF(Table1[[#This Row],[Seconds of Use]]=0,0,Table1[[#This Row],[Customer Value]]/Table1[[#This Row],[Seconds of Use]]*100)</f>
        <v>12.177255400254129</v>
      </c>
    </row>
    <row r="2174" spans="1:18" x14ac:dyDescent="0.35">
      <c r="A2174" s="3" t="s">
        <v>2195</v>
      </c>
      <c r="B2174">
        <v>31</v>
      </c>
      <c r="C2174">
        <v>1</v>
      </c>
      <c r="D2174">
        <v>37</v>
      </c>
      <c r="E2174">
        <v>2</v>
      </c>
      <c r="F2174">
        <v>1320</v>
      </c>
      <c r="G2174">
        <v>56</v>
      </c>
      <c r="H2174">
        <v>28</v>
      </c>
      <c r="I2174">
        <v>21</v>
      </c>
      <c r="J2174">
        <v>3</v>
      </c>
      <c r="K2174">
        <v>1</v>
      </c>
      <c r="L2174">
        <v>1</v>
      </c>
      <c r="M2174">
        <v>30</v>
      </c>
      <c r="N2174">
        <v>167.04</v>
      </c>
      <c r="O2174">
        <v>1</v>
      </c>
      <c r="P21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74" t="str">
        <f>IF(Table1[[#This Row],[Fraud_Score]]&gt;=6, "High Risk",IF(Table1[[#This Row],[Fraud_Score]]&gt;=3, "Medium Risk", "Low Risk"))</f>
        <v>Medium Risk</v>
      </c>
      <c r="R2174">
        <f>IF(Table1[[#This Row],[Seconds of Use]]=0,0,Table1[[#This Row],[Customer Value]]/Table1[[#This Row],[Seconds of Use]]*100)</f>
        <v>12.654545454545454</v>
      </c>
    </row>
    <row r="2175" spans="1:18" x14ac:dyDescent="0.35">
      <c r="A2175" s="3" t="s">
        <v>2196</v>
      </c>
      <c r="B2175">
        <v>29</v>
      </c>
      <c r="C2175">
        <v>1</v>
      </c>
      <c r="D2175">
        <v>40</v>
      </c>
      <c r="E2175">
        <v>10</v>
      </c>
      <c r="F2175">
        <v>10800</v>
      </c>
      <c r="G2175">
        <v>102</v>
      </c>
      <c r="H2175">
        <v>13</v>
      </c>
      <c r="I2175">
        <v>46</v>
      </c>
      <c r="J2175">
        <v>5</v>
      </c>
      <c r="K2175">
        <v>2</v>
      </c>
      <c r="L2175">
        <v>1</v>
      </c>
      <c r="M2175">
        <v>55</v>
      </c>
      <c r="N2175">
        <v>183.03</v>
      </c>
      <c r="O2175">
        <v>0</v>
      </c>
      <c r="P21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75" t="str">
        <f>IF(Table1[[#This Row],[Fraud_Score]]&gt;=6, "High Risk",IF(Table1[[#This Row],[Fraud_Score]]&gt;=3, "Medium Risk", "Low Risk"))</f>
        <v>Medium Risk</v>
      </c>
      <c r="R2175">
        <f>IF(Table1[[#This Row],[Seconds of Use]]=0,0,Table1[[#This Row],[Customer Value]]/Table1[[#This Row],[Seconds of Use]]*100)</f>
        <v>1.694722222222222</v>
      </c>
    </row>
    <row r="2176" spans="1:18" x14ac:dyDescent="0.35">
      <c r="A2176" s="3" t="s">
        <v>2197</v>
      </c>
      <c r="B2176">
        <v>21</v>
      </c>
      <c r="C2176">
        <v>0</v>
      </c>
      <c r="D2176">
        <v>40</v>
      </c>
      <c r="E2176">
        <v>3</v>
      </c>
      <c r="F2176">
        <v>6183</v>
      </c>
      <c r="G2176">
        <v>107</v>
      </c>
      <c r="H2176">
        <v>38</v>
      </c>
      <c r="I2176">
        <v>28</v>
      </c>
      <c r="J2176">
        <v>3</v>
      </c>
      <c r="K2176">
        <v>1</v>
      </c>
      <c r="L2176">
        <v>1</v>
      </c>
      <c r="M2176">
        <v>30</v>
      </c>
      <c r="N2176">
        <v>403.6</v>
      </c>
      <c r="O2176">
        <v>0</v>
      </c>
      <c r="P21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76" t="str">
        <f>IF(Table1[[#This Row],[Fraud_Score]]&gt;=6, "High Risk",IF(Table1[[#This Row],[Fraud_Score]]&gt;=3, "Medium Risk", "Low Risk"))</f>
        <v>Low Risk</v>
      </c>
      <c r="R2176">
        <f>IF(Table1[[#This Row],[Seconds of Use]]=0,0,Table1[[#This Row],[Customer Value]]/Table1[[#This Row],[Seconds of Use]]*100)</f>
        <v>6.5275756105450427</v>
      </c>
    </row>
    <row r="2177" spans="1:18" x14ac:dyDescent="0.35">
      <c r="A2177" s="3" t="s">
        <v>2198</v>
      </c>
      <c r="B2177">
        <v>9</v>
      </c>
      <c r="C2177">
        <v>0</v>
      </c>
      <c r="D2177">
        <v>38</v>
      </c>
      <c r="E2177">
        <v>2</v>
      </c>
      <c r="F2177">
        <v>3205</v>
      </c>
      <c r="G2177">
        <v>31</v>
      </c>
      <c r="H2177">
        <v>12</v>
      </c>
      <c r="I2177">
        <v>18</v>
      </c>
      <c r="J2177">
        <v>3</v>
      </c>
      <c r="K2177">
        <v>1</v>
      </c>
      <c r="L2177">
        <v>1</v>
      </c>
      <c r="M2177">
        <v>30</v>
      </c>
      <c r="N2177">
        <v>177.44</v>
      </c>
      <c r="O2177">
        <v>0</v>
      </c>
      <c r="P21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77" t="str">
        <f>IF(Table1[[#This Row],[Fraud_Score]]&gt;=6, "High Risk",IF(Table1[[#This Row],[Fraud_Score]]&gt;=3, "Medium Risk", "Low Risk"))</f>
        <v>Low Risk</v>
      </c>
      <c r="R2177">
        <f>IF(Table1[[#This Row],[Seconds of Use]]=0,0,Table1[[#This Row],[Customer Value]]/Table1[[#This Row],[Seconds of Use]]*100)</f>
        <v>5.5363494539781595</v>
      </c>
    </row>
    <row r="2178" spans="1:18" x14ac:dyDescent="0.35">
      <c r="A2178" s="3" t="s">
        <v>2199</v>
      </c>
      <c r="B2178">
        <v>17</v>
      </c>
      <c r="C2178">
        <v>1</v>
      </c>
      <c r="D2178">
        <v>39</v>
      </c>
      <c r="E2178">
        <v>2</v>
      </c>
      <c r="F2178">
        <v>3355</v>
      </c>
      <c r="G2178">
        <v>50</v>
      </c>
      <c r="H2178">
        <v>21</v>
      </c>
      <c r="I2178">
        <v>20</v>
      </c>
      <c r="J2178">
        <v>3</v>
      </c>
      <c r="K2178">
        <v>1</v>
      </c>
      <c r="L2178">
        <v>1</v>
      </c>
      <c r="M2178">
        <v>30</v>
      </c>
      <c r="N2178">
        <v>220.2</v>
      </c>
      <c r="O2178">
        <v>1</v>
      </c>
      <c r="P21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78" t="str">
        <f>IF(Table1[[#This Row],[Fraud_Score]]&gt;=6, "High Risk",IF(Table1[[#This Row],[Fraud_Score]]&gt;=3, "Medium Risk", "Low Risk"))</f>
        <v>Medium Risk</v>
      </c>
      <c r="R2178">
        <f>IF(Table1[[#This Row],[Seconds of Use]]=0,0,Table1[[#This Row],[Customer Value]]/Table1[[#This Row],[Seconds of Use]]*100)</f>
        <v>6.5633383010432187</v>
      </c>
    </row>
    <row r="2179" spans="1:18" x14ac:dyDescent="0.35">
      <c r="A2179" s="3" t="s">
        <v>2200</v>
      </c>
      <c r="B2179">
        <v>17</v>
      </c>
      <c r="C2179">
        <v>0</v>
      </c>
      <c r="D2179">
        <v>40</v>
      </c>
      <c r="E2179">
        <v>2</v>
      </c>
      <c r="F2179">
        <v>2633</v>
      </c>
      <c r="G2179">
        <v>53</v>
      </c>
      <c r="H2179">
        <v>46</v>
      </c>
      <c r="I2179">
        <v>35</v>
      </c>
      <c r="J2179">
        <v>4</v>
      </c>
      <c r="K2179">
        <v>1</v>
      </c>
      <c r="L2179">
        <v>1</v>
      </c>
      <c r="M2179">
        <v>45</v>
      </c>
      <c r="N2179">
        <v>182.15</v>
      </c>
      <c r="O2179">
        <v>1</v>
      </c>
      <c r="P21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79" t="str">
        <f>IF(Table1[[#This Row],[Fraud_Score]]&gt;=6, "High Risk",IF(Table1[[#This Row],[Fraud_Score]]&gt;=3, "Medium Risk", "Low Risk"))</f>
        <v>Low Risk</v>
      </c>
      <c r="R2179">
        <f>IF(Table1[[#This Row],[Seconds of Use]]=0,0,Table1[[#This Row],[Customer Value]]/Table1[[#This Row],[Seconds of Use]]*100)</f>
        <v>6.9179642992783901</v>
      </c>
    </row>
    <row r="2180" spans="1:18" x14ac:dyDescent="0.35">
      <c r="A2180" s="3" t="s">
        <v>2201</v>
      </c>
      <c r="B2180">
        <v>8</v>
      </c>
      <c r="C2180">
        <v>0</v>
      </c>
      <c r="D2180">
        <v>40</v>
      </c>
      <c r="E2180">
        <v>2</v>
      </c>
      <c r="F2180">
        <v>498</v>
      </c>
      <c r="G2180">
        <v>11</v>
      </c>
      <c r="H2180">
        <v>12</v>
      </c>
      <c r="I2180">
        <v>6</v>
      </c>
      <c r="J2180">
        <v>3</v>
      </c>
      <c r="K2180">
        <v>1</v>
      </c>
      <c r="L2180">
        <v>1</v>
      </c>
      <c r="M2180">
        <v>30</v>
      </c>
      <c r="N2180">
        <v>68.36</v>
      </c>
      <c r="O2180">
        <v>1</v>
      </c>
      <c r="P21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80" t="str">
        <f>IF(Table1[[#This Row],[Fraud_Score]]&gt;=6, "High Risk",IF(Table1[[#This Row],[Fraud_Score]]&gt;=3, "Medium Risk", "Low Risk"))</f>
        <v>Low Risk</v>
      </c>
      <c r="R2180">
        <f>IF(Table1[[#This Row],[Seconds of Use]]=0,0,Table1[[#This Row],[Customer Value]]/Table1[[#This Row],[Seconds of Use]]*100)</f>
        <v>13.726907630522089</v>
      </c>
    </row>
    <row r="2181" spans="1:18" x14ac:dyDescent="0.35">
      <c r="A2181" s="3" t="s">
        <v>2202</v>
      </c>
      <c r="B2181">
        <v>9</v>
      </c>
      <c r="C2181">
        <v>0</v>
      </c>
      <c r="D2181">
        <v>40</v>
      </c>
      <c r="E2181">
        <v>2</v>
      </c>
      <c r="F2181">
        <v>2033</v>
      </c>
      <c r="G2181">
        <v>34</v>
      </c>
      <c r="H2181">
        <v>12</v>
      </c>
      <c r="I2181">
        <v>10</v>
      </c>
      <c r="J2181">
        <v>4</v>
      </c>
      <c r="K2181">
        <v>1</v>
      </c>
      <c r="L2181">
        <v>1</v>
      </c>
      <c r="M2181">
        <v>45</v>
      </c>
      <c r="N2181">
        <v>81.674999999999997</v>
      </c>
      <c r="O2181">
        <v>0</v>
      </c>
      <c r="P21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81" t="str">
        <f>IF(Table1[[#This Row],[Fraud_Score]]&gt;=6, "High Risk",IF(Table1[[#This Row],[Fraud_Score]]&gt;=3, "Medium Risk", "Low Risk"))</f>
        <v>Low Risk</v>
      </c>
      <c r="R2181">
        <f>IF(Table1[[#This Row],[Seconds of Use]]=0,0,Table1[[#This Row],[Customer Value]]/Table1[[#This Row],[Seconds of Use]]*100)</f>
        <v>4.0174618789965564</v>
      </c>
    </row>
    <row r="2182" spans="1:18" x14ac:dyDescent="0.35">
      <c r="A2182" s="3" t="s">
        <v>2203</v>
      </c>
      <c r="B2182">
        <v>11</v>
      </c>
      <c r="C2182">
        <v>0</v>
      </c>
      <c r="D2182">
        <v>37</v>
      </c>
      <c r="E2182">
        <v>3</v>
      </c>
      <c r="F2182">
        <v>7150</v>
      </c>
      <c r="G2182">
        <v>106</v>
      </c>
      <c r="H2182">
        <v>26</v>
      </c>
      <c r="I2182">
        <v>26</v>
      </c>
      <c r="J2182">
        <v>5</v>
      </c>
      <c r="K2182">
        <v>1</v>
      </c>
      <c r="L2182">
        <v>1</v>
      </c>
      <c r="M2182">
        <v>55</v>
      </c>
      <c r="N2182">
        <v>147.84</v>
      </c>
      <c r="O2182">
        <v>0</v>
      </c>
      <c r="P21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82" t="str">
        <f>IF(Table1[[#This Row],[Fraud_Score]]&gt;=6, "High Risk",IF(Table1[[#This Row],[Fraud_Score]]&gt;=3, "Medium Risk", "Low Risk"))</f>
        <v>Low Risk</v>
      </c>
      <c r="R2182">
        <f>IF(Table1[[#This Row],[Seconds of Use]]=0,0,Table1[[#This Row],[Customer Value]]/Table1[[#This Row],[Seconds of Use]]*100)</f>
        <v>2.0676923076923077</v>
      </c>
    </row>
    <row r="2183" spans="1:18" x14ac:dyDescent="0.35">
      <c r="A2183" s="3" t="s">
        <v>2204</v>
      </c>
      <c r="B2183">
        <v>8</v>
      </c>
      <c r="C2183">
        <v>1</v>
      </c>
      <c r="D2183">
        <v>40</v>
      </c>
      <c r="E2183">
        <v>2</v>
      </c>
      <c r="F2183">
        <v>993</v>
      </c>
      <c r="G2183">
        <v>16</v>
      </c>
      <c r="H2183">
        <v>21</v>
      </c>
      <c r="I2183">
        <v>8</v>
      </c>
      <c r="J2183">
        <v>4</v>
      </c>
      <c r="K2183">
        <v>1</v>
      </c>
      <c r="L2183">
        <v>1</v>
      </c>
      <c r="M2183">
        <v>45</v>
      </c>
      <c r="N2183">
        <v>77.724999999999994</v>
      </c>
      <c r="O2183">
        <v>1</v>
      </c>
      <c r="P21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83" t="str">
        <f>IF(Table1[[#This Row],[Fraud_Score]]&gt;=6, "High Risk",IF(Table1[[#This Row],[Fraud_Score]]&gt;=3, "Medium Risk", "Low Risk"))</f>
        <v>Low Risk</v>
      </c>
      <c r="R2183">
        <f>IF(Table1[[#This Row],[Seconds of Use]]=0,0,Table1[[#This Row],[Customer Value]]/Table1[[#This Row],[Seconds of Use]]*100)</f>
        <v>7.8272910372608253</v>
      </c>
    </row>
    <row r="2184" spans="1:18" x14ac:dyDescent="0.35">
      <c r="A2184" s="3" t="s">
        <v>2205</v>
      </c>
      <c r="B2184">
        <v>8</v>
      </c>
      <c r="C2184">
        <v>0</v>
      </c>
      <c r="D2184">
        <v>40</v>
      </c>
      <c r="E2184">
        <v>3</v>
      </c>
      <c r="F2184">
        <v>703</v>
      </c>
      <c r="G2184">
        <v>13</v>
      </c>
      <c r="H2184">
        <v>16</v>
      </c>
      <c r="I2184">
        <v>6</v>
      </c>
      <c r="J2184">
        <v>5</v>
      </c>
      <c r="K2184">
        <v>1</v>
      </c>
      <c r="L2184">
        <v>1</v>
      </c>
      <c r="M2184">
        <v>55</v>
      </c>
      <c r="N2184">
        <v>34.74</v>
      </c>
      <c r="O2184">
        <v>0</v>
      </c>
      <c r="P21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84" t="str">
        <f>IF(Table1[[#This Row],[Fraud_Score]]&gt;=6, "High Risk",IF(Table1[[#This Row],[Fraud_Score]]&gt;=3, "Medium Risk", "Low Risk"))</f>
        <v>Low Risk</v>
      </c>
      <c r="R2184">
        <f>IF(Table1[[#This Row],[Seconds of Use]]=0,0,Table1[[#This Row],[Customer Value]]/Table1[[#This Row],[Seconds of Use]]*100)</f>
        <v>4.9416785206258895</v>
      </c>
    </row>
    <row r="2185" spans="1:18" x14ac:dyDescent="0.35">
      <c r="A2185" s="3" t="s">
        <v>2206</v>
      </c>
      <c r="B2185">
        <v>33</v>
      </c>
      <c r="C2185">
        <v>0</v>
      </c>
      <c r="D2185">
        <v>35</v>
      </c>
      <c r="E2185">
        <v>5</v>
      </c>
      <c r="F2185">
        <v>16440</v>
      </c>
      <c r="G2185">
        <v>247</v>
      </c>
      <c r="H2185">
        <v>12</v>
      </c>
      <c r="I2185">
        <v>84</v>
      </c>
      <c r="J2185">
        <v>2</v>
      </c>
      <c r="K2185">
        <v>2</v>
      </c>
      <c r="L2185">
        <v>1</v>
      </c>
      <c r="M2185">
        <v>25</v>
      </c>
      <c r="N2185">
        <v>804.91499999999996</v>
      </c>
      <c r="O2185">
        <v>0</v>
      </c>
      <c r="P21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185" t="str">
        <f>IF(Table1[[#This Row],[Fraud_Score]]&gt;=6, "High Risk",IF(Table1[[#This Row],[Fraud_Score]]&gt;=3, "Medium Risk", "Low Risk"))</f>
        <v>Medium Risk</v>
      </c>
      <c r="R2185">
        <f>IF(Table1[[#This Row],[Seconds of Use]]=0,0,Table1[[#This Row],[Customer Value]]/Table1[[#This Row],[Seconds of Use]]*100)</f>
        <v>4.8960766423357667</v>
      </c>
    </row>
    <row r="2186" spans="1:18" x14ac:dyDescent="0.35">
      <c r="A2186" s="3" t="s">
        <v>2207</v>
      </c>
      <c r="B2186">
        <v>14</v>
      </c>
      <c r="C2186">
        <v>0</v>
      </c>
      <c r="D2186">
        <v>38</v>
      </c>
      <c r="E2186">
        <v>5</v>
      </c>
      <c r="F2186">
        <v>7330</v>
      </c>
      <c r="G2186">
        <v>125</v>
      </c>
      <c r="H2186">
        <v>283</v>
      </c>
      <c r="I2186">
        <v>37</v>
      </c>
      <c r="J2186">
        <v>3</v>
      </c>
      <c r="K2186">
        <v>2</v>
      </c>
      <c r="L2186">
        <v>1</v>
      </c>
      <c r="M2186">
        <v>30</v>
      </c>
      <c r="N2186">
        <v>1430.2</v>
      </c>
      <c r="O2186">
        <v>0</v>
      </c>
      <c r="P21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86" t="str">
        <f>IF(Table1[[#This Row],[Fraud_Score]]&gt;=6, "High Risk",IF(Table1[[#This Row],[Fraud_Score]]&gt;=3, "Medium Risk", "Low Risk"))</f>
        <v>Low Risk</v>
      </c>
      <c r="R2186">
        <f>IF(Table1[[#This Row],[Seconds of Use]]=0,0,Table1[[#This Row],[Customer Value]]/Table1[[#This Row],[Seconds of Use]]*100)</f>
        <v>19.511596180081856</v>
      </c>
    </row>
    <row r="2187" spans="1:18" x14ac:dyDescent="0.35">
      <c r="A2187" s="3" t="s">
        <v>2208</v>
      </c>
      <c r="B2187">
        <v>10</v>
      </c>
      <c r="C2187">
        <v>0</v>
      </c>
      <c r="D2187">
        <v>40</v>
      </c>
      <c r="E2187">
        <v>2</v>
      </c>
      <c r="F2187">
        <v>4083</v>
      </c>
      <c r="G2187">
        <v>91</v>
      </c>
      <c r="H2187">
        <v>14</v>
      </c>
      <c r="I2187">
        <v>32</v>
      </c>
      <c r="J2187">
        <v>3</v>
      </c>
      <c r="K2187">
        <v>1</v>
      </c>
      <c r="L2187">
        <v>1</v>
      </c>
      <c r="M2187">
        <v>30</v>
      </c>
      <c r="N2187">
        <v>222.96</v>
      </c>
      <c r="O2187">
        <v>0</v>
      </c>
      <c r="P21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87" t="str">
        <f>IF(Table1[[#This Row],[Fraud_Score]]&gt;=6, "High Risk",IF(Table1[[#This Row],[Fraud_Score]]&gt;=3, "Medium Risk", "Low Risk"))</f>
        <v>Low Risk</v>
      </c>
      <c r="R2187">
        <f>IF(Table1[[#This Row],[Seconds of Use]]=0,0,Table1[[#This Row],[Customer Value]]/Table1[[#This Row],[Seconds of Use]]*100)</f>
        <v>5.460690668626011</v>
      </c>
    </row>
    <row r="2188" spans="1:18" x14ac:dyDescent="0.35">
      <c r="A2188" s="3" t="s">
        <v>2209</v>
      </c>
      <c r="B2188">
        <v>11</v>
      </c>
      <c r="C2188">
        <v>0</v>
      </c>
      <c r="D2188">
        <v>39</v>
      </c>
      <c r="E2188">
        <v>2</v>
      </c>
      <c r="F2188">
        <v>2030</v>
      </c>
      <c r="G2188">
        <v>53</v>
      </c>
      <c r="H2188">
        <v>50</v>
      </c>
      <c r="I2188">
        <v>24</v>
      </c>
      <c r="J2188">
        <v>4</v>
      </c>
      <c r="K2188">
        <v>1</v>
      </c>
      <c r="L2188">
        <v>1</v>
      </c>
      <c r="M2188">
        <v>45</v>
      </c>
      <c r="N2188">
        <v>177.07499999999999</v>
      </c>
      <c r="O2188">
        <v>0</v>
      </c>
      <c r="P21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88" t="str">
        <f>IF(Table1[[#This Row],[Fraud_Score]]&gt;=6, "High Risk",IF(Table1[[#This Row],[Fraud_Score]]&gt;=3, "Medium Risk", "Low Risk"))</f>
        <v>Low Risk</v>
      </c>
      <c r="R2188">
        <f>IF(Table1[[#This Row],[Seconds of Use]]=0,0,Table1[[#This Row],[Customer Value]]/Table1[[#This Row],[Seconds of Use]]*100)</f>
        <v>8.7229064039408861</v>
      </c>
    </row>
    <row r="2189" spans="1:18" x14ac:dyDescent="0.35">
      <c r="A2189" s="3" t="s">
        <v>2210</v>
      </c>
      <c r="B2189">
        <v>14</v>
      </c>
      <c r="C2189">
        <v>0</v>
      </c>
      <c r="D2189">
        <v>40</v>
      </c>
      <c r="E2189">
        <v>2</v>
      </c>
      <c r="F2189">
        <v>3145</v>
      </c>
      <c r="G2189">
        <v>62</v>
      </c>
      <c r="H2189">
        <v>187</v>
      </c>
      <c r="I2189">
        <v>27</v>
      </c>
      <c r="J2189">
        <v>2</v>
      </c>
      <c r="K2189">
        <v>1</v>
      </c>
      <c r="L2189">
        <v>1</v>
      </c>
      <c r="M2189">
        <v>25</v>
      </c>
      <c r="N2189">
        <v>985.81500000000005</v>
      </c>
      <c r="O2189">
        <v>0</v>
      </c>
      <c r="P21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89" t="str">
        <f>IF(Table1[[#This Row],[Fraud_Score]]&gt;=6, "High Risk",IF(Table1[[#This Row],[Fraud_Score]]&gt;=3, "Medium Risk", "Low Risk"))</f>
        <v>Low Risk</v>
      </c>
      <c r="R2189">
        <f>IF(Table1[[#This Row],[Seconds of Use]]=0,0,Table1[[#This Row],[Customer Value]]/Table1[[#This Row],[Seconds of Use]]*100)</f>
        <v>31.345468998410176</v>
      </c>
    </row>
    <row r="2190" spans="1:18" x14ac:dyDescent="0.35">
      <c r="A2190" s="3" t="s">
        <v>2211</v>
      </c>
      <c r="B2190">
        <v>12</v>
      </c>
      <c r="C2190">
        <v>0</v>
      </c>
      <c r="D2190">
        <v>31</v>
      </c>
      <c r="E2190">
        <v>3</v>
      </c>
      <c r="F2190">
        <v>1680</v>
      </c>
      <c r="G2190">
        <v>45</v>
      </c>
      <c r="H2190">
        <v>205</v>
      </c>
      <c r="I2190">
        <v>15</v>
      </c>
      <c r="J2190">
        <v>3</v>
      </c>
      <c r="K2190">
        <v>2</v>
      </c>
      <c r="L2190">
        <v>1</v>
      </c>
      <c r="M2190">
        <v>30</v>
      </c>
      <c r="N2190">
        <v>889</v>
      </c>
      <c r="O2190">
        <v>0</v>
      </c>
      <c r="P21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90" t="str">
        <f>IF(Table1[[#This Row],[Fraud_Score]]&gt;=6, "High Risk",IF(Table1[[#This Row],[Fraud_Score]]&gt;=3, "Medium Risk", "Low Risk"))</f>
        <v>Low Risk</v>
      </c>
      <c r="R2190">
        <f>IF(Table1[[#This Row],[Seconds of Use]]=0,0,Table1[[#This Row],[Customer Value]]/Table1[[#This Row],[Seconds of Use]]*100)</f>
        <v>52.916666666666664</v>
      </c>
    </row>
    <row r="2191" spans="1:18" x14ac:dyDescent="0.35">
      <c r="A2191" s="3" t="s">
        <v>2212</v>
      </c>
      <c r="B2191">
        <v>12</v>
      </c>
      <c r="C2191">
        <v>0</v>
      </c>
      <c r="D2191">
        <v>30</v>
      </c>
      <c r="E2191">
        <v>2</v>
      </c>
      <c r="F2191">
        <v>1933</v>
      </c>
      <c r="G2191">
        <v>48</v>
      </c>
      <c r="H2191">
        <v>42</v>
      </c>
      <c r="I2191">
        <v>72</v>
      </c>
      <c r="J2191">
        <v>5</v>
      </c>
      <c r="K2191">
        <v>1</v>
      </c>
      <c r="L2191">
        <v>1</v>
      </c>
      <c r="M2191">
        <v>55</v>
      </c>
      <c r="N2191">
        <v>92.715000000000003</v>
      </c>
      <c r="O2191">
        <v>0</v>
      </c>
      <c r="P21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191" t="str">
        <f>IF(Table1[[#This Row],[Fraud_Score]]&gt;=6, "High Risk",IF(Table1[[#This Row],[Fraud_Score]]&gt;=3, "Medium Risk", "Low Risk"))</f>
        <v>Medium Risk</v>
      </c>
      <c r="R2191">
        <f>IF(Table1[[#This Row],[Seconds of Use]]=0,0,Table1[[#This Row],[Customer Value]]/Table1[[#This Row],[Seconds of Use]]*100)</f>
        <v>4.7964304190377653</v>
      </c>
    </row>
    <row r="2192" spans="1:18" x14ac:dyDescent="0.35">
      <c r="A2192" s="3" t="s">
        <v>2213</v>
      </c>
      <c r="B2192">
        <v>19</v>
      </c>
      <c r="C2192">
        <v>0</v>
      </c>
      <c r="D2192">
        <v>31</v>
      </c>
      <c r="E2192">
        <v>2</v>
      </c>
      <c r="F2192">
        <v>1065</v>
      </c>
      <c r="G2192">
        <v>34</v>
      </c>
      <c r="H2192">
        <v>22</v>
      </c>
      <c r="I2192">
        <v>11</v>
      </c>
      <c r="J2192">
        <v>3</v>
      </c>
      <c r="K2192">
        <v>1</v>
      </c>
      <c r="L2192">
        <v>1</v>
      </c>
      <c r="M2192">
        <v>30</v>
      </c>
      <c r="N2192">
        <v>131.96</v>
      </c>
      <c r="O2192">
        <v>0</v>
      </c>
      <c r="P21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92" t="str">
        <f>IF(Table1[[#This Row],[Fraud_Score]]&gt;=6, "High Risk",IF(Table1[[#This Row],[Fraud_Score]]&gt;=3, "Medium Risk", "Low Risk"))</f>
        <v>Low Risk</v>
      </c>
      <c r="R2192">
        <f>IF(Table1[[#This Row],[Seconds of Use]]=0,0,Table1[[#This Row],[Customer Value]]/Table1[[#This Row],[Seconds of Use]]*100)</f>
        <v>12.390610328638498</v>
      </c>
    </row>
    <row r="2193" spans="1:18" x14ac:dyDescent="0.35">
      <c r="A2193" s="3" t="s">
        <v>2214</v>
      </c>
      <c r="B2193">
        <v>8</v>
      </c>
      <c r="C2193">
        <v>0</v>
      </c>
      <c r="D2193">
        <v>30</v>
      </c>
      <c r="E2193">
        <v>2</v>
      </c>
      <c r="F2193">
        <v>1190</v>
      </c>
      <c r="G2193">
        <v>19</v>
      </c>
      <c r="H2193">
        <v>33</v>
      </c>
      <c r="I2193">
        <v>7</v>
      </c>
      <c r="J2193">
        <v>4</v>
      </c>
      <c r="K2193">
        <v>1</v>
      </c>
      <c r="L2193">
        <v>1</v>
      </c>
      <c r="M2193">
        <v>45</v>
      </c>
      <c r="N2193">
        <v>112.72499999999999</v>
      </c>
      <c r="O2193">
        <v>0</v>
      </c>
      <c r="P21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93" t="str">
        <f>IF(Table1[[#This Row],[Fraud_Score]]&gt;=6, "High Risk",IF(Table1[[#This Row],[Fraud_Score]]&gt;=3, "Medium Risk", "Low Risk"))</f>
        <v>Low Risk</v>
      </c>
      <c r="R2193">
        <f>IF(Table1[[#This Row],[Seconds of Use]]=0,0,Table1[[#This Row],[Customer Value]]/Table1[[#This Row],[Seconds of Use]]*100)</f>
        <v>9.4726890756302513</v>
      </c>
    </row>
    <row r="2194" spans="1:18" x14ac:dyDescent="0.35">
      <c r="A2194" s="3" t="s">
        <v>2215</v>
      </c>
      <c r="B2194">
        <v>18</v>
      </c>
      <c r="C2194">
        <v>0</v>
      </c>
      <c r="D2194">
        <v>29</v>
      </c>
      <c r="E2194">
        <v>2</v>
      </c>
      <c r="F2194">
        <v>1590</v>
      </c>
      <c r="G2194">
        <v>41</v>
      </c>
      <c r="H2194">
        <v>31</v>
      </c>
      <c r="I2194">
        <v>17</v>
      </c>
      <c r="J2194">
        <v>2</v>
      </c>
      <c r="K2194">
        <v>1</v>
      </c>
      <c r="L2194">
        <v>1</v>
      </c>
      <c r="M2194">
        <v>25</v>
      </c>
      <c r="N2194">
        <v>212.89500000000001</v>
      </c>
      <c r="O2194">
        <v>0</v>
      </c>
      <c r="P21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94" t="str">
        <f>IF(Table1[[#This Row],[Fraud_Score]]&gt;=6, "High Risk",IF(Table1[[#This Row],[Fraud_Score]]&gt;=3, "Medium Risk", "Low Risk"))</f>
        <v>Low Risk</v>
      </c>
      <c r="R2194">
        <f>IF(Table1[[#This Row],[Seconds of Use]]=0,0,Table1[[#This Row],[Customer Value]]/Table1[[#This Row],[Seconds of Use]]*100)</f>
        <v>13.389622641509435</v>
      </c>
    </row>
    <row r="2195" spans="1:18" x14ac:dyDescent="0.35">
      <c r="A2195" s="3" t="s">
        <v>2216</v>
      </c>
      <c r="B2195">
        <v>10</v>
      </c>
      <c r="C2195">
        <v>0</v>
      </c>
      <c r="D2195">
        <v>29</v>
      </c>
      <c r="E2195">
        <v>2</v>
      </c>
      <c r="F2195">
        <v>3590</v>
      </c>
      <c r="G2195">
        <v>70</v>
      </c>
      <c r="H2195">
        <v>20</v>
      </c>
      <c r="I2195">
        <v>27</v>
      </c>
      <c r="J2195">
        <v>3</v>
      </c>
      <c r="K2195">
        <v>1</v>
      </c>
      <c r="L2195">
        <v>1</v>
      </c>
      <c r="M2195">
        <v>30</v>
      </c>
      <c r="N2195">
        <v>226.4</v>
      </c>
      <c r="O2195">
        <v>0</v>
      </c>
      <c r="P21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95" t="str">
        <f>IF(Table1[[#This Row],[Fraud_Score]]&gt;=6, "High Risk",IF(Table1[[#This Row],[Fraud_Score]]&gt;=3, "Medium Risk", "Low Risk"))</f>
        <v>Low Risk</v>
      </c>
      <c r="R2195">
        <f>IF(Table1[[#This Row],[Seconds of Use]]=0,0,Table1[[#This Row],[Customer Value]]/Table1[[#This Row],[Seconds of Use]]*100)</f>
        <v>6.3064066852367695</v>
      </c>
    </row>
    <row r="2196" spans="1:18" x14ac:dyDescent="0.35">
      <c r="A2196" s="3" t="s">
        <v>2217</v>
      </c>
      <c r="B2196">
        <v>10</v>
      </c>
      <c r="C2196">
        <v>0</v>
      </c>
      <c r="D2196">
        <v>22</v>
      </c>
      <c r="E2196">
        <v>2</v>
      </c>
      <c r="F2196">
        <v>2060</v>
      </c>
      <c r="G2196">
        <v>35</v>
      </c>
      <c r="H2196">
        <v>40</v>
      </c>
      <c r="I2196">
        <v>18</v>
      </c>
      <c r="J2196">
        <v>3</v>
      </c>
      <c r="K2196">
        <v>1</v>
      </c>
      <c r="L2196">
        <v>1</v>
      </c>
      <c r="M2196">
        <v>30</v>
      </c>
      <c r="N2196">
        <v>243.8</v>
      </c>
      <c r="O2196">
        <v>0</v>
      </c>
      <c r="P21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196" t="str">
        <f>IF(Table1[[#This Row],[Fraud_Score]]&gt;=6, "High Risk",IF(Table1[[#This Row],[Fraud_Score]]&gt;=3, "Medium Risk", "Low Risk"))</f>
        <v>Low Risk</v>
      </c>
      <c r="R2196">
        <f>IF(Table1[[#This Row],[Seconds of Use]]=0,0,Table1[[#This Row],[Customer Value]]/Table1[[#This Row],[Seconds of Use]]*100)</f>
        <v>11.83495145631068</v>
      </c>
    </row>
    <row r="2197" spans="1:18" x14ac:dyDescent="0.35">
      <c r="A2197" s="3" t="s">
        <v>2218</v>
      </c>
      <c r="B2197">
        <v>24</v>
      </c>
      <c r="C2197">
        <v>0</v>
      </c>
      <c r="D2197">
        <v>21</v>
      </c>
      <c r="E2197">
        <v>3</v>
      </c>
      <c r="F2197">
        <v>6758</v>
      </c>
      <c r="G2197">
        <v>150</v>
      </c>
      <c r="H2197">
        <v>97</v>
      </c>
      <c r="I2197">
        <v>46</v>
      </c>
      <c r="J2197">
        <v>2</v>
      </c>
      <c r="K2197">
        <v>2</v>
      </c>
      <c r="L2197">
        <v>1</v>
      </c>
      <c r="M2197">
        <v>25</v>
      </c>
      <c r="N2197">
        <v>747.36</v>
      </c>
      <c r="O2197">
        <v>0</v>
      </c>
      <c r="P21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97" t="str">
        <f>IF(Table1[[#This Row],[Fraud_Score]]&gt;=6, "High Risk",IF(Table1[[#This Row],[Fraud_Score]]&gt;=3, "Medium Risk", "Low Risk"))</f>
        <v>Medium Risk</v>
      </c>
      <c r="R2197">
        <f>IF(Table1[[#This Row],[Seconds of Use]]=0,0,Table1[[#This Row],[Customer Value]]/Table1[[#This Row],[Seconds of Use]]*100)</f>
        <v>11.058893163657887</v>
      </c>
    </row>
    <row r="2198" spans="1:18" x14ac:dyDescent="0.35">
      <c r="A2198" s="3" t="s">
        <v>2219</v>
      </c>
      <c r="B2198">
        <v>20</v>
      </c>
      <c r="C2198">
        <v>0</v>
      </c>
      <c r="D2198">
        <v>19</v>
      </c>
      <c r="E2198">
        <v>2</v>
      </c>
      <c r="F2198">
        <v>9298</v>
      </c>
      <c r="G2198">
        <v>180</v>
      </c>
      <c r="H2198">
        <v>85</v>
      </c>
      <c r="I2198">
        <v>44</v>
      </c>
      <c r="J2198">
        <v>5</v>
      </c>
      <c r="K2198">
        <v>1</v>
      </c>
      <c r="L2198">
        <v>1</v>
      </c>
      <c r="M2198">
        <v>55</v>
      </c>
      <c r="N2198">
        <v>269.67</v>
      </c>
      <c r="O2198">
        <v>0</v>
      </c>
      <c r="P21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198" t="str">
        <f>IF(Table1[[#This Row],[Fraud_Score]]&gt;=6, "High Risk",IF(Table1[[#This Row],[Fraud_Score]]&gt;=3, "Medium Risk", "Low Risk"))</f>
        <v>Medium Risk</v>
      </c>
      <c r="R2198">
        <f>IF(Table1[[#This Row],[Seconds of Use]]=0,0,Table1[[#This Row],[Customer Value]]/Table1[[#This Row],[Seconds of Use]]*100)</f>
        <v>2.900301140030114</v>
      </c>
    </row>
    <row r="2199" spans="1:18" x14ac:dyDescent="0.35">
      <c r="A2199" s="3" t="s">
        <v>2220</v>
      </c>
      <c r="B2199">
        <v>16</v>
      </c>
      <c r="C2199">
        <v>0</v>
      </c>
      <c r="D2199">
        <v>20</v>
      </c>
      <c r="E2199">
        <v>5</v>
      </c>
      <c r="F2199">
        <v>3218</v>
      </c>
      <c r="G2199">
        <v>54</v>
      </c>
      <c r="H2199">
        <v>43</v>
      </c>
      <c r="I2199">
        <v>23</v>
      </c>
      <c r="J2199">
        <v>3</v>
      </c>
      <c r="K2199">
        <v>2</v>
      </c>
      <c r="L2199">
        <v>1</v>
      </c>
      <c r="M2199">
        <v>30</v>
      </c>
      <c r="N2199">
        <v>302.88</v>
      </c>
      <c r="O2199">
        <v>0</v>
      </c>
      <c r="P21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199" t="str">
        <f>IF(Table1[[#This Row],[Fraud_Score]]&gt;=6, "High Risk",IF(Table1[[#This Row],[Fraud_Score]]&gt;=3, "Medium Risk", "Low Risk"))</f>
        <v>Low Risk</v>
      </c>
      <c r="R2199">
        <f>IF(Table1[[#This Row],[Seconds of Use]]=0,0,Table1[[#This Row],[Customer Value]]/Table1[[#This Row],[Seconds of Use]]*100)</f>
        <v>9.4120571783716596</v>
      </c>
    </row>
    <row r="2200" spans="1:18" x14ac:dyDescent="0.35">
      <c r="A2200" s="3" t="s">
        <v>2221</v>
      </c>
      <c r="B2200">
        <v>10</v>
      </c>
      <c r="C2200">
        <v>0</v>
      </c>
      <c r="D2200">
        <v>13</v>
      </c>
      <c r="E2200">
        <v>3</v>
      </c>
      <c r="F2200">
        <v>4755</v>
      </c>
      <c r="G2200">
        <v>49</v>
      </c>
      <c r="H2200">
        <v>227</v>
      </c>
      <c r="I2200">
        <v>14</v>
      </c>
      <c r="J2200">
        <v>3</v>
      </c>
      <c r="K2200">
        <v>1</v>
      </c>
      <c r="L2200">
        <v>1</v>
      </c>
      <c r="M2200">
        <v>30</v>
      </c>
      <c r="N2200">
        <v>1100.1600000000001</v>
      </c>
      <c r="O2200">
        <v>0</v>
      </c>
      <c r="P22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00" t="str">
        <f>IF(Table1[[#This Row],[Fraud_Score]]&gt;=6, "High Risk",IF(Table1[[#This Row],[Fraud_Score]]&gt;=3, "Medium Risk", "Low Risk"))</f>
        <v>Low Risk</v>
      </c>
      <c r="R2200">
        <f>IF(Table1[[#This Row],[Seconds of Use]]=0,0,Table1[[#This Row],[Customer Value]]/Table1[[#This Row],[Seconds of Use]]*100)</f>
        <v>23.136908517350161</v>
      </c>
    </row>
    <row r="2201" spans="1:18" x14ac:dyDescent="0.35">
      <c r="A2201" s="3" t="s">
        <v>2222</v>
      </c>
      <c r="B2201">
        <v>11</v>
      </c>
      <c r="C2201">
        <v>1</v>
      </c>
      <c r="D2201">
        <v>13</v>
      </c>
      <c r="E2201">
        <v>3</v>
      </c>
      <c r="F2201">
        <v>1853</v>
      </c>
      <c r="G2201">
        <v>28</v>
      </c>
      <c r="H2201">
        <v>12</v>
      </c>
      <c r="I2201">
        <v>11</v>
      </c>
      <c r="J2201">
        <v>3</v>
      </c>
      <c r="K2201">
        <v>1</v>
      </c>
      <c r="L2201">
        <v>1</v>
      </c>
      <c r="M2201">
        <v>30</v>
      </c>
      <c r="N2201">
        <v>123.24</v>
      </c>
      <c r="O2201">
        <v>1</v>
      </c>
      <c r="P22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01" t="str">
        <f>IF(Table1[[#This Row],[Fraud_Score]]&gt;=6, "High Risk",IF(Table1[[#This Row],[Fraud_Score]]&gt;=3, "Medium Risk", "Low Risk"))</f>
        <v>Medium Risk</v>
      </c>
      <c r="R2201">
        <f>IF(Table1[[#This Row],[Seconds of Use]]=0,0,Table1[[#This Row],[Customer Value]]/Table1[[#This Row],[Seconds of Use]]*100)</f>
        <v>6.6508364813815435</v>
      </c>
    </row>
    <row r="2202" spans="1:18" x14ac:dyDescent="0.35">
      <c r="A2202" s="3" t="s">
        <v>2223</v>
      </c>
      <c r="B2202">
        <v>10</v>
      </c>
      <c r="C2202">
        <v>0</v>
      </c>
      <c r="D2202">
        <v>38</v>
      </c>
      <c r="E2202">
        <v>1</v>
      </c>
      <c r="F2202">
        <v>4615</v>
      </c>
      <c r="G2202">
        <v>74</v>
      </c>
      <c r="H2202">
        <v>7</v>
      </c>
      <c r="I2202">
        <v>17</v>
      </c>
      <c r="J2202">
        <v>3</v>
      </c>
      <c r="K2202">
        <v>1</v>
      </c>
      <c r="L2202">
        <v>1</v>
      </c>
      <c r="M2202">
        <v>30</v>
      </c>
      <c r="N2202">
        <v>215.56</v>
      </c>
      <c r="O2202">
        <v>0</v>
      </c>
      <c r="P22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02" t="str">
        <f>IF(Table1[[#This Row],[Fraud_Score]]&gt;=6, "High Risk",IF(Table1[[#This Row],[Fraud_Score]]&gt;=3, "Medium Risk", "Low Risk"))</f>
        <v>Low Risk</v>
      </c>
      <c r="R2202">
        <f>IF(Table1[[#This Row],[Seconds of Use]]=0,0,Table1[[#This Row],[Customer Value]]/Table1[[#This Row],[Seconds of Use]]*100)</f>
        <v>4.6708559046587217</v>
      </c>
    </row>
    <row r="2203" spans="1:18" x14ac:dyDescent="0.35">
      <c r="A2203" s="3" t="s">
        <v>2224</v>
      </c>
      <c r="B2203">
        <v>5</v>
      </c>
      <c r="C2203">
        <v>0</v>
      </c>
      <c r="D2203">
        <v>39</v>
      </c>
      <c r="E2203">
        <v>0</v>
      </c>
      <c r="F2203">
        <v>563</v>
      </c>
      <c r="G2203">
        <v>8</v>
      </c>
      <c r="H2203">
        <v>9</v>
      </c>
      <c r="I2203">
        <v>4</v>
      </c>
      <c r="J2203">
        <v>3</v>
      </c>
      <c r="K2203">
        <v>1</v>
      </c>
      <c r="L2203">
        <v>2</v>
      </c>
      <c r="M2203">
        <v>30</v>
      </c>
      <c r="N2203">
        <v>58.84</v>
      </c>
      <c r="O2203">
        <v>0</v>
      </c>
      <c r="P22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03" t="str">
        <f>IF(Table1[[#This Row],[Fraud_Score]]&gt;=6, "High Risk",IF(Table1[[#This Row],[Fraud_Score]]&gt;=3, "Medium Risk", "Low Risk"))</f>
        <v>Low Risk</v>
      </c>
      <c r="R2203">
        <f>IF(Table1[[#This Row],[Seconds of Use]]=0,0,Table1[[#This Row],[Customer Value]]/Table1[[#This Row],[Seconds of Use]]*100)</f>
        <v>10.451154529307283</v>
      </c>
    </row>
    <row r="2204" spans="1:18" x14ac:dyDescent="0.35">
      <c r="A2204" s="3" t="s">
        <v>2225</v>
      </c>
      <c r="B2204">
        <v>12</v>
      </c>
      <c r="C2204">
        <v>0</v>
      </c>
      <c r="D2204">
        <v>37</v>
      </c>
      <c r="E2204">
        <v>1</v>
      </c>
      <c r="F2204">
        <v>2698</v>
      </c>
      <c r="G2204">
        <v>63</v>
      </c>
      <c r="H2204">
        <v>361</v>
      </c>
      <c r="I2204">
        <v>24</v>
      </c>
      <c r="J2204">
        <v>3</v>
      </c>
      <c r="K2204">
        <v>1</v>
      </c>
      <c r="L2204">
        <v>1</v>
      </c>
      <c r="M2204">
        <v>30</v>
      </c>
      <c r="N2204">
        <v>1554.44</v>
      </c>
      <c r="O2204">
        <v>0</v>
      </c>
      <c r="P22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04" t="str">
        <f>IF(Table1[[#This Row],[Fraud_Score]]&gt;=6, "High Risk",IF(Table1[[#This Row],[Fraud_Score]]&gt;=3, "Medium Risk", "Low Risk"))</f>
        <v>Low Risk</v>
      </c>
      <c r="R2204">
        <f>IF(Table1[[#This Row],[Seconds of Use]]=0,0,Table1[[#This Row],[Customer Value]]/Table1[[#This Row],[Seconds of Use]]*100)</f>
        <v>57.614529280948858</v>
      </c>
    </row>
    <row r="2205" spans="1:18" x14ac:dyDescent="0.35">
      <c r="A2205" s="3" t="s">
        <v>2226</v>
      </c>
      <c r="B2205">
        <v>12</v>
      </c>
      <c r="C2205">
        <v>0</v>
      </c>
      <c r="D2205">
        <v>38</v>
      </c>
      <c r="E2205">
        <v>1</v>
      </c>
      <c r="F2205">
        <v>4443</v>
      </c>
      <c r="G2205">
        <v>69</v>
      </c>
      <c r="H2205">
        <v>7</v>
      </c>
      <c r="I2205">
        <v>35</v>
      </c>
      <c r="J2205">
        <v>1</v>
      </c>
      <c r="K2205">
        <v>1</v>
      </c>
      <c r="L2205">
        <v>1</v>
      </c>
      <c r="M2205">
        <v>15</v>
      </c>
      <c r="N2205">
        <v>286.66000000000003</v>
      </c>
      <c r="O2205">
        <v>0</v>
      </c>
      <c r="P22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05" t="str">
        <f>IF(Table1[[#This Row],[Fraud_Score]]&gt;=6, "High Risk",IF(Table1[[#This Row],[Fraud_Score]]&gt;=3, "Medium Risk", "Low Risk"))</f>
        <v>Low Risk</v>
      </c>
      <c r="R2205">
        <f>IF(Table1[[#This Row],[Seconds of Use]]=0,0,Table1[[#This Row],[Customer Value]]/Table1[[#This Row],[Seconds of Use]]*100)</f>
        <v>6.4519468827368902</v>
      </c>
    </row>
    <row r="2206" spans="1:18" x14ac:dyDescent="0.35">
      <c r="A2206" s="3" t="s">
        <v>2227</v>
      </c>
      <c r="B2206">
        <v>5</v>
      </c>
      <c r="C2206">
        <v>0</v>
      </c>
      <c r="D2206">
        <v>38</v>
      </c>
      <c r="E2206">
        <v>1</v>
      </c>
      <c r="F2206">
        <v>2638</v>
      </c>
      <c r="G2206">
        <v>61</v>
      </c>
      <c r="H2206">
        <v>7</v>
      </c>
      <c r="I2206">
        <v>33</v>
      </c>
      <c r="J2206">
        <v>2</v>
      </c>
      <c r="K2206">
        <v>1</v>
      </c>
      <c r="L2206">
        <v>1</v>
      </c>
      <c r="M2206">
        <v>25</v>
      </c>
      <c r="N2206">
        <v>152.95500000000001</v>
      </c>
      <c r="O2206">
        <v>0</v>
      </c>
      <c r="P22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06" t="str">
        <f>IF(Table1[[#This Row],[Fraud_Score]]&gt;=6, "High Risk",IF(Table1[[#This Row],[Fraud_Score]]&gt;=3, "Medium Risk", "Low Risk"))</f>
        <v>Low Risk</v>
      </c>
      <c r="R2206">
        <f>IF(Table1[[#This Row],[Seconds of Use]]=0,0,Table1[[#This Row],[Customer Value]]/Table1[[#This Row],[Seconds of Use]]*100)</f>
        <v>5.7981425322213802</v>
      </c>
    </row>
    <row r="2207" spans="1:18" x14ac:dyDescent="0.35">
      <c r="A2207" s="3" t="s">
        <v>2228</v>
      </c>
      <c r="B2207">
        <v>13</v>
      </c>
      <c r="C2207">
        <v>0</v>
      </c>
      <c r="D2207">
        <v>38</v>
      </c>
      <c r="E2207">
        <v>1</v>
      </c>
      <c r="F2207">
        <v>4020</v>
      </c>
      <c r="G2207">
        <v>85</v>
      </c>
      <c r="H2207">
        <v>34</v>
      </c>
      <c r="I2207">
        <v>28</v>
      </c>
      <c r="J2207">
        <v>3</v>
      </c>
      <c r="K2207">
        <v>1</v>
      </c>
      <c r="L2207">
        <v>1</v>
      </c>
      <c r="M2207">
        <v>30</v>
      </c>
      <c r="N2207">
        <v>300.2</v>
      </c>
      <c r="O2207">
        <v>0</v>
      </c>
      <c r="P22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07" t="str">
        <f>IF(Table1[[#This Row],[Fraud_Score]]&gt;=6, "High Risk",IF(Table1[[#This Row],[Fraud_Score]]&gt;=3, "Medium Risk", "Low Risk"))</f>
        <v>Low Risk</v>
      </c>
      <c r="R2207">
        <f>IF(Table1[[#This Row],[Seconds of Use]]=0,0,Table1[[#This Row],[Customer Value]]/Table1[[#This Row],[Seconds of Use]]*100)</f>
        <v>7.467661691542288</v>
      </c>
    </row>
    <row r="2208" spans="1:18" x14ac:dyDescent="0.35">
      <c r="A2208" s="3" t="s">
        <v>2229</v>
      </c>
      <c r="B2208">
        <v>6</v>
      </c>
      <c r="C2208">
        <v>0</v>
      </c>
      <c r="D2208">
        <v>38</v>
      </c>
      <c r="E2208">
        <v>1</v>
      </c>
      <c r="F2208">
        <v>2605</v>
      </c>
      <c r="G2208">
        <v>42</v>
      </c>
      <c r="H2208">
        <v>287</v>
      </c>
      <c r="I2208">
        <v>18</v>
      </c>
      <c r="J2208">
        <v>3</v>
      </c>
      <c r="K2208">
        <v>1</v>
      </c>
      <c r="L2208">
        <v>1</v>
      </c>
      <c r="M2208">
        <v>30</v>
      </c>
      <c r="N2208">
        <v>1253.8800000000001</v>
      </c>
      <c r="O2208">
        <v>0</v>
      </c>
      <c r="P22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08" t="str">
        <f>IF(Table1[[#This Row],[Fraud_Score]]&gt;=6, "High Risk",IF(Table1[[#This Row],[Fraud_Score]]&gt;=3, "Medium Risk", "Low Risk"))</f>
        <v>Low Risk</v>
      </c>
      <c r="R2208">
        <f>IF(Table1[[#This Row],[Seconds of Use]]=0,0,Table1[[#This Row],[Customer Value]]/Table1[[#This Row],[Seconds of Use]]*100)</f>
        <v>48.133589251439545</v>
      </c>
    </row>
    <row r="2209" spans="1:18" x14ac:dyDescent="0.35">
      <c r="A2209" s="3" t="s">
        <v>2230</v>
      </c>
      <c r="B2209">
        <v>15</v>
      </c>
      <c r="C2209">
        <v>0</v>
      </c>
      <c r="D2209">
        <v>37</v>
      </c>
      <c r="E2209">
        <v>2</v>
      </c>
      <c r="F2209">
        <v>9360</v>
      </c>
      <c r="G2209">
        <v>124</v>
      </c>
      <c r="H2209">
        <v>146</v>
      </c>
      <c r="I2209">
        <v>43</v>
      </c>
      <c r="J2209">
        <v>3</v>
      </c>
      <c r="K2209">
        <v>1</v>
      </c>
      <c r="L2209">
        <v>1</v>
      </c>
      <c r="M2209">
        <v>30</v>
      </c>
      <c r="N2209">
        <v>963.36</v>
      </c>
      <c r="O2209">
        <v>0</v>
      </c>
      <c r="P22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09" t="str">
        <f>IF(Table1[[#This Row],[Fraud_Score]]&gt;=6, "High Risk",IF(Table1[[#This Row],[Fraud_Score]]&gt;=3, "Medium Risk", "Low Risk"))</f>
        <v>Low Risk</v>
      </c>
      <c r="R2209">
        <f>IF(Table1[[#This Row],[Seconds of Use]]=0,0,Table1[[#This Row],[Customer Value]]/Table1[[#This Row],[Seconds of Use]]*100)</f>
        <v>10.292307692307693</v>
      </c>
    </row>
    <row r="2210" spans="1:18" x14ac:dyDescent="0.35">
      <c r="A2210" s="3" t="s">
        <v>2231</v>
      </c>
      <c r="B2210">
        <v>9</v>
      </c>
      <c r="C2210">
        <v>0</v>
      </c>
      <c r="D2210">
        <v>38</v>
      </c>
      <c r="E2210">
        <v>1</v>
      </c>
      <c r="F2210">
        <v>14018</v>
      </c>
      <c r="G2210">
        <v>172</v>
      </c>
      <c r="H2210">
        <v>7</v>
      </c>
      <c r="I2210">
        <v>44</v>
      </c>
      <c r="J2210">
        <v>3</v>
      </c>
      <c r="K2210">
        <v>1</v>
      </c>
      <c r="L2210">
        <v>1</v>
      </c>
      <c r="M2210">
        <v>30</v>
      </c>
      <c r="N2210">
        <v>595.6</v>
      </c>
      <c r="O2210">
        <v>0</v>
      </c>
      <c r="P22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10" t="str">
        <f>IF(Table1[[#This Row],[Fraud_Score]]&gt;=6, "High Risk",IF(Table1[[#This Row],[Fraud_Score]]&gt;=3, "Medium Risk", "Low Risk"))</f>
        <v>Low Risk</v>
      </c>
      <c r="R2210">
        <f>IF(Table1[[#This Row],[Seconds of Use]]=0,0,Table1[[#This Row],[Customer Value]]/Table1[[#This Row],[Seconds of Use]]*100)</f>
        <v>4.2488229419318024</v>
      </c>
    </row>
    <row r="2211" spans="1:18" x14ac:dyDescent="0.35">
      <c r="A2211" s="3" t="s">
        <v>2232</v>
      </c>
      <c r="B2211">
        <v>9</v>
      </c>
      <c r="C2211">
        <v>0</v>
      </c>
      <c r="D2211">
        <v>38</v>
      </c>
      <c r="E2211">
        <v>1</v>
      </c>
      <c r="F2211">
        <v>4760</v>
      </c>
      <c r="G2211">
        <v>86</v>
      </c>
      <c r="H2211">
        <v>7</v>
      </c>
      <c r="I2211">
        <v>25</v>
      </c>
      <c r="J2211">
        <v>3</v>
      </c>
      <c r="K2211">
        <v>1</v>
      </c>
      <c r="L2211">
        <v>1</v>
      </c>
      <c r="M2211">
        <v>30</v>
      </c>
      <c r="N2211">
        <v>221.84</v>
      </c>
      <c r="O2211">
        <v>0</v>
      </c>
      <c r="P22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11" t="str">
        <f>IF(Table1[[#This Row],[Fraud_Score]]&gt;=6, "High Risk",IF(Table1[[#This Row],[Fraud_Score]]&gt;=3, "Medium Risk", "Low Risk"))</f>
        <v>Low Risk</v>
      </c>
      <c r="R2211">
        <f>IF(Table1[[#This Row],[Seconds of Use]]=0,0,Table1[[#This Row],[Customer Value]]/Table1[[#This Row],[Seconds of Use]]*100)</f>
        <v>4.6605042016806726</v>
      </c>
    </row>
    <row r="2212" spans="1:18" x14ac:dyDescent="0.35">
      <c r="A2212" s="3" t="s">
        <v>2233</v>
      </c>
      <c r="B2212">
        <v>8</v>
      </c>
      <c r="C2212">
        <v>0</v>
      </c>
      <c r="D2212">
        <v>38</v>
      </c>
      <c r="E2212">
        <v>1</v>
      </c>
      <c r="F2212">
        <v>6163</v>
      </c>
      <c r="G2212">
        <v>98</v>
      </c>
      <c r="H2212">
        <v>9</v>
      </c>
      <c r="I2212">
        <v>12</v>
      </c>
      <c r="J2212">
        <v>3</v>
      </c>
      <c r="K2212">
        <v>1</v>
      </c>
      <c r="L2212">
        <v>1</v>
      </c>
      <c r="M2212">
        <v>30</v>
      </c>
      <c r="N2212">
        <v>286.44</v>
      </c>
      <c r="O2212">
        <v>0</v>
      </c>
      <c r="P22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12" t="str">
        <f>IF(Table1[[#This Row],[Fraud_Score]]&gt;=6, "High Risk",IF(Table1[[#This Row],[Fraud_Score]]&gt;=3, "Medium Risk", "Low Risk"))</f>
        <v>Low Risk</v>
      </c>
      <c r="R2212">
        <f>IF(Table1[[#This Row],[Seconds of Use]]=0,0,Table1[[#This Row],[Customer Value]]/Table1[[#This Row],[Seconds of Use]]*100)</f>
        <v>4.6477364919681969</v>
      </c>
    </row>
    <row r="2213" spans="1:18" x14ac:dyDescent="0.35">
      <c r="A2213" s="3" t="s">
        <v>2234</v>
      </c>
      <c r="B2213">
        <v>11</v>
      </c>
      <c r="C2213">
        <v>0</v>
      </c>
      <c r="D2213">
        <v>38</v>
      </c>
      <c r="E2213">
        <v>0</v>
      </c>
      <c r="F2213">
        <v>2483</v>
      </c>
      <c r="G2213">
        <v>57</v>
      </c>
      <c r="H2213">
        <v>10</v>
      </c>
      <c r="I2213">
        <v>17</v>
      </c>
      <c r="J2213">
        <v>3</v>
      </c>
      <c r="K2213">
        <v>1</v>
      </c>
      <c r="L2213">
        <v>2</v>
      </c>
      <c r="M2213">
        <v>30</v>
      </c>
      <c r="N2213">
        <v>141.6</v>
      </c>
      <c r="O2213">
        <v>0</v>
      </c>
      <c r="P22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13" t="str">
        <f>IF(Table1[[#This Row],[Fraud_Score]]&gt;=6, "High Risk",IF(Table1[[#This Row],[Fraud_Score]]&gt;=3, "Medium Risk", "Low Risk"))</f>
        <v>Medium Risk</v>
      </c>
      <c r="R2213">
        <f>IF(Table1[[#This Row],[Seconds of Use]]=0,0,Table1[[#This Row],[Customer Value]]/Table1[[#This Row],[Seconds of Use]]*100)</f>
        <v>5.7027788964961736</v>
      </c>
    </row>
    <row r="2214" spans="1:18" x14ac:dyDescent="0.35">
      <c r="A2214" s="3" t="s">
        <v>2235</v>
      </c>
      <c r="B2214">
        <v>27</v>
      </c>
      <c r="C2214">
        <v>0</v>
      </c>
      <c r="D2214">
        <v>38</v>
      </c>
      <c r="E2214">
        <v>3</v>
      </c>
      <c r="F2214">
        <v>15385</v>
      </c>
      <c r="G2214">
        <v>228</v>
      </c>
      <c r="H2214">
        <v>56</v>
      </c>
      <c r="I2214">
        <v>32</v>
      </c>
      <c r="J2214">
        <v>3</v>
      </c>
      <c r="K2214">
        <v>1</v>
      </c>
      <c r="L2214">
        <v>1</v>
      </c>
      <c r="M2214">
        <v>30</v>
      </c>
      <c r="N2214">
        <v>848.52</v>
      </c>
      <c r="O2214">
        <v>0</v>
      </c>
      <c r="P22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14" t="str">
        <f>IF(Table1[[#This Row],[Fraud_Score]]&gt;=6, "High Risk",IF(Table1[[#This Row],[Fraud_Score]]&gt;=3, "Medium Risk", "Low Risk"))</f>
        <v>Medium Risk</v>
      </c>
      <c r="R2214">
        <f>IF(Table1[[#This Row],[Seconds of Use]]=0,0,Table1[[#This Row],[Customer Value]]/Table1[[#This Row],[Seconds of Use]]*100)</f>
        <v>5.5152421189470262</v>
      </c>
    </row>
    <row r="2215" spans="1:18" x14ac:dyDescent="0.35">
      <c r="A2215" s="3" t="s">
        <v>2236</v>
      </c>
      <c r="B2215">
        <v>6</v>
      </c>
      <c r="C2215">
        <v>0</v>
      </c>
      <c r="D2215">
        <v>38</v>
      </c>
      <c r="E2215">
        <v>1</v>
      </c>
      <c r="F2215">
        <v>3340</v>
      </c>
      <c r="G2215">
        <v>30</v>
      </c>
      <c r="H2215">
        <v>485</v>
      </c>
      <c r="I2215">
        <v>8</v>
      </c>
      <c r="J2215">
        <v>3</v>
      </c>
      <c r="K2215">
        <v>1</v>
      </c>
      <c r="L2215">
        <v>1</v>
      </c>
      <c r="M2215">
        <v>30</v>
      </c>
      <c r="N2215">
        <v>2074.8000000000002</v>
      </c>
      <c r="O2215">
        <v>0</v>
      </c>
      <c r="P22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15" t="str">
        <f>IF(Table1[[#This Row],[Fraud_Score]]&gt;=6, "High Risk",IF(Table1[[#This Row],[Fraud_Score]]&gt;=3, "Medium Risk", "Low Risk"))</f>
        <v>Low Risk</v>
      </c>
      <c r="R2215">
        <f>IF(Table1[[#This Row],[Seconds of Use]]=0,0,Table1[[#This Row],[Customer Value]]/Table1[[#This Row],[Seconds of Use]]*100)</f>
        <v>62.119760479041922</v>
      </c>
    </row>
    <row r="2216" spans="1:18" x14ac:dyDescent="0.35">
      <c r="A2216" s="3" t="s">
        <v>2237</v>
      </c>
      <c r="B2216">
        <v>11</v>
      </c>
      <c r="C2216">
        <v>0</v>
      </c>
      <c r="D2216">
        <v>37</v>
      </c>
      <c r="E2216">
        <v>1</v>
      </c>
      <c r="F2216">
        <v>15730</v>
      </c>
      <c r="G2216">
        <v>185</v>
      </c>
      <c r="H2216">
        <v>152</v>
      </c>
      <c r="I2216">
        <v>30</v>
      </c>
      <c r="J2216">
        <v>2</v>
      </c>
      <c r="K2216">
        <v>1</v>
      </c>
      <c r="L2216">
        <v>1</v>
      </c>
      <c r="M2216">
        <v>25</v>
      </c>
      <c r="N2216">
        <v>1400.175</v>
      </c>
      <c r="O2216">
        <v>0</v>
      </c>
      <c r="P22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16" t="str">
        <f>IF(Table1[[#This Row],[Fraud_Score]]&gt;=6, "High Risk",IF(Table1[[#This Row],[Fraud_Score]]&gt;=3, "Medium Risk", "Low Risk"))</f>
        <v>Medium Risk</v>
      </c>
      <c r="R2216">
        <f>IF(Table1[[#This Row],[Seconds of Use]]=0,0,Table1[[#This Row],[Customer Value]]/Table1[[#This Row],[Seconds of Use]]*100)</f>
        <v>8.9013032422123324</v>
      </c>
    </row>
    <row r="2217" spans="1:18" x14ac:dyDescent="0.35">
      <c r="A2217" s="3" t="s">
        <v>2238</v>
      </c>
      <c r="B2217">
        <v>5</v>
      </c>
      <c r="C2217">
        <v>0</v>
      </c>
      <c r="D2217">
        <v>37</v>
      </c>
      <c r="E2217">
        <v>1</v>
      </c>
      <c r="F2217">
        <v>6745</v>
      </c>
      <c r="G2217">
        <v>89</v>
      </c>
      <c r="H2217">
        <v>188</v>
      </c>
      <c r="I2217">
        <v>26</v>
      </c>
      <c r="J2217">
        <v>3</v>
      </c>
      <c r="K2217">
        <v>1</v>
      </c>
      <c r="L2217">
        <v>1</v>
      </c>
      <c r="M2217">
        <v>30</v>
      </c>
      <c r="N2217">
        <v>1025.3599999999999</v>
      </c>
      <c r="O2217">
        <v>0</v>
      </c>
      <c r="P22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17" t="str">
        <f>IF(Table1[[#This Row],[Fraud_Score]]&gt;=6, "High Risk",IF(Table1[[#This Row],[Fraud_Score]]&gt;=3, "Medium Risk", "Low Risk"))</f>
        <v>Low Risk</v>
      </c>
      <c r="R2217">
        <f>IF(Table1[[#This Row],[Seconds of Use]]=0,0,Table1[[#This Row],[Customer Value]]/Table1[[#This Row],[Seconds of Use]]*100)</f>
        <v>15.201779095626389</v>
      </c>
    </row>
    <row r="2218" spans="1:18" x14ac:dyDescent="0.35">
      <c r="A2218" s="3" t="s">
        <v>2239</v>
      </c>
      <c r="B2218">
        <v>5</v>
      </c>
      <c r="C2218">
        <v>0</v>
      </c>
      <c r="D2218">
        <v>37</v>
      </c>
      <c r="E2218">
        <v>0</v>
      </c>
      <c r="F2218">
        <v>1120</v>
      </c>
      <c r="G2218">
        <v>17</v>
      </c>
      <c r="H2218">
        <v>7</v>
      </c>
      <c r="I2218">
        <v>11</v>
      </c>
      <c r="J2218">
        <v>2</v>
      </c>
      <c r="K2218">
        <v>1</v>
      </c>
      <c r="L2218">
        <v>2</v>
      </c>
      <c r="M2218">
        <v>25</v>
      </c>
      <c r="N2218">
        <v>82.665000000000006</v>
      </c>
      <c r="O2218">
        <v>0</v>
      </c>
      <c r="P22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18" t="str">
        <f>IF(Table1[[#This Row],[Fraud_Score]]&gt;=6, "High Risk",IF(Table1[[#This Row],[Fraud_Score]]&gt;=3, "Medium Risk", "Low Risk"))</f>
        <v>Low Risk</v>
      </c>
      <c r="R2218">
        <f>IF(Table1[[#This Row],[Seconds of Use]]=0,0,Table1[[#This Row],[Customer Value]]/Table1[[#This Row],[Seconds of Use]]*100)</f>
        <v>7.3808035714285722</v>
      </c>
    </row>
    <row r="2219" spans="1:18" x14ac:dyDescent="0.35">
      <c r="A2219" s="3" t="s">
        <v>2240</v>
      </c>
      <c r="B2219">
        <v>5</v>
      </c>
      <c r="C2219">
        <v>0</v>
      </c>
      <c r="D2219">
        <v>38</v>
      </c>
      <c r="E2219">
        <v>0</v>
      </c>
      <c r="F2219">
        <v>955</v>
      </c>
      <c r="G2219">
        <v>17</v>
      </c>
      <c r="H2219">
        <v>15</v>
      </c>
      <c r="I2219">
        <v>8</v>
      </c>
      <c r="J2219">
        <v>3</v>
      </c>
      <c r="K2219">
        <v>1</v>
      </c>
      <c r="L2219">
        <v>2</v>
      </c>
      <c r="M2219">
        <v>30</v>
      </c>
      <c r="N2219">
        <v>98.88</v>
      </c>
      <c r="O2219">
        <v>0</v>
      </c>
      <c r="P22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19" t="str">
        <f>IF(Table1[[#This Row],[Fraud_Score]]&gt;=6, "High Risk",IF(Table1[[#This Row],[Fraud_Score]]&gt;=3, "Medium Risk", "Low Risk"))</f>
        <v>Low Risk</v>
      </c>
      <c r="R2219">
        <f>IF(Table1[[#This Row],[Seconds of Use]]=0,0,Table1[[#This Row],[Customer Value]]/Table1[[#This Row],[Seconds of Use]]*100)</f>
        <v>10.35392670157068</v>
      </c>
    </row>
    <row r="2220" spans="1:18" x14ac:dyDescent="0.35">
      <c r="A2220" s="3" t="s">
        <v>2241</v>
      </c>
      <c r="B2220">
        <v>5</v>
      </c>
      <c r="C2220">
        <v>0</v>
      </c>
      <c r="D2220">
        <v>37</v>
      </c>
      <c r="E2220">
        <v>0</v>
      </c>
      <c r="F2220">
        <v>305</v>
      </c>
      <c r="G2220">
        <v>6</v>
      </c>
      <c r="H2220">
        <v>7</v>
      </c>
      <c r="I2220">
        <v>2</v>
      </c>
      <c r="J2220">
        <v>2</v>
      </c>
      <c r="K2220">
        <v>1</v>
      </c>
      <c r="L2220">
        <v>2</v>
      </c>
      <c r="M2220">
        <v>25</v>
      </c>
      <c r="N2220">
        <v>45.494999999999997</v>
      </c>
      <c r="O2220">
        <v>1</v>
      </c>
      <c r="P22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20" t="str">
        <f>IF(Table1[[#This Row],[Fraud_Score]]&gt;=6, "High Risk",IF(Table1[[#This Row],[Fraud_Score]]&gt;=3, "Medium Risk", "Low Risk"))</f>
        <v>Low Risk</v>
      </c>
      <c r="R2220">
        <f>IF(Table1[[#This Row],[Seconds of Use]]=0,0,Table1[[#This Row],[Customer Value]]/Table1[[#This Row],[Seconds of Use]]*100)</f>
        <v>14.916393442622949</v>
      </c>
    </row>
    <row r="2221" spans="1:18" x14ac:dyDescent="0.35">
      <c r="A2221" s="3" t="s">
        <v>2242</v>
      </c>
      <c r="B2221">
        <v>5</v>
      </c>
      <c r="C2221">
        <v>0</v>
      </c>
      <c r="D2221">
        <v>37</v>
      </c>
      <c r="E2221">
        <v>1</v>
      </c>
      <c r="F2221">
        <v>7753</v>
      </c>
      <c r="G2221">
        <v>130</v>
      </c>
      <c r="H2221">
        <v>386</v>
      </c>
      <c r="I2221">
        <v>43</v>
      </c>
      <c r="J2221">
        <v>3</v>
      </c>
      <c r="K2221">
        <v>1</v>
      </c>
      <c r="L2221">
        <v>1</v>
      </c>
      <c r="M2221">
        <v>30</v>
      </c>
      <c r="N2221">
        <v>1859.32</v>
      </c>
      <c r="O2221">
        <v>0</v>
      </c>
      <c r="P22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21" t="str">
        <f>IF(Table1[[#This Row],[Fraud_Score]]&gt;=6, "High Risk",IF(Table1[[#This Row],[Fraud_Score]]&gt;=3, "Medium Risk", "Low Risk"))</f>
        <v>Low Risk</v>
      </c>
      <c r="R2221">
        <f>IF(Table1[[#This Row],[Seconds of Use]]=0,0,Table1[[#This Row],[Customer Value]]/Table1[[#This Row],[Seconds of Use]]*100)</f>
        <v>23.981942473881077</v>
      </c>
    </row>
    <row r="2222" spans="1:18" x14ac:dyDescent="0.35">
      <c r="A2222" s="3" t="s">
        <v>2243</v>
      </c>
      <c r="B2222">
        <v>9</v>
      </c>
      <c r="C2222">
        <v>0</v>
      </c>
      <c r="D2222">
        <v>37</v>
      </c>
      <c r="E2222">
        <v>1</v>
      </c>
      <c r="F2222">
        <v>11710</v>
      </c>
      <c r="G2222">
        <v>157</v>
      </c>
      <c r="H2222">
        <v>13</v>
      </c>
      <c r="I2222">
        <v>47</v>
      </c>
      <c r="J2222">
        <v>4</v>
      </c>
      <c r="K2222">
        <v>1</v>
      </c>
      <c r="L2222">
        <v>1</v>
      </c>
      <c r="M2222">
        <v>45</v>
      </c>
      <c r="N2222">
        <v>329.17500000000001</v>
      </c>
      <c r="O2222">
        <v>0</v>
      </c>
      <c r="P22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22" t="str">
        <f>IF(Table1[[#This Row],[Fraud_Score]]&gt;=6, "High Risk",IF(Table1[[#This Row],[Fraud_Score]]&gt;=3, "Medium Risk", "Low Risk"))</f>
        <v>Low Risk</v>
      </c>
      <c r="R2222">
        <f>IF(Table1[[#This Row],[Seconds of Use]]=0,0,Table1[[#This Row],[Customer Value]]/Table1[[#This Row],[Seconds of Use]]*100)</f>
        <v>2.8110589239965842</v>
      </c>
    </row>
    <row r="2223" spans="1:18" x14ac:dyDescent="0.35">
      <c r="A2223" s="3" t="s">
        <v>2244</v>
      </c>
      <c r="B2223">
        <v>10</v>
      </c>
      <c r="C2223">
        <v>0</v>
      </c>
      <c r="D2223">
        <v>37</v>
      </c>
      <c r="E2223">
        <v>1</v>
      </c>
      <c r="F2223">
        <v>6963</v>
      </c>
      <c r="G2223">
        <v>78</v>
      </c>
      <c r="H2223">
        <v>110</v>
      </c>
      <c r="I2223">
        <v>37</v>
      </c>
      <c r="J2223">
        <v>2</v>
      </c>
      <c r="K2223">
        <v>1</v>
      </c>
      <c r="L2223">
        <v>1</v>
      </c>
      <c r="M2223">
        <v>25</v>
      </c>
      <c r="N2223">
        <v>811.84500000000003</v>
      </c>
      <c r="O2223">
        <v>0</v>
      </c>
      <c r="P22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23" t="str">
        <f>IF(Table1[[#This Row],[Fraud_Score]]&gt;=6, "High Risk",IF(Table1[[#This Row],[Fraud_Score]]&gt;=3, "Medium Risk", "Low Risk"))</f>
        <v>Low Risk</v>
      </c>
      <c r="R2223">
        <f>IF(Table1[[#This Row],[Seconds of Use]]=0,0,Table1[[#This Row],[Customer Value]]/Table1[[#This Row],[Seconds of Use]]*100)</f>
        <v>11.659414045669971</v>
      </c>
    </row>
    <row r="2224" spans="1:18" x14ac:dyDescent="0.35">
      <c r="A2224" s="3" t="s">
        <v>2245</v>
      </c>
      <c r="B2224">
        <v>25</v>
      </c>
      <c r="C2224">
        <v>1</v>
      </c>
      <c r="D2224">
        <v>33</v>
      </c>
      <c r="E2224">
        <v>0</v>
      </c>
      <c r="F2224">
        <v>1200</v>
      </c>
      <c r="G2224">
        <v>50</v>
      </c>
      <c r="H2224">
        <v>18</v>
      </c>
      <c r="I2224">
        <v>17</v>
      </c>
      <c r="J2224">
        <v>3</v>
      </c>
      <c r="K2224">
        <v>1</v>
      </c>
      <c r="L2224">
        <v>2</v>
      </c>
      <c r="M2224">
        <v>30</v>
      </c>
      <c r="N2224">
        <v>122</v>
      </c>
      <c r="O2224">
        <v>1</v>
      </c>
      <c r="P22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24" t="str">
        <f>IF(Table1[[#This Row],[Fraud_Score]]&gt;=6, "High Risk",IF(Table1[[#This Row],[Fraud_Score]]&gt;=3, "Medium Risk", "Low Risk"))</f>
        <v>Medium Risk</v>
      </c>
      <c r="R2224">
        <f>IF(Table1[[#This Row],[Seconds of Use]]=0,0,Table1[[#This Row],[Customer Value]]/Table1[[#This Row],[Seconds of Use]]*100)</f>
        <v>10.166666666666666</v>
      </c>
    </row>
    <row r="2225" spans="1:18" x14ac:dyDescent="0.35">
      <c r="A2225" s="3" t="s">
        <v>2246</v>
      </c>
      <c r="B2225">
        <v>23</v>
      </c>
      <c r="C2225">
        <v>0</v>
      </c>
      <c r="D2225">
        <v>36</v>
      </c>
      <c r="E2225">
        <v>8</v>
      </c>
      <c r="F2225">
        <v>10680</v>
      </c>
      <c r="G2225">
        <v>96</v>
      </c>
      <c r="H2225">
        <v>7</v>
      </c>
      <c r="I2225">
        <v>42</v>
      </c>
      <c r="J2225">
        <v>5</v>
      </c>
      <c r="K2225">
        <v>1</v>
      </c>
      <c r="L2225">
        <v>1</v>
      </c>
      <c r="M2225">
        <v>55</v>
      </c>
      <c r="N2225">
        <v>172.14</v>
      </c>
      <c r="O2225">
        <v>0</v>
      </c>
      <c r="P22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25" t="str">
        <f>IF(Table1[[#This Row],[Fraud_Score]]&gt;=6, "High Risk",IF(Table1[[#This Row],[Fraud_Score]]&gt;=3, "Medium Risk", "Low Risk"))</f>
        <v>Low Risk</v>
      </c>
      <c r="R2225">
        <f>IF(Table1[[#This Row],[Seconds of Use]]=0,0,Table1[[#This Row],[Customer Value]]/Table1[[#This Row],[Seconds of Use]]*100)</f>
        <v>1.6117977528089886</v>
      </c>
    </row>
    <row r="2226" spans="1:18" x14ac:dyDescent="0.35">
      <c r="A2226" s="3" t="s">
        <v>2247</v>
      </c>
      <c r="B2226">
        <v>15</v>
      </c>
      <c r="C2226">
        <v>0</v>
      </c>
      <c r="D2226">
        <v>36</v>
      </c>
      <c r="E2226">
        <v>1</v>
      </c>
      <c r="F2226">
        <v>6063</v>
      </c>
      <c r="G2226">
        <v>101</v>
      </c>
      <c r="H2226">
        <v>28</v>
      </c>
      <c r="I2226">
        <v>24</v>
      </c>
      <c r="J2226">
        <v>2</v>
      </c>
      <c r="K2226">
        <v>1</v>
      </c>
      <c r="L2226">
        <v>1</v>
      </c>
      <c r="M2226">
        <v>25</v>
      </c>
      <c r="N2226">
        <v>403.38</v>
      </c>
      <c r="O2226">
        <v>0</v>
      </c>
      <c r="P22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26" t="str">
        <f>IF(Table1[[#This Row],[Fraud_Score]]&gt;=6, "High Risk",IF(Table1[[#This Row],[Fraud_Score]]&gt;=3, "Medium Risk", "Low Risk"))</f>
        <v>Low Risk</v>
      </c>
      <c r="R2226">
        <f>IF(Table1[[#This Row],[Seconds of Use]]=0,0,Table1[[#This Row],[Customer Value]]/Table1[[#This Row],[Seconds of Use]]*100)</f>
        <v>6.6531420089064817</v>
      </c>
    </row>
    <row r="2227" spans="1:18" x14ac:dyDescent="0.35">
      <c r="A2227" s="3" t="s">
        <v>2248</v>
      </c>
      <c r="B2227">
        <v>5</v>
      </c>
      <c r="C2227">
        <v>0</v>
      </c>
      <c r="D2227">
        <v>34</v>
      </c>
      <c r="E2227">
        <v>1</v>
      </c>
      <c r="F2227">
        <v>3085</v>
      </c>
      <c r="G2227">
        <v>25</v>
      </c>
      <c r="H2227">
        <v>7</v>
      </c>
      <c r="I2227">
        <v>14</v>
      </c>
      <c r="J2227">
        <v>3</v>
      </c>
      <c r="K2227">
        <v>1</v>
      </c>
      <c r="L2227">
        <v>1</v>
      </c>
      <c r="M2227">
        <v>30</v>
      </c>
      <c r="N2227">
        <v>152.4</v>
      </c>
      <c r="O2227">
        <v>0</v>
      </c>
      <c r="P22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27" t="str">
        <f>IF(Table1[[#This Row],[Fraud_Score]]&gt;=6, "High Risk",IF(Table1[[#This Row],[Fraud_Score]]&gt;=3, "Medium Risk", "Low Risk"))</f>
        <v>Low Risk</v>
      </c>
      <c r="R2227">
        <f>IF(Table1[[#This Row],[Seconds of Use]]=0,0,Table1[[#This Row],[Customer Value]]/Table1[[#This Row],[Seconds of Use]]*100)</f>
        <v>4.940032414910859</v>
      </c>
    </row>
    <row r="2228" spans="1:18" x14ac:dyDescent="0.35">
      <c r="A2228" s="3" t="s">
        <v>2249</v>
      </c>
      <c r="B2228">
        <v>11</v>
      </c>
      <c r="C2228">
        <v>0</v>
      </c>
      <c r="D2228">
        <v>35</v>
      </c>
      <c r="E2228">
        <v>0</v>
      </c>
      <c r="F2228">
        <v>3235</v>
      </c>
      <c r="G2228">
        <v>44</v>
      </c>
      <c r="H2228">
        <v>11</v>
      </c>
      <c r="I2228">
        <v>16</v>
      </c>
      <c r="J2228">
        <v>3</v>
      </c>
      <c r="K2228">
        <v>1</v>
      </c>
      <c r="L2228">
        <v>2</v>
      </c>
      <c r="M2228">
        <v>30</v>
      </c>
      <c r="N2228">
        <v>175.16</v>
      </c>
      <c r="O2228">
        <v>1</v>
      </c>
      <c r="P22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28" t="str">
        <f>IF(Table1[[#This Row],[Fraud_Score]]&gt;=6, "High Risk",IF(Table1[[#This Row],[Fraud_Score]]&gt;=3, "Medium Risk", "Low Risk"))</f>
        <v>Medium Risk</v>
      </c>
      <c r="R2228">
        <f>IF(Table1[[#This Row],[Seconds of Use]]=0,0,Table1[[#This Row],[Customer Value]]/Table1[[#This Row],[Seconds of Use]]*100)</f>
        <v>5.4145285935085008</v>
      </c>
    </row>
    <row r="2229" spans="1:18" x14ac:dyDescent="0.35">
      <c r="A2229" s="3" t="s">
        <v>2250</v>
      </c>
      <c r="B2229">
        <v>11</v>
      </c>
      <c r="C2229">
        <v>1</v>
      </c>
      <c r="D2229">
        <v>36</v>
      </c>
      <c r="E2229">
        <v>0</v>
      </c>
      <c r="F2229">
        <v>2513</v>
      </c>
      <c r="G2229">
        <v>47</v>
      </c>
      <c r="H2229">
        <v>36</v>
      </c>
      <c r="I2229">
        <v>31</v>
      </c>
      <c r="J2229">
        <v>3</v>
      </c>
      <c r="K2229">
        <v>1</v>
      </c>
      <c r="L2229">
        <v>2</v>
      </c>
      <c r="M2229">
        <v>30</v>
      </c>
      <c r="N2229">
        <v>246.4</v>
      </c>
      <c r="O2229">
        <v>1</v>
      </c>
      <c r="P22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29" t="str">
        <f>IF(Table1[[#This Row],[Fraud_Score]]&gt;=6, "High Risk",IF(Table1[[#This Row],[Fraud_Score]]&gt;=3, "Medium Risk", "Low Risk"))</f>
        <v>Medium Risk</v>
      </c>
      <c r="R2229">
        <f>IF(Table1[[#This Row],[Seconds of Use]]=0,0,Table1[[#This Row],[Customer Value]]/Table1[[#This Row],[Seconds of Use]]*100)</f>
        <v>9.8050139275766011</v>
      </c>
    </row>
    <row r="2230" spans="1:18" x14ac:dyDescent="0.35">
      <c r="A2230" s="3" t="s">
        <v>2251</v>
      </c>
      <c r="B2230">
        <v>5</v>
      </c>
      <c r="C2230">
        <v>0</v>
      </c>
      <c r="D2230">
        <v>36</v>
      </c>
      <c r="E2230">
        <v>0</v>
      </c>
      <c r="F2230">
        <v>305</v>
      </c>
      <c r="G2230">
        <v>6</v>
      </c>
      <c r="H2230">
        <v>7</v>
      </c>
      <c r="I2230">
        <v>2</v>
      </c>
      <c r="J2230">
        <v>3</v>
      </c>
      <c r="K2230">
        <v>1</v>
      </c>
      <c r="L2230">
        <v>2</v>
      </c>
      <c r="M2230">
        <v>30</v>
      </c>
      <c r="N2230">
        <v>40.44</v>
      </c>
      <c r="O2230">
        <v>1</v>
      </c>
      <c r="P22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30" t="str">
        <f>IF(Table1[[#This Row],[Fraud_Score]]&gt;=6, "High Risk",IF(Table1[[#This Row],[Fraud_Score]]&gt;=3, "Medium Risk", "Low Risk"))</f>
        <v>Low Risk</v>
      </c>
      <c r="R2230">
        <f>IF(Table1[[#This Row],[Seconds of Use]]=0,0,Table1[[#This Row],[Customer Value]]/Table1[[#This Row],[Seconds of Use]]*100)</f>
        <v>13.259016393442622</v>
      </c>
    </row>
    <row r="2231" spans="1:18" x14ac:dyDescent="0.35">
      <c r="A2231" s="3" t="s">
        <v>2252</v>
      </c>
      <c r="B2231">
        <v>5</v>
      </c>
      <c r="C2231">
        <v>0</v>
      </c>
      <c r="D2231">
        <v>36</v>
      </c>
      <c r="E2231">
        <v>1</v>
      </c>
      <c r="F2231">
        <v>1913</v>
      </c>
      <c r="G2231">
        <v>28</v>
      </c>
      <c r="H2231">
        <v>7</v>
      </c>
      <c r="I2231">
        <v>6</v>
      </c>
      <c r="J2231">
        <v>4</v>
      </c>
      <c r="K2231">
        <v>1</v>
      </c>
      <c r="L2231">
        <v>1</v>
      </c>
      <c r="M2231">
        <v>45</v>
      </c>
      <c r="N2231">
        <v>66.025000000000006</v>
      </c>
      <c r="O2231">
        <v>0</v>
      </c>
      <c r="P22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31" t="str">
        <f>IF(Table1[[#This Row],[Fraud_Score]]&gt;=6, "High Risk",IF(Table1[[#This Row],[Fraud_Score]]&gt;=3, "Medium Risk", "Low Risk"))</f>
        <v>Low Risk</v>
      </c>
      <c r="R2231">
        <f>IF(Table1[[#This Row],[Seconds of Use]]=0,0,Table1[[#This Row],[Customer Value]]/Table1[[#This Row],[Seconds of Use]]*100)</f>
        <v>3.4513852587558813</v>
      </c>
    </row>
    <row r="2232" spans="1:18" x14ac:dyDescent="0.35">
      <c r="A2232" s="3" t="s">
        <v>2253</v>
      </c>
      <c r="B2232">
        <v>5</v>
      </c>
      <c r="C2232">
        <v>0</v>
      </c>
      <c r="D2232">
        <v>33</v>
      </c>
      <c r="E2232">
        <v>1</v>
      </c>
      <c r="F2232">
        <v>7030</v>
      </c>
      <c r="G2232">
        <v>100</v>
      </c>
      <c r="H2232">
        <v>16</v>
      </c>
      <c r="I2232">
        <v>22</v>
      </c>
      <c r="J2232">
        <v>5</v>
      </c>
      <c r="K2232">
        <v>1</v>
      </c>
      <c r="L2232">
        <v>1</v>
      </c>
      <c r="M2232">
        <v>55</v>
      </c>
      <c r="N2232">
        <v>130.94999999999999</v>
      </c>
      <c r="O2232">
        <v>0</v>
      </c>
      <c r="P22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32" t="str">
        <f>IF(Table1[[#This Row],[Fraud_Score]]&gt;=6, "High Risk",IF(Table1[[#This Row],[Fraud_Score]]&gt;=3, "Medium Risk", "Low Risk"))</f>
        <v>Low Risk</v>
      </c>
      <c r="R2232">
        <f>IF(Table1[[#This Row],[Seconds of Use]]=0,0,Table1[[#This Row],[Customer Value]]/Table1[[#This Row],[Seconds of Use]]*100)</f>
        <v>1.8627311522048364</v>
      </c>
    </row>
    <row r="2233" spans="1:18" x14ac:dyDescent="0.35">
      <c r="A2233" s="3" t="s">
        <v>2254</v>
      </c>
      <c r="B2233">
        <v>5</v>
      </c>
      <c r="C2233">
        <v>0</v>
      </c>
      <c r="D2233">
        <v>36</v>
      </c>
      <c r="E2233">
        <v>0</v>
      </c>
      <c r="F2233">
        <v>873</v>
      </c>
      <c r="G2233">
        <v>10</v>
      </c>
      <c r="H2233">
        <v>11</v>
      </c>
      <c r="I2233">
        <v>4</v>
      </c>
      <c r="J2233">
        <v>4</v>
      </c>
      <c r="K2233">
        <v>1</v>
      </c>
      <c r="L2233">
        <v>2</v>
      </c>
      <c r="M2233">
        <v>45</v>
      </c>
      <c r="N2233">
        <v>49.575000000000003</v>
      </c>
      <c r="O2233">
        <v>1</v>
      </c>
      <c r="P22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33" t="str">
        <f>IF(Table1[[#This Row],[Fraud_Score]]&gt;=6, "High Risk",IF(Table1[[#This Row],[Fraud_Score]]&gt;=3, "Medium Risk", "Low Risk"))</f>
        <v>Low Risk</v>
      </c>
      <c r="R2233">
        <f>IF(Table1[[#This Row],[Seconds of Use]]=0,0,Table1[[#This Row],[Customer Value]]/Table1[[#This Row],[Seconds of Use]]*100)</f>
        <v>5.6786941580756016</v>
      </c>
    </row>
    <row r="2234" spans="1:18" x14ac:dyDescent="0.35">
      <c r="A2234" s="3" t="s">
        <v>2255</v>
      </c>
      <c r="B2234">
        <v>5</v>
      </c>
      <c r="C2234">
        <v>0</v>
      </c>
      <c r="D2234">
        <v>36</v>
      </c>
      <c r="E2234">
        <v>1</v>
      </c>
      <c r="F2234">
        <v>305</v>
      </c>
      <c r="G2234">
        <v>6</v>
      </c>
      <c r="H2234">
        <v>7</v>
      </c>
      <c r="I2234">
        <v>2</v>
      </c>
      <c r="J2234">
        <v>5</v>
      </c>
      <c r="K2234">
        <v>1</v>
      </c>
      <c r="L2234">
        <v>1</v>
      </c>
      <c r="M2234">
        <v>55</v>
      </c>
      <c r="N2234">
        <v>15.164999999999999</v>
      </c>
      <c r="O2234">
        <v>0</v>
      </c>
      <c r="P22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34" t="str">
        <f>IF(Table1[[#This Row],[Fraud_Score]]&gt;=6, "High Risk",IF(Table1[[#This Row],[Fraud_Score]]&gt;=3, "Medium Risk", "Low Risk"))</f>
        <v>Low Risk</v>
      </c>
      <c r="R2234">
        <f>IF(Table1[[#This Row],[Seconds of Use]]=0,0,Table1[[#This Row],[Customer Value]]/Table1[[#This Row],[Seconds of Use]]*100)</f>
        <v>4.9721311475409831</v>
      </c>
    </row>
    <row r="2235" spans="1:18" x14ac:dyDescent="0.35">
      <c r="A2235" s="3" t="s">
        <v>2256</v>
      </c>
      <c r="B2235">
        <v>27</v>
      </c>
      <c r="C2235">
        <v>0</v>
      </c>
      <c r="D2235">
        <v>31</v>
      </c>
      <c r="E2235">
        <v>3</v>
      </c>
      <c r="F2235">
        <v>16320</v>
      </c>
      <c r="G2235">
        <v>241</v>
      </c>
      <c r="H2235">
        <v>7</v>
      </c>
      <c r="I2235">
        <v>80</v>
      </c>
      <c r="J2235">
        <v>2</v>
      </c>
      <c r="K2235">
        <v>1</v>
      </c>
      <c r="L2235">
        <v>1</v>
      </c>
      <c r="M2235">
        <v>25</v>
      </c>
      <c r="N2235">
        <v>776.745</v>
      </c>
      <c r="O2235">
        <v>0</v>
      </c>
      <c r="P22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35" t="str">
        <f>IF(Table1[[#This Row],[Fraud_Score]]&gt;=6, "High Risk",IF(Table1[[#This Row],[Fraud_Score]]&gt;=3, "Medium Risk", "Low Risk"))</f>
        <v>Medium Risk</v>
      </c>
      <c r="R2235">
        <f>IF(Table1[[#This Row],[Seconds of Use]]=0,0,Table1[[#This Row],[Customer Value]]/Table1[[#This Row],[Seconds of Use]]*100)</f>
        <v>4.7594669117647062</v>
      </c>
    </row>
    <row r="2236" spans="1:18" x14ac:dyDescent="0.35">
      <c r="A2236" s="3" t="s">
        <v>2257</v>
      </c>
      <c r="B2236">
        <v>8</v>
      </c>
      <c r="C2236">
        <v>0</v>
      </c>
      <c r="D2236">
        <v>34</v>
      </c>
      <c r="E2236">
        <v>3</v>
      </c>
      <c r="F2236">
        <v>7210</v>
      </c>
      <c r="G2236">
        <v>119</v>
      </c>
      <c r="H2236">
        <v>273</v>
      </c>
      <c r="I2236">
        <v>33</v>
      </c>
      <c r="J2236">
        <v>2</v>
      </c>
      <c r="K2236">
        <v>2</v>
      </c>
      <c r="L2236">
        <v>1</v>
      </c>
      <c r="M2236">
        <v>25</v>
      </c>
      <c r="N2236">
        <v>1558.3050000000001</v>
      </c>
      <c r="O2236">
        <v>0</v>
      </c>
      <c r="P22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36" t="str">
        <f>IF(Table1[[#This Row],[Fraud_Score]]&gt;=6, "High Risk",IF(Table1[[#This Row],[Fraud_Score]]&gt;=3, "Medium Risk", "Low Risk"))</f>
        <v>Low Risk</v>
      </c>
      <c r="R2236">
        <f>IF(Table1[[#This Row],[Seconds of Use]]=0,0,Table1[[#This Row],[Customer Value]]/Table1[[#This Row],[Seconds of Use]]*100)</f>
        <v>21.613106796116504</v>
      </c>
    </row>
    <row r="2237" spans="1:18" x14ac:dyDescent="0.35">
      <c r="A2237" s="3" t="s">
        <v>2258</v>
      </c>
      <c r="B2237">
        <v>5</v>
      </c>
      <c r="C2237">
        <v>0</v>
      </c>
      <c r="D2237">
        <v>36</v>
      </c>
      <c r="E2237">
        <v>1</v>
      </c>
      <c r="F2237">
        <v>3963</v>
      </c>
      <c r="G2237">
        <v>85</v>
      </c>
      <c r="H2237">
        <v>7</v>
      </c>
      <c r="I2237">
        <v>28</v>
      </c>
      <c r="J2237">
        <v>3</v>
      </c>
      <c r="K2237">
        <v>1</v>
      </c>
      <c r="L2237">
        <v>1</v>
      </c>
      <c r="M2237">
        <v>30</v>
      </c>
      <c r="N2237">
        <v>189.92</v>
      </c>
      <c r="O2237">
        <v>0</v>
      </c>
      <c r="P22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37" t="str">
        <f>IF(Table1[[#This Row],[Fraud_Score]]&gt;=6, "High Risk",IF(Table1[[#This Row],[Fraud_Score]]&gt;=3, "Medium Risk", "Low Risk"))</f>
        <v>Low Risk</v>
      </c>
      <c r="R2237">
        <f>IF(Table1[[#This Row],[Seconds of Use]]=0,0,Table1[[#This Row],[Customer Value]]/Table1[[#This Row],[Seconds of Use]]*100)</f>
        <v>4.7923290436537975</v>
      </c>
    </row>
    <row r="2238" spans="1:18" x14ac:dyDescent="0.35">
      <c r="A2238" s="3" t="s">
        <v>2259</v>
      </c>
      <c r="B2238">
        <v>5</v>
      </c>
      <c r="C2238">
        <v>0</v>
      </c>
      <c r="D2238">
        <v>35</v>
      </c>
      <c r="E2238">
        <v>0</v>
      </c>
      <c r="F2238">
        <v>1910</v>
      </c>
      <c r="G2238">
        <v>47</v>
      </c>
      <c r="H2238">
        <v>40</v>
      </c>
      <c r="I2238">
        <v>20</v>
      </c>
      <c r="J2238">
        <v>3</v>
      </c>
      <c r="K2238">
        <v>1</v>
      </c>
      <c r="L2238">
        <v>2</v>
      </c>
      <c r="M2238">
        <v>30</v>
      </c>
      <c r="N2238">
        <v>238.28</v>
      </c>
      <c r="O2238">
        <v>0</v>
      </c>
      <c r="P22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38" t="str">
        <f>IF(Table1[[#This Row],[Fraud_Score]]&gt;=6, "High Risk",IF(Table1[[#This Row],[Fraud_Score]]&gt;=3, "Medium Risk", "Low Risk"))</f>
        <v>Low Risk</v>
      </c>
      <c r="R2238">
        <f>IF(Table1[[#This Row],[Seconds of Use]]=0,0,Table1[[#This Row],[Customer Value]]/Table1[[#This Row],[Seconds of Use]]*100)</f>
        <v>12.475392670157067</v>
      </c>
    </row>
    <row r="2239" spans="1:18" x14ac:dyDescent="0.35">
      <c r="A2239" s="3" t="s">
        <v>2260</v>
      </c>
      <c r="B2239">
        <v>8</v>
      </c>
      <c r="C2239">
        <v>0</v>
      </c>
      <c r="D2239">
        <v>36</v>
      </c>
      <c r="E2239">
        <v>1</v>
      </c>
      <c r="F2239">
        <v>3025</v>
      </c>
      <c r="G2239">
        <v>56</v>
      </c>
      <c r="H2239">
        <v>177</v>
      </c>
      <c r="I2239">
        <v>23</v>
      </c>
      <c r="J2239">
        <v>2</v>
      </c>
      <c r="K2239">
        <v>1</v>
      </c>
      <c r="L2239">
        <v>1</v>
      </c>
      <c r="M2239">
        <v>25</v>
      </c>
      <c r="N2239">
        <v>935.14499999999998</v>
      </c>
      <c r="O2239">
        <v>0</v>
      </c>
      <c r="P22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39" t="str">
        <f>IF(Table1[[#This Row],[Fraud_Score]]&gt;=6, "High Risk",IF(Table1[[#This Row],[Fraud_Score]]&gt;=3, "Medium Risk", "Low Risk"))</f>
        <v>Low Risk</v>
      </c>
      <c r="R2239">
        <f>IF(Table1[[#This Row],[Seconds of Use]]=0,0,Table1[[#This Row],[Customer Value]]/Table1[[#This Row],[Seconds of Use]]*100)</f>
        <v>30.91388429752066</v>
      </c>
    </row>
    <row r="2240" spans="1:18" x14ac:dyDescent="0.35">
      <c r="A2240" s="3" t="s">
        <v>2261</v>
      </c>
      <c r="B2240">
        <v>6</v>
      </c>
      <c r="C2240">
        <v>0</v>
      </c>
      <c r="D2240">
        <v>27</v>
      </c>
      <c r="E2240">
        <v>1</v>
      </c>
      <c r="F2240">
        <v>1560</v>
      </c>
      <c r="G2240">
        <v>39</v>
      </c>
      <c r="H2240">
        <v>195</v>
      </c>
      <c r="I2240">
        <v>11</v>
      </c>
      <c r="J2240">
        <v>2</v>
      </c>
      <c r="K2240">
        <v>2</v>
      </c>
      <c r="L2240">
        <v>1</v>
      </c>
      <c r="M2240">
        <v>25</v>
      </c>
      <c r="N2240">
        <v>949.45500000000004</v>
      </c>
      <c r="O2240">
        <v>0</v>
      </c>
      <c r="P22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40" t="str">
        <f>IF(Table1[[#This Row],[Fraud_Score]]&gt;=6, "High Risk",IF(Table1[[#This Row],[Fraud_Score]]&gt;=3, "Medium Risk", "Low Risk"))</f>
        <v>Low Risk</v>
      </c>
      <c r="R2240">
        <f>IF(Table1[[#This Row],[Seconds of Use]]=0,0,Table1[[#This Row],[Customer Value]]/Table1[[#This Row],[Seconds of Use]]*100)</f>
        <v>60.862499999999997</v>
      </c>
    </row>
    <row r="2241" spans="1:18" x14ac:dyDescent="0.35">
      <c r="A2241" s="3" t="s">
        <v>2262</v>
      </c>
      <c r="B2241">
        <v>6</v>
      </c>
      <c r="C2241">
        <v>0</v>
      </c>
      <c r="D2241">
        <v>26</v>
      </c>
      <c r="E2241">
        <v>1</v>
      </c>
      <c r="F2241">
        <v>1813</v>
      </c>
      <c r="G2241">
        <v>42</v>
      </c>
      <c r="H2241">
        <v>32</v>
      </c>
      <c r="I2241">
        <v>68</v>
      </c>
      <c r="J2241">
        <v>4</v>
      </c>
      <c r="K2241">
        <v>1</v>
      </c>
      <c r="L2241">
        <v>1</v>
      </c>
      <c r="M2241">
        <v>45</v>
      </c>
      <c r="N2241">
        <v>126.375</v>
      </c>
      <c r="O2241">
        <v>0</v>
      </c>
      <c r="P22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41" t="str">
        <f>IF(Table1[[#This Row],[Fraud_Score]]&gt;=6, "High Risk",IF(Table1[[#This Row],[Fraud_Score]]&gt;=3, "Medium Risk", "Low Risk"))</f>
        <v>Low Risk</v>
      </c>
      <c r="R2241">
        <f>IF(Table1[[#This Row],[Seconds of Use]]=0,0,Table1[[#This Row],[Customer Value]]/Table1[[#This Row],[Seconds of Use]]*100)</f>
        <v>6.9704908990623275</v>
      </c>
    </row>
    <row r="2242" spans="1:18" x14ac:dyDescent="0.35">
      <c r="A2242" s="3" t="s">
        <v>2263</v>
      </c>
      <c r="B2242">
        <v>13</v>
      </c>
      <c r="C2242">
        <v>0</v>
      </c>
      <c r="D2242">
        <v>27</v>
      </c>
      <c r="E2242">
        <v>0</v>
      </c>
      <c r="F2242">
        <v>945</v>
      </c>
      <c r="G2242">
        <v>28</v>
      </c>
      <c r="H2242">
        <v>12</v>
      </c>
      <c r="I2242">
        <v>7</v>
      </c>
      <c r="J2242">
        <v>3</v>
      </c>
      <c r="K2242">
        <v>1</v>
      </c>
      <c r="L2242">
        <v>2</v>
      </c>
      <c r="M2242">
        <v>30</v>
      </c>
      <c r="N2242">
        <v>86.92</v>
      </c>
      <c r="O2242">
        <v>0</v>
      </c>
      <c r="P22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42" t="str">
        <f>IF(Table1[[#This Row],[Fraud_Score]]&gt;=6, "High Risk",IF(Table1[[#This Row],[Fraud_Score]]&gt;=3, "Medium Risk", "Low Risk"))</f>
        <v>Medium Risk</v>
      </c>
      <c r="R2242">
        <f>IF(Table1[[#This Row],[Seconds of Use]]=0,0,Table1[[#This Row],[Customer Value]]/Table1[[#This Row],[Seconds of Use]]*100)</f>
        <v>9.1978835978835978</v>
      </c>
    </row>
    <row r="2243" spans="1:18" x14ac:dyDescent="0.35">
      <c r="A2243" s="3" t="s">
        <v>2264</v>
      </c>
      <c r="B2243">
        <v>5</v>
      </c>
      <c r="C2243">
        <v>0</v>
      </c>
      <c r="D2243">
        <v>26</v>
      </c>
      <c r="E2243">
        <v>0</v>
      </c>
      <c r="F2243">
        <v>1070</v>
      </c>
      <c r="G2243">
        <v>13</v>
      </c>
      <c r="H2243">
        <v>23</v>
      </c>
      <c r="I2243">
        <v>3</v>
      </c>
      <c r="J2243">
        <v>4</v>
      </c>
      <c r="K2243">
        <v>1</v>
      </c>
      <c r="L2243">
        <v>2</v>
      </c>
      <c r="M2243">
        <v>45</v>
      </c>
      <c r="N2243">
        <v>84.575000000000003</v>
      </c>
      <c r="O2243">
        <v>0</v>
      </c>
      <c r="P22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43" t="str">
        <f>IF(Table1[[#This Row],[Fraud_Score]]&gt;=6, "High Risk",IF(Table1[[#This Row],[Fraud_Score]]&gt;=3, "Medium Risk", "Low Risk"))</f>
        <v>Low Risk</v>
      </c>
      <c r="R2243">
        <f>IF(Table1[[#This Row],[Seconds of Use]]=0,0,Table1[[#This Row],[Customer Value]]/Table1[[#This Row],[Seconds of Use]]*100)</f>
        <v>7.9042056074766363</v>
      </c>
    </row>
    <row r="2244" spans="1:18" x14ac:dyDescent="0.35">
      <c r="A2244" s="3" t="s">
        <v>2265</v>
      </c>
      <c r="B2244">
        <v>12</v>
      </c>
      <c r="C2244">
        <v>0</v>
      </c>
      <c r="D2244">
        <v>25</v>
      </c>
      <c r="E2244">
        <v>1</v>
      </c>
      <c r="F2244">
        <v>1470</v>
      </c>
      <c r="G2244">
        <v>35</v>
      </c>
      <c r="H2244">
        <v>21</v>
      </c>
      <c r="I2244">
        <v>13</v>
      </c>
      <c r="J2244">
        <v>2</v>
      </c>
      <c r="K2244">
        <v>1</v>
      </c>
      <c r="L2244">
        <v>1</v>
      </c>
      <c r="M2244">
        <v>25</v>
      </c>
      <c r="N2244">
        <v>162.22499999999999</v>
      </c>
      <c r="O2244">
        <v>0</v>
      </c>
      <c r="P22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44" t="str">
        <f>IF(Table1[[#This Row],[Fraud_Score]]&gt;=6, "High Risk",IF(Table1[[#This Row],[Fraud_Score]]&gt;=3, "Medium Risk", "Low Risk"))</f>
        <v>Low Risk</v>
      </c>
      <c r="R2244">
        <f>IF(Table1[[#This Row],[Seconds of Use]]=0,0,Table1[[#This Row],[Customer Value]]/Table1[[#This Row],[Seconds of Use]]*100)</f>
        <v>11.035714285714285</v>
      </c>
    </row>
    <row r="2245" spans="1:18" x14ac:dyDescent="0.35">
      <c r="A2245" s="3" t="s">
        <v>2266</v>
      </c>
      <c r="B2245">
        <v>5</v>
      </c>
      <c r="C2245">
        <v>0</v>
      </c>
      <c r="D2245">
        <v>25</v>
      </c>
      <c r="E2245">
        <v>1</v>
      </c>
      <c r="F2245">
        <v>3470</v>
      </c>
      <c r="G2245">
        <v>64</v>
      </c>
      <c r="H2245">
        <v>10</v>
      </c>
      <c r="I2245">
        <v>23</v>
      </c>
      <c r="J2245">
        <v>3</v>
      </c>
      <c r="K2245">
        <v>1</v>
      </c>
      <c r="L2245">
        <v>1</v>
      </c>
      <c r="M2245">
        <v>30</v>
      </c>
      <c r="N2245">
        <v>181.36</v>
      </c>
      <c r="O2245">
        <v>0</v>
      </c>
      <c r="P22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45" t="str">
        <f>IF(Table1[[#This Row],[Fraud_Score]]&gt;=6, "High Risk",IF(Table1[[#This Row],[Fraud_Score]]&gt;=3, "Medium Risk", "Low Risk"))</f>
        <v>Low Risk</v>
      </c>
      <c r="R2245">
        <f>IF(Table1[[#This Row],[Seconds of Use]]=0,0,Table1[[#This Row],[Customer Value]]/Table1[[#This Row],[Seconds of Use]]*100)</f>
        <v>5.226512968299712</v>
      </c>
    </row>
    <row r="2246" spans="1:18" x14ac:dyDescent="0.35">
      <c r="A2246" s="3" t="s">
        <v>2267</v>
      </c>
      <c r="B2246">
        <v>5</v>
      </c>
      <c r="C2246">
        <v>0</v>
      </c>
      <c r="D2246">
        <v>18</v>
      </c>
      <c r="E2246">
        <v>1</v>
      </c>
      <c r="F2246">
        <v>1940</v>
      </c>
      <c r="G2246">
        <v>29</v>
      </c>
      <c r="H2246">
        <v>30</v>
      </c>
      <c r="I2246">
        <v>14</v>
      </c>
      <c r="J2246">
        <v>2</v>
      </c>
      <c r="K2246">
        <v>1</v>
      </c>
      <c r="L2246">
        <v>1</v>
      </c>
      <c r="M2246">
        <v>25</v>
      </c>
      <c r="N2246">
        <v>223.60499999999999</v>
      </c>
      <c r="O2246">
        <v>0</v>
      </c>
      <c r="P22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46" t="str">
        <f>IF(Table1[[#This Row],[Fraud_Score]]&gt;=6, "High Risk",IF(Table1[[#This Row],[Fraud_Score]]&gt;=3, "Medium Risk", "Low Risk"))</f>
        <v>Low Risk</v>
      </c>
      <c r="R2246">
        <f>IF(Table1[[#This Row],[Seconds of Use]]=0,0,Table1[[#This Row],[Customer Value]]/Table1[[#This Row],[Seconds of Use]]*100)</f>
        <v>11.526030927835052</v>
      </c>
    </row>
    <row r="2247" spans="1:18" x14ac:dyDescent="0.35">
      <c r="A2247" s="3" t="s">
        <v>2268</v>
      </c>
      <c r="B2247">
        <v>18</v>
      </c>
      <c r="C2247">
        <v>0</v>
      </c>
      <c r="D2247">
        <v>17</v>
      </c>
      <c r="E2247">
        <v>1</v>
      </c>
      <c r="F2247">
        <v>6638</v>
      </c>
      <c r="G2247">
        <v>144</v>
      </c>
      <c r="H2247">
        <v>87</v>
      </c>
      <c r="I2247">
        <v>42</v>
      </c>
      <c r="J2247">
        <v>2</v>
      </c>
      <c r="K2247">
        <v>2</v>
      </c>
      <c r="L2247">
        <v>1</v>
      </c>
      <c r="M2247">
        <v>25</v>
      </c>
      <c r="N2247">
        <v>696.69</v>
      </c>
      <c r="O2247">
        <v>0</v>
      </c>
      <c r="P22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47" t="str">
        <f>IF(Table1[[#This Row],[Fraud_Score]]&gt;=6, "High Risk",IF(Table1[[#This Row],[Fraud_Score]]&gt;=3, "Medium Risk", "Low Risk"))</f>
        <v>Medium Risk</v>
      </c>
      <c r="R2247">
        <f>IF(Table1[[#This Row],[Seconds of Use]]=0,0,Table1[[#This Row],[Customer Value]]/Table1[[#This Row],[Seconds of Use]]*100)</f>
        <v>10.495480566435674</v>
      </c>
    </row>
    <row r="2248" spans="1:18" x14ac:dyDescent="0.35">
      <c r="A2248" s="3" t="s">
        <v>2269</v>
      </c>
      <c r="B2248">
        <v>14</v>
      </c>
      <c r="C2248">
        <v>0</v>
      </c>
      <c r="D2248">
        <v>15</v>
      </c>
      <c r="E2248">
        <v>1</v>
      </c>
      <c r="F2248">
        <v>9178</v>
      </c>
      <c r="G2248">
        <v>174</v>
      </c>
      <c r="H2248">
        <v>75</v>
      </c>
      <c r="I2248">
        <v>40</v>
      </c>
      <c r="J2248">
        <v>5</v>
      </c>
      <c r="K2248">
        <v>1</v>
      </c>
      <c r="L2248">
        <v>1</v>
      </c>
      <c r="M2248">
        <v>55</v>
      </c>
      <c r="N2248">
        <v>252.78</v>
      </c>
      <c r="O2248">
        <v>0</v>
      </c>
      <c r="P22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48" t="str">
        <f>IF(Table1[[#This Row],[Fraud_Score]]&gt;=6, "High Risk",IF(Table1[[#This Row],[Fraud_Score]]&gt;=3, "Medium Risk", "Low Risk"))</f>
        <v>Medium Risk</v>
      </c>
      <c r="R2248">
        <f>IF(Table1[[#This Row],[Seconds of Use]]=0,0,Table1[[#This Row],[Customer Value]]/Table1[[#This Row],[Seconds of Use]]*100)</f>
        <v>2.7541948136848986</v>
      </c>
    </row>
    <row r="2249" spans="1:18" x14ac:dyDescent="0.35">
      <c r="A2249" s="3" t="s">
        <v>2270</v>
      </c>
      <c r="B2249">
        <v>10</v>
      </c>
      <c r="C2249">
        <v>0</v>
      </c>
      <c r="D2249">
        <v>16</v>
      </c>
      <c r="E2249">
        <v>3</v>
      </c>
      <c r="F2249">
        <v>3098</v>
      </c>
      <c r="G2249">
        <v>48</v>
      </c>
      <c r="H2249">
        <v>33</v>
      </c>
      <c r="I2249">
        <v>19</v>
      </c>
      <c r="J2249">
        <v>3</v>
      </c>
      <c r="K2249">
        <v>1</v>
      </c>
      <c r="L2249">
        <v>1</v>
      </c>
      <c r="M2249">
        <v>30</v>
      </c>
      <c r="N2249">
        <v>257.83999999999997</v>
      </c>
      <c r="O2249">
        <v>0</v>
      </c>
      <c r="P22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49" t="str">
        <f>IF(Table1[[#This Row],[Fraud_Score]]&gt;=6, "High Risk",IF(Table1[[#This Row],[Fraud_Score]]&gt;=3, "Medium Risk", "Low Risk"))</f>
        <v>Low Risk</v>
      </c>
      <c r="R2249">
        <f>IF(Table1[[#This Row],[Seconds of Use]]=0,0,Table1[[#This Row],[Customer Value]]/Table1[[#This Row],[Seconds of Use]]*100)</f>
        <v>8.3227888960619758</v>
      </c>
    </row>
    <row r="2250" spans="1:18" x14ac:dyDescent="0.35">
      <c r="A2250" s="3" t="s">
        <v>2271</v>
      </c>
      <c r="B2250">
        <v>5</v>
      </c>
      <c r="C2250">
        <v>0</v>
      </c>
      <c r="D2250">
        <v>9</v>
      </c>
      <c r="E2250">
        <v>1</v>
      </c>
      <c r="F2250">
        <v>4635</v>
      </c>
      <c r="G2250">
        <v>43</v>
      </c>
      <c r="H2250">
        <v>217</v>
      </c>
      <c r="I2250">
        <v>10</v>
      </c>
      <c r="J2250">
        <v>3</v>
      </c>
      <c r="K2250">
        <v>1</v>
      </c>
      <c r="L2250">
        <v>1</v>
      </c>
      <c r="M2250">
        <v>30</v>
      </c>
      <c r="N2250">
        <v>1055.1199999999999</v>
      </c>
      <c r="O2250">
        <v>0</v>
      </c>
      <c r="P22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50" t="str">
        <f>IF(Table1[[#This Row],[Fraud_Score]]&gt;=6, "High Risk",IF(Table1[[#This Row],[Fraud_Score]]&gt;=3, "Medium Risk", "Low Risk"))</f>
        <v>Low Risk</v>
      </c>
      <c r="R2250">
        <f>IF(Table1[[#This Row],[Seconds of Use]]=0,0,Table1[[#This Row],[Customer Value]]/Table1[[#This Row],[Seconds of Use]]*100)</f>
        <v>22.764185544768068</v>
      </c>
    </row>
    <row r="2251" spans="1:18" x14ac:dyDescent="0.35">
      <c r="A2251" s="3" t="s">
        <v>2272</v>
      </c>
      <c r="B2251">
        <v>5</v>
      </c>
      <c r="C2251">
        <v>1</v>
      </c>
      <c r="D2251">
        <v>9</v>
      </c>
      <c r="E2251">
        <v>1</v>
      </c>
      <c r="F2251">
        <v>1733</v>
      </c>
      <c r="G2251">
        <v>22</v>
      </c>
      <c r="H2251">
        <v>7</v>
      </c>
      <c r="I2251">
        <v>7</v>
      </c>
      <c r="J2251">
        <v>3</v>
      </c>
      <c r="K2251">
        <v>1</v>
      </c>
      <c r="L2251">
        <v>1</v>
      </c>
      <c r="M2251">
        <v>30</v>
      </c>
      <c r="N2251">
        <v>98.2</v>
      </c>
      <c r="O2251">
        <v>1</v>
      </c>
      <c r="P22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51" t="str">
        <f>IF(Table1[[#This Row],[Fraud_Score]]&gt;=6, "High Risk",IF(Table1[[#This Row],[Fraud_Score]]&gt;=3, "Medium Risk", "Low Risk"))</f>
        <v>Low Risk</v>
      </c>
      <c r="R2251">
        <f>IF(Table1[[#This Row],[Seconds of Use]]=0,0,Table1[[#This Row],[Customer Value]]/Table1[[#This Row],[Seconds of Use]]*100)</f>
        <v>5.6664743219849978</v>
      </c>
    </row>
    <row r="2252" spans="1:18" x14ac:dyDescent="0.35">
      <c r="A2252" s="3" t="s">
        <v>2273</v>
      </c>
      <c r="B2252">
        <v>14</v>
      </c>
      <c r="C2252">
        <v>0</v>
      </c>
      <c r="D2252">
        <v>44</v>
      </c>
      <c r="E2252">
        <v>2</v>
      </c>
      <c r="F2252">
        <v>4755</v>
      </c>
      <c r="G2252">
        <v>79</v>
      </c>
      <c r="H2252">
        <v>22</v>
      </c>
      <c r="I2252">
        <v>23</v>
      </c>
      <c r="J2252">
        <v>3</v>
      </c>
      <c r="K2252">
        <v>1</v>
      </c>
      <c r="L2252">
        <v>1</v>
      </c>
      <c r="M2252">
        <v>30</v>
      </c>
      <c r="N2252">
        <v>281.36</v>
      </c>
      <c r="O2252">
        <v>0</v>
      </c>
      <c r="P22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52" t="str">
        <f>IF(Table1[[#This Row],[Fraud_Score]]&gt;=6, "High Risk",IF(Table1[[#This Row],[Fraud_Score]]&gt;=3, "Medium Risk", "Low Risk"))</f>
        <v>Low Risk</v>
      </c>
      <c r="R2252">
        <f>IF(Table1[[#This Row],[Seconds of Use]]=0,0,Table1[[#This Row],[Customer Value]]/Table1[[#This Row],[Seconds of Use]]*100)</f>
        <v>5.9171398527865415</v>
      </c>
    </row>
    <row r="2253" spans="1:18" x14ac:dyDescent="0.35">
      <c r="A2253" s="3" t="s">
        <v>2274</v>
      </c>
      <c r="B2253">
        <v>6</v>
      </c>
      <c r="C2253">
        <v>0</v>
      </c>
      <c r="D2253">
        <v>45</v>
      </c>
      <c r="E2253">
        <v>0</v>
      </c>
      <c r="F2253">
        <v>703</v>
      </c>
      <c r="G2253">
        <v>13</v>
      </c>
      <c r="H2253">
        <v>24</v>
      </c>
      <c r="I2253">
        <v>10</v>
      </c>
      <c r="J2253">
        <v>3</v>
      </c>
      <c r="K2253">
        <v>1</v>
      </c>
      <c r="L2253">
        <v>2</v>
      </c>
      <c r="M2253">
        <v>30</v>
      </c>
      <c r="N2253">
        <v>124.64</v>
      </c>
      <c r="O2253">
        <v>0</v>
      </c>
      <c r="P22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53" t="str">
        <f>IF(Table1[[#This Row],[Fraud_Score]]&gt;=6, "High Risk",IF(Table1[[#This Row],[Fraud_Score]]&gt;=3, "Medium Risk", "Low Risk"))</f>
        <v>Low Risk</v>
      </c>
      <c r="R2253">
        <f>IF(Table1[[#This Row],[Seconds of Use]]=0,0,Table1[[#This Row],[Customer Value]]/Table1[[#This Row],[Seconds of Use]]*100)</f>
        <v>17.72972972972973</v>
      </c>
    </row>
    <row r="2254" spans="1:18" x14ac:dyDescent="0.35">
      <c r="A2254" s="3" t="s">
        <v>2275</v>
      </c>
      <c r="B2254">
        <v>16</v>
      </c>
      <c r="C2254">
        <v>0</v>
      </c>
      <c r="D2254">
        <v>43</v>
      </c>
      <c r="E2254">
        <v>2</v>
      </c>
      <c r="F2254">
        <v>2838</v>
      </c>
      <c r="G2254">
        <v>68</v>
      </c>
      <c r="H2254">
        <v>376</v>
      </c>
      <c r="I2254">
        <v>30</v>
      </c>
      <c r="J2254">
        <v>3</v>
      </c>
      <c r="K2254">
        <v>1</v>
      </c>
      <c r="L2254">
        <v>1</v>
      </c>
      <c r="M2254">
        <v>30</v>
      </c>
      <c r="N2254">
        <v>1620.24</v>
      </c>
      <c r="O2254">
        <v>0</v>
      </c>
      <c r="P22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54" t="str">
        <f>IF(Table1[[#This Row],[Fraud_Score]]&gt;=6, "High Risk",IF(Table1[[#This Row],[Fraud_Score]]&gt;=3, "Medium Risk", "Low Risk"))</f>
        <v>Low Risk</v>
      </c>
      <c r="R2254">
        <f>IF(Table1[[#This Row],[Seconds of Use]]=0,0,Table1[[#This Row],[Customer Value]]/Table1[[#This Row],[Seconds of Use]]*100)</f>
        <v>57.090909090909093</v>
      </c>
    </row>
    <row r="2255" spans="1:18" x14ac:dyDescent="0.35">
      <c r="A2255" s="3" t="s">
        <v>2276</v>
      </c>
      <c r="B2255">
        <v>16</v>
      </c>
      <c r="C2255">
        <v>0</v>
      </c>
      <c r="D2255">
        <v>44</v>
      </c>
      <c r="E2255">
        <v>2</v>
      </c>
      <c r="F2255">
        <v>4583</v>
      </c>
      <c r="G2255">
        <v>74</v>
      </c>
      <c r="H2255">
        <v>18</v>
      </c>
      <c r="I2255">
        <v>41</v>
      </c>
      <c r="J2255">
        <v>1</v>
      </c>
      <c r="K2255">
        <v>1</v>
      </c>
      <c r="L2255">
        <v>1</v>
      </c>
      <c r="M2255">
        <v>15</v>
      </c>
      <c r="N2255">
        <v>355.13499999999999</v>
      </c>
      <c r="O2255">
        <v>0</v>
      </c>
      <c r="P22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55" t="str">
        <f>IF(Table1[[#This Row],[Fraud_Score]]&gt;=6, "High Risk",IF(Table1[[#This Row],[Fraud_Score]]&gt;=3, "Medium Risk", "Low Risk"))</f>
        <v>Low Risk</v>
      </c>
      <c r="R2255">
        <f>IF(Table1[[#This Row],[Seconds of Use]]=0,0,Table1[[#This Row],[Customer Value]]/Table1[[#This Row],[Seconds of Use]]*100)</f>
        <v>7.7489635609862537</v>
      </c>
    </row>
    <row r="2256" spans="1:18" x14ac:dyDescent="0.35">
      <c r="A2256" s="3" t="s">
        <v>2277</v>
      </c>
      <c r="B2256">
        <v>9</v>
      </c>
      <c r="C2256">
        <v>0</v>
      </c>
      <c r="D2256">
        <v>44</v>
      </c>
      <c r="E2256">
        <v>2</v>
      </c>
      <c r="F2256">
        <v>2778</v>
      </c>
      <c r="G2256">
        <v>66</v>
      </c>
      <c r="H2256">
        <v>19</v>
      </c>
      <c r="I2256">
        <v>39</v>
      </c>
      <c r="J2256">
        <v>2</v>
      </c>
      <c r="K2256">
        <v>1</v>
      </c>
      <c r="L2256">
        <v>1</v>
      </c>
      <c r="M2256">
        <v>25</v>
      </c>
      <c r="N2256">
        <v>213.48</v>
      </c>
      <c r="O2256">
        <v>0</v>
      </c>
      <c r="P22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56" t="str">
        <f>IF(Table1[[#This Row],[Fraud_Score]]&gt;=6, "High Risk",IF(Table1[[#This Row],[Fraud_Score]]&gt;=3, "Medium Risk", "Low Risk"))</f>
        <v>Low Risk</v>
      </c>
      <c r="R2256">
        <f>IF(Table1[[#This Row],[Seconds of Use]]=0,0,Table1[[#This Row],[Customer Value]]/Table1[[#This Row],[Seconds of Use]]*100)</f>
        <v>7.6846652267818572</v>
      </c>
    </row>
    <row r="2257" spans="1:18" x14ac:dyDescent="0.35">
      <c r="A2257" s="3" t="s">
        <v>2278</v>
      </c>
      <c r="B2257">
        <v>17</v>
      </c>
      <c r="C2257">
        <v>0</v>
      </c>
      <c r="D2257">
        <v>44</v>
      </c>
      <c r="E2257">
        <v>3</v>
      </c>
      <c r="F2257">
        <v>4160</v>
      </c>
      <c r="G2257">
        <v>90</v>
      </c>
      <c r="H2257">
        <v>49</v>
      </c>
      <c r="I2257">
        <v>34</v>
      </c>
      <c r="J2257">
        <v>3</v>
      </c>
      <c r="K2257">
        <v>1</v>
      </c>
      <c r="L2257">
        <v>1</v>
      </c>
      <c r="M2257">
        <v>30</v>
      </c>
      <c r="N2257">
        <v>366</v>
      </c>
      <c r="O2257">
        <v>0</v>
      </c>
      <c r="P22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57" t="str">
        <f>IF(Table1[[#This Row],[Fraud_Score]]&gt;=6, "High Risk",IF(Table1[[#This Row],[Fraud_Score]]&gt;=3, "Medium Risk", "Low Risk"))</f>
        <v>Low Risk</v>
      </c>
      <c r="R2257">
        <f>IF(Table1[[#This Row],[Seconds of Use]]=0,0,Table1[[#This Row],[Customer Value]]/Table1[[#This Row],[Seconds of Use]]*100)</f>
        <v>8.7980769230769234</v>
      </c>
    </row>
    <row r="2258" spans="1:18" x14ac:dyDescent="0.35">
      <c r="A2258" s="3" t="s">
        <v>2279</v>
      </c>
      <c r="B2258">
        <v>10</v>
      </c>
      <c r="C2258">
        <v>0</v>
      </c>
      <c r="D2258">
        <v>44</v>
      </c>
      <c r="E2258">
        <v>2</v>
      </c>
      <c r="F2258">
        <v>2745</v>
      </c>
      <c r="G2258">
        <v>47</v>
      </c>
      <c r="H2258">
        <v>302</v>
      </c>
      <c r="I2258">
        <v>24</v>
      </c>
      <c r="J2258">
        <v>4</v>
      </c>
      <c r="K2258">
        <v>1</v>
      </c>
      <c r="L2258">
        <v>1</v>
      </c>
      <c r="M2258">
        <v>45</v>
      </c>
      <c r="N2258">
        <v>824.8</v>
      </c>
      <c r="O2258">
        <v>0</v>
      </c>
      <c r="P22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58" t="str">
        <f>IF(Table1[[#This Row],[Fraud_Score]]&gt;=6, "High Risk",IF(Table1[[#This Row],[Fraud_Score]]&gt;=3, "Medium Risk", "Low Risk"))</f>
        <v>Low Risk</v>
      </c>
      <c r="R2258">
        <f>IF(Table1[[#This Row],[Seconds of Use]]=0,0,Table1[[#This Row],[Customer Value]]/Table1[[#This Row],[Seconds of Use]]*100)</f>
        <v>30.047358834244083</v>
      </c>
    </row>
    <row r="2259" spans="1:18" x14ac:dyDescent="0.35">
      <c r="A2259" s="3" t="s">
        <v>2280</v>
      </c>
      <c r="B2259">
        <v>19</v>
      </c>
      <c r="C2259">
        <v>0</v>
      </c>
      <c r="D2259">
        <v>43</v>
      </c>
      <c r="E2259">
        <v>4</v>
      </c>
      <c r="F2259">
        <v>9500</v>
      </c>
      <c r="G2259">
        <v>129</v>
      </c>
      <c r="H2259">
        <v>161</v>
      </c>
      <c r="I2259">
        <v>49</v>
      </c>
      <c r="J2259">
        <v>3</v>
      </c>
      <c r="K2259">
        <v>1</v>
      </c>
      <c r="L2259">
        <v>1</v>
      </c>
      <c r="M2259">
        <v>30</v>
      </c>
      <c r="N2259">
        <v>1029.1600000000001</v>
      </c>
      <c r="O2259">
        <v>0</v>
      </c>
      <c r="P22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59" t="str">
        <f>IF(Table1[[#This Row],[Fraud_Score]]&gt;=6, "High Risk",IF(Table1[[#This Row],[Fraud_Score]]&gt;=3, "Medium Risk", "Low Risk"))</f>
        <v>Medium Risk</v>
      </c>
      <c r="R2259">
        <f>IF(Table1[[#This Row],[Seconds of Use]]=0,0,Table1[[#This Row],[Customer Value]]/Table1[[#This Row],[Seconds of Use]]*100)</f>
        <v>10.833263157894738</v>
      </c>
    </row>
    <row r="2260" spans="1:18" x14ac:dyDescent="0.35">
      <c r="A2260" s="3" t="s">
        <v>2281</v>
      </c>
      <c r="B2260">
        <v>13</v>
      </c>
      <c r="C2260">
        <v>0</v>
      </c>
      <c r="D2260">
        <v>44</v>
      </c>
      <c r="E2260">
        <v>2</v>
      </c>
      <c r="F2260">
        <v>14158</v>
      </c>
      <c r="G2260">
        <v>177</v>
      </c>
      <c r="H2260">
        <v>17</v>
      </c>
      <c r="I2260">
        <v>50</v>
      </c>
      <c r="J2260">
        <v>3</v>
      </c>
      <c r="K2260">
        <v>1</v>
      </c>
      <c r="L2260">
        <v>1</v>
      </c>
      <c r="M2260">
        <v>30</v>
      </c>
      <c r="N2260">
        <v>641.4</v>
      </c>
      <c r="O2260">
        <v>0</v>
      </c>
      <c r="P22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60" t="str">
        <f>IF(Table1[[#This Row],[Fraud_Score]]&gt;=6, "High Risk",IF(Table1[[#This Row],[Fraud_Score]]&gt;=3, "Medium Risk", "Low Risk"))</f>
        <v>Medium Risk</v>
      </c>
      <c r="R2260">
        <f>IF(Table1[[#This Row],[Seconds of Use]]=0,0,Table1[[#This Row],[Customer Value]]/Table1[[#This Row],[Seconds of Use]]*100)</f>
        <v>4.5303008899562087</v>
      </c>
    </row>
    <row r="2261" spans="1:18" x14ac:dyDescent="0.35">
      <c r="A2261" s="3" t="s">
        <v>2282</v>
      </c>
      <c r="B2261">
        <v>13</v>
      </c>
      <c r="C2261">
        <v>0</v>
      </c>
      <c r="D2261">
        <v>44</v>
      </c>
      <c r="E2261">
        <v>3</v>
      </c>
      <c r="F2261">
        <v>4900</v>
      </c>
      <c r="G2261">
        <v>91</v>
      </c>
      <c r="H2261">
        <v>19</v>
      </c>
      <c r="I2261">
        <v>31</v>
      </c>
      <c r="J2261">
        <v>3</v>
      </c>
      <c r="K2261">
        <v>1</v>
      </c>
      <c r="L2261">
        <v>1</v>
      </c>
      <c r="M2261">
        <v>30</v>
      </c>
      <c r="N2261">
        <v>275.64</v>
      </c>
      <c r="O2261">
        <v>0</v>
      </c>
      <c r="P22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61" t="str">
        <f>IF(Table1[[#This Row],[Fraud_Score]]&gt;=6, "High Risk",IF(Table1[[#This Row],[Fraud_Score]]&gt;=3, "Medium Risk", "Low Risk"))</f>
        <v>Low Risk</v>
      </c>
      <c r="R2261">
        <f>IF(Table1[[#This Row],[Seconds of Use]]=0,0,Table1[[#This Row],[Customer Value]]/Table1[[#This Row],[Seconds of Use]]*100)</f>
        <v>5.6253061224489791</v>
      </c>
    </row>
    <row r="2262" spans="1:18" x14ac:dyDescent="0.35">
      <c r="A2262" s="3" t="s">
        <v>2283</v>
      </c>
      <c r="B2262">
        <v>12</v>
      </c>
      <c r="C2262">
        <v>0</v>
      </c>
      <c r="D2262">
        <v>44</v>
      </c>
      <c r="E2262">
        <v>2</v>
      </c>
      <c r="F2262">
        <v>6303</v>
      </c>
      <c r="G2262">
        <v>103</v>
      </c>
      <c r="H2262">
        <v>24</v>
      </c>
      <c r="I2262">
        <v>18</v>
      </c>
      <c r="J2262">
        <v>3</v>
      </c>
      <c r="K2262">
        <v>1</v>
      </c>
      <c r="L2262">
        <v>1</v>
      </c>
      <c r="M2262">
        <v>30</v>
      </c>
      <c r="N2262">
        <v>352.24</v>
      </c>
      <c r="O2262">
        <v>0</v>
      </c>
      <c r="P22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62" t="str">
        <f>IF(Table1[[#This Row],[Fraud_Score]]&gt;=6, "High Risk",IF(Table1[[#This Row],[Fraud_Score]]&gt;=3, "Medium Risk", "Low Risk"))</f>
        <v>Low Risk</v>
      </c>
      <c r="R2262">
        <f>IF(Table1[[#This Row],[Seconds of Use]]=0,0,Table1[[#This Row],[Customer Value]]/Table1[[#This Row],[Seconds of Use]]*100)</f>
        <v>5.5884499444708871</v>
      </c>
    </row>
    <row r="2263" spans="1:18" x14ac:dyDescent="0.35">
      <c r="A2263" s="3" t="s">
        <v>2284</v>
      </c>
      <c r="B2263">
        <v>15</v>
      </c>
      <c r="C2263">
        <v>1</v>
      </c>
      <c r="D2263">
        <v>44</v>
      </c>
      <c r="E2263">
        <v>0</v>
      </c>
      <c r="F2263">
        <v>2623</v>
      </c>
      <c r="G2263">
        <v>62</v>
      </c>
      <c r="H2263">
        <v>25</v>
      </c>
      <c r="I2263">
        <v>23</v>
      </c>
      <c r="J2263">
        <v>3</v>
      </c>
      <c r="K2263">
        <v>1</v>
      </c>
      <c r="L2263">
        <v>2</v>
      </c>
      <c r="M2263">
        <v>30</v>
      </c>
      <c r="N2263">
        <v>207.4</v>
      </c>
      <c r="O2263">
        <v>0</v>
      </c>
      <c r="P22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63" t="str">
        <f>IF(Table1[[#This Row],[Fraud_Score]]&gt;=6, "High Risk",IF(Table1[[#This Row],[Fraud_Score]]&gt;=3, "Medium Risk", "Low Risk"))</f>
        <v>Medium Risk</v>
      </c>
      <c r="R2263">
        <f>IF(Table1[[#This Row],[Seconds of Use]]=0,0,Table1[[#This Row],[Customer Value]]/Table1[[#This Row],[Seconds of Use]]*100)</f>
        <v>7.9069767441860463</v>
      </c>
    </row>
    <row r="2264" spans="1:18" x14ac:dyDescent="0.35">
      <c r="A2264" s="3" t="s">
        <v>2285</v>
      </c>
      <c r="B2264">
        <v>31</v>
      </c>
      <c r="C2264">
        <v>0</v>
      </c>
      <c r="D2264">
        <v>44</v>
      </c>
      <c r="E2264">
        <v>5</v>
      </c>
      <c r="F2264">
        <v>15525</v>
      </c>
      <c r="G2264">
        <v>233</v>
      </c>
      <c r="H2264">
        <v>71</v>
      </c>
      <c r="I2264">
        <v>38</v>
      </c>
      <c r="J2264">
        <v>3</v>
      </c>
      <c r="K2264">
        <v>1</v>
      </c>
      <c r="L2264">
        <v>1</v>
      </c>
      <c r="M2264">
        <v>30</v>
      </c>
      <c r="N2264">
        <v>914.32</v>
      </c>
      <c r="O2264">
        <v>0</v>
      </c>
      <c r="P22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64" t="str">
        <f>IF(Table1[[#This Row],[Fraud_Score]]&gt;=6, "High Risk",IF(Table1[[#This Row],[Fraud_Score]]&gt;=3, "Medium Risk", "Low Risk"))</f>
        <v>Medium Risk</v>
      </c>
      <c r="R2264">
        <f>IF(Table1[[#This Row],[Seconds of Use]]=0,0,Table1[[#This Row],[Customer Value]]/Table1[[#This Row],[Seconds of Use]]*100)</f>
        <v>5.8893397745571656</v>
      </c>
    </row>
    <row r="2265" spans="1:18" x14ac:dyDescent="0.35">
      <c r="A2265" s="3" t="s">
        <v>2286</v>
      </c>
      <c r="B2265">
        <v>10</v>
      </c>
      <c r="C2265">
        <v>0</v>
      </c>
      <c r="D2265">
        <v>44</v>
      </c>
      <c r="E2265">
        <v>3</v>
      </c>
      <c r="F2265">
        <v>3480</v>
      </c>
      <c r="G2265">
        <v>35</v>
      </c>
      <c r="H2265">
        <v>500</v>
      </c>
      <c r="I2265">
        <v>14</v>
      </c>
      <c r="J2265">
        <v>4</v>
      </c>
      <c r="K2265">
        <v>1</v>
      </c>
      <c r="L2265">
        <v>1</v>
      </c>
      <c r="M2265">
        <v>45</v>
      </c>
      <c r="N2265">
        <v>1337.875</v>
      </c>
      <c r="O2265">
        <v>0</v>
      </c>
      <c r="P22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65" t="str">
        <f>IF(Table1[[#This Row],[Fraud_Score]]&gt;=6, "High Risk",IF(Table1[[#This Row],[Fraud_Score]]&gt;=3, "Medium Risk", "Low Risk"))</f>
        <v>Low Risk</v>
      </c>
      <c r="R2265">
        <f>IF(Table1[[#This Row],[Seconds of Use]]=0,0,Table1[[#This Row],[Customer Value]]/Table1[[#This Row],[Seconds of Use]]*100)</f>
        <v>38.444683908045981</v>
      </c>
    </row>
    <row r="2266" spans="1:18" x14ac:dyDescent="0.35">
      <c r="A2266" s="3" t="s">
        <v>2287</v>
      </c>
      <c r="B2266">
        <v>15</v>
      </c>
      <c r="C2266">
        <v>0</v>
      </c>
      <c r="D2266">
        <v>43</v>
      </c>
      <c r="E2266">
        <v>2</v>
      </c>
      <c r="F2266">
        <v>15870</v>
      </c>
      <c r="G2266">
        <v>190</v>
      </c>
      <c r="H2266">
        <v>167</v>
      </c>
      <c r="I2266">
        <v>36</v>
      </c>
      <c r="J2266">
        <v>2</v>
      </c>
      <c r="K2266">
        <v>1</v>
      </c>
      <c r="L2266">
        <v>1</v>
      </c>
      <c r="M2266">
        <v>25</v>
      </c>
      <c r="N2266">
        <v>1474.2</v>
      </c>
      <c r="O2266">
        <v>0</v>
      </c>
      <c r="P22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66" t="str">
        <f>IF(Table1[[#This Row],[Fraud_Score]]&gt;=6, "High Risk",IF(Table1[[#This Row],[Fraud_Score]]&gt;=3, "Medium Risk", "Low Risk"))</f>
        <v>Medium Risk</v>
      </c>
      <c r="R2266">
        <f>IF(Table1[[#This Row],[Seconds of Use]]=0,0,Table1[[#This Row],[Customer Value]]/Table1[[#This Row],[Seconds of Use]]*100)</f>
        <v>9.2892249527410211</v>
      </c>
    </row>
    <row r="2267" spans="1:18" x14ac:dyDescent="0.35">
      <c r="A2267" s="3" t="s">
        <v>2288</v>
      </c>
      <c r="B2267">
        <v>9</v>
      </c>
      <c r="C2267">
        <v>0</v>
      </c>
      <c r="D2267">
        <v>43</v>
      </c>
      <c r="E2267">
        <v>3</v>
      </c>
      <c r="F2267">
        <v>6885</v>
      </c>
      <c r="G2267">
        <v>94</v>
      </c>
      <c r="H2267">
        <v>203</v>
      </c>
      <c r="I2267">
        <v>32</v>
      </c>
      <c r="J2267">
        <v>3</v>
      </c>
      <c r="K2267">
        <v>1</v>
      </c>
      <c r="L2267">
        <v>1</v>
      </c>
      <c r="M2267">
        <v>30</v>
      </c>
      <c r="N2267">
        <v>1091.1600000000001</v>
      </c>
      <c r="O2267">
        <v>0</v>
      </c>
      <c r="P22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67" t="str">
        <f>IF(Table1[[#This Row],[Fraud_Score]]&gt;=6, "High Risk",IF(Table1[[#This Row],[Fraud_Score]]&gt;=3, "Medium Risk", "Low Risk"))</f>
        <v>Low Risk</v>
      </c>
      <c r="R2267">
        <f>IF(Table1[[#This Row],[Seconds of Use]]=0,0,Table1[[#This Row],[Customer Value]]/Table1[[#This Row],[Seconds of Use]]*100)</f>
        <v>15.848366013071896</v>
      </c>
    </row>
    <row r="2268" spans="1:18" x14ac:dyDescent="0.35">
      <c r="A2268" s="3" t="s">
        <v>2289</v>
      </c>
      <c r="B2268">
        <v>6</v>
      </c>
      <c r="C2268">
        <v>0</v>
      </c>
      <c r="D2268">
        <v>43</v>
      </c>
      <c r="E2268">
        <v>0</v>
      </c>
      <c r="F2268">
        <v>1260</v>
      </c>
      <c r="G2268">
        <v>22</v>
      </c>
      <c r="H2268">
        <v>17</v>
      </c>
      <c r="I2268">
        <v>17</v>
      </c>
      <c r="J2268">
        <v>2</v>
      </c>
      <c r="K2268">
        <v>1</v>
      </c>
      <c r="L2268">
        <v>2</v>
      </c>
      <c r="M2268">
        <v>25</v>
      </c>
      <c r="N2268">
        <v>134.19</v>
      </c>
      <c r="O2268">
        <v>0</v>
      </c>
      <c r="P22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68" t="str">
        <f>IF(Table1[[#This Row],[Fraud_Score]]&gt;=6, "High Risk",IF(Table1[[#This Row],[Fraud_Score]]&gt;=3, "Medium Risk", "Low Risk"))</f>
        <v>Low Risk</v>
      </c>
      <c r="R2268">
        <f>IF(Table1[[#This Row],[Seconds of Use]]=0,0,Table1[[#This Row],[Customer Value]]/Table1[[#This Row],[Seconds of Use]]*100)</f>
        <v>10.65</v>
      </c>
    </row>
    <row r="2269" spans="1:18" x14ac:dyDescent="0.35">
      <c r="A2269" s="3" t="s">
        <v>2290</v>
      </c>
      <c r="B2269">
        <v>8</v>
      </c>
      <c r="C2269">
        <v>0</v>
      </c>
      <c r="D2269">
        <v>44</v>
      </c>
      <c r="E2269">
        <v>0</v>
      </c>
      <c r="F2269">
        <v>1095</v>
      </c>
      <c r="G2269">
        <v>22</v>
      </c>
      <c r="H2269">
        <v>30</v>
      </c>
      <c r="I2269">
        <v>14</v>
      </c>
      <c r="J2269">
        <v>3</v>
      </c>
      <c r="K2269">
        <v>1</v>
      </c>
      <c r="L2269">
        <v>2</v>
      </c>
      <c r="M2269">
        <v>30</v>
      </c>
      <c r="N2269">
        <v>164.68</v>
      </c>
      <c r="O2269">
        <v>0</v>
      </c>
      <c r="P22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69" t="str">
        <f>IF(Table1[[#This Row],[Fraud_Score]]&gt;=6, "High Risk",IF(Table1[[#This Row],[Fraud_Score]]&gt;=3, "Medium Risk", "Low Risk"))</f>
        <v>Low Risk</v>
      </c>
      <c r="R2269">
        <f>IF(Table1[[#This Row],[Seconds of Use]]=0,0,Table1[[#This Row],[Customer Value]]/Table1[[#This Row],[Seconds of Use]]*100)</f>
        <v>15.039269406392695</v>
      </c>
    </row>
    <row r="2270" spans="1:18" x14ac:dyDescent="0.35">
      <c r="A2270" s="3" t="s">
        <v>2291</v>
      </c>
      <c r="B2270">
        <v>6</v>
      </c>
      <c r="C2270">
        <v>0</v>
      </c>
      <c r="D2270">
        <v>43</v>
      </c>
      <c r="E2270">
        <v>0</v>
      </c>
      <c r="F2270">
        <v>385</v>
      </c>
      <c r="G2270">
        <v>8</v>
      </c>
      <c r="H2270">
        <v>17</v>
      </c>
      <c r="I2270">
        <v>6</v>
      </c>
      <c r="J2270">
        <v>2</v>
      </c>
      <c r="K2270">
        <v>1</v>
      </c>
      <c r="L2270">
        <v>2</v>
      </c>
      <c r="M2270">
        <v>25</v>
      </c>
      <c r="N2270">
        <v>94.185000000000002</v>
      </c>
      <c r="O2270">
        <v>1</v>
      </c>
      <c r="P22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70" t="str">
        <f>IF(Table1[[#This Row],[Fraud_Score]]&gt;=6, "High Risk",IF(Table1[[#This Row],[Fraud_Score]]&gt;=3, "Medium Risk", "Low Risk"))</f>
        <v>Low Risk</v>
      </c>
      <c r="R2270">
        <f>IF(Table1[[#This Row],[Seconds of Use]]=0,0,Table1[[#This Row],[Customer Value]]/Table1[[#This Row],[Seconds of Use]]*100)</f>
        <v>24.463636363636365</v>
      </c>
    </row>
    <row r="2271" spans="1:18" x14ac:dyDescent="0.35">
      <c r="A2271" s="3" t="s">
        <v>2292</v>
      </c>
      <c r="B2271">
        <v>9</v>
      </c>
      <c r="C2271">
        <v>0</v>
      </c>
      <c r="D2271">
        <v>43</v>
      </c>
      <c r="E2271">
        <v>2</v>
      </c>
      <c r="F2271">
        <v>7893</v>
      </c>
      <c r="G2271">
        <v>135</v>
      </c>
      <c r="H2271">
        <v>401</v>
      </c>
      <c r="I2271">
        <v>49</v>
      </c>
      <c r="J2271">
        <v>3</v>
      </c>
      <c r="K2271">
        <v>1</v>
      </c>
      <c r="L2271">
        <v>1</v>
      </c>
      <c r="M2271">
        <v>30</v>
      </c>
      <c r="N2271">
        <v>1925.12</v>
      </c>
      <c r="O2271">
        <v>0</v>
      </c>
      <c r="P22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71" t="str">
        <f>IF(Table1[[#This Row],[Fraud_Score]]&gt;=6, "High Risk",IF(Table1[[#This Row],[Fraud_Score]]&gt;=3, "Medium Risk", "Low Risk"))</f>
        <v>Low Risk</v>
      </c>
      <c r="R2271">
        <f>IF(Table1[[#This Row],[Seconds of Use]]=0,0,Table1[[#This Row],[Customer Value]]/Table1[[#This Row],[Seconds of Use]]*100)</f>
        <v>24.390219181553274</v>
      </c>
    </row>
    <row r="2272" spans="1:18" x14ac:dyDescent="0.35">
      <c r="A2272" s="3" t="s">
        <v>2293</v>
      </c>
      <c r="B2272">
        <v>13</v>
      </c>
      <c r="C2272">
        <v>0</v>
      </c>
      <c r="D2272">
        <v>43</v>
      </c>
      <c r="E2272">
        <v>3</v>
      </c>
      <c r="F2272">
        <v>11850</v>
      </c>
      <c r="G2272">
        <v>162</v>
      </c>
      <c r="H2272">
        <v>28</v>
      </c>
      <c r="I2272">
        <v>53</v>
      </c>
      <c r="J2272">
        <v>4</v>
      </c>
      <c r="K2272">
        <v>1</v>
      </c>
      <c r="L2272">
        <v>1</v>
      </c>
      <c r="M2272">
        <v>45</v>
      </c>
      <c r="N2272">
        <v>370.3</v>
      </c>
      <c r="O2272">
        <v>0</v>
      </c>
      <c r="P22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72" t="str">
        <f>IF(Table1[[#This Row],[Fraud_Score]]&gt;=6, "High Risk",IF(Table1[[#This Row],[Fraud_Score]]&gt;=3, "Medium Risk", "Low Risk"))</f>
        <v>Medium Risk</v>
      </c>
      <c r="R2272">
        <f>IF(Table1[[#This Row],[Seconds of Use]]=0,0,Table1[[#This Row],[Customer Value]]/Table1[[#This Row],[Seconds of Use]]*100)</f>
        <v>3.1248945147679326</v>
      </c>
    </row>
    <row r="2273" spans="1:18" x14ac:dyDescent="0.35">
      <c r="A2273" s="3" t="s">
        <v>2294</v>
      </c>
      <c r="B2273">
        <v>14</v>
      </c>
      <c r="C2273">
        <v>0</v>
      </c>
      <c r="D2273">
        <v>43</v>
      </c>
      <c r="E2273">
        <v>3</v>
      </c>
      <c r="F2273">
        <v>7103</v>
      </c>
      <c r="G2273">
        <v>83</v>
      </c>
      <c r="H2273">
        <v>125</v>
      </c>
      <c r="I2273">
        <v>43</v>
      </c>
      <c r="J2273">
        <v>2</v>
      </c>
      <c r="K2273">
        <v>1</v>
      </c>
      <c r="L2273">
        <v>1</v>
      </c>
      <c r="M2273">
        <v>25</v>
      </c>
      <c r="N2273">
        <v>885.87</v>
      </c>
      <c r="O2273">
        <v>0</v>
      </c>
      <c r="P22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73" t="str">
        <f>IF(Table1[[#This Row],[Fraud_Score]]&gt;=6, "High Risk",IF(Table1[[#This Row],[Fraud_Score]]&gt;=3, "Medium Risk", "Low Risk"))</f>
        <v>Low Risk</v>
      </c>
      <c r="R2273">
        <f>IF(Table1[[#This Row],[Seconds of Use]]=0,0,Table1[[#This Row],[Customer Value]]/Table1[[#This Row],[Seconds of Use]]*100)</f>
        <v>12.471772490496972</v>
      </c>
    </row>
    <row r="2274" spans="1:18" x14ac:dyDescent="0.35">
      <c r="A2274" s="3" t="s">
        <v>2295</v>
      </c>
      <c r="B2274">
        <v>29</v>
      </c>
      <c r="C2274">
        <v>1</v>
      </c>
      <c r="D2274">
        <v>39</v>
      </c>
      <c r="E2274">
        <v>0</v>
      </c>
      <c r="F2274">
        <v>1340</v>
      </c>
      <c r="G2274">
        <v>55</v>
      </c>
      <c r="H2274">
        <v>33</v>
      </c>
      <c r="I2274">
        <v>23</v>
      </c>
      <c r="J2274">
        <v>3</v>
      </c>
      <c r="K2274">
        <v>1</v>
      </c>
      <c r="L2274">
        <v>2</v>
      </c>
      <c r="M2274">
        <v>30</v>
      </c>
      <c r="N2274">
        <v>187.8</v>
      </c>
      <c r="O2274">
        <v>1</v>
      </c>
      <c r="P22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74" t="str">
        <f>IF(Table1[[#This Row],[Fraud_Score]]&gt;=6, "High Risk",IF(Table1[[#This Row],[Fraud_Score]]&gt;=3, "Medium Risk", "Low Risk"))</f>
        <v>Medium Risk</v>
      </c>
      <c r="R2274">
        <f>IF(Table1[[#This Row],[Seconds of Use]]=0,0,Table1[[#This Row],[Customer Value]]/Table1[[#This Row],[Seconds of Use]]*100)</f>
        <v>14.014925373134329</v>
      </c>
    </row>
    <row r="2275" spans="1:18" x14ac:dyDescent="0.35">
      <c r="A2275" s="3" t="s">
        <v>2296</v>
      </c>
      <c r="B2275">
        <v>27</v>
      </c>
      <c r="C2275">
        <v>0</v>
      </c>
      <c r="D2275">
        <v>42</v>
      </c>
      <c r="E2275">
        <v>10</v>
      </c>
      <c r="F2275">
        <v>10820</v>
      </c>
      <c r="G2275">
        <v>101</v>
      </c>
      <c r="H2275">
        <v>18</v>
      </c>
      <c r="I2275">
        <v>48</v>
      </c>
      <c r="J2275">
        <v>5</v>
      </c>
      <c r="K2275">
        <v>1</v>
      </c>
      <c r="L2275">
        <v>1</v>
      </c>
      <c r="M2275">
        <v>55</v>
      </c>
      <c r="N2275">
        <v>190.815</v>
      </c>
      <c r="O2275">
        <v>0</v>
      </c>
      <c r="P22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75" t="str">
        <f>IF(Table1[[#This Row],[Fraud_Score]]&gt;=6, "High Risk",IF(Table1[[#This Row],[Fraud_Score]]&gt;=3, "Medium Risk", "Low Risk"))</f>
        <v>Medium Risk</v>
      </c>
      <c r="R2275">
        <f>IF(Table1[[#This Row],[Seconds of Use]]=0,0,Table1[[#This Row],[Customer Value]]/Table1[[#This Row],[Seconds of Use]]*100)</f>
        <v>1.7635397412199629</v>
      </c>
    </row>
    <row r="2276" spans="1:18" x14ac:dyDescent="0.35">
      <c r="A2276" s="3" t="s">
        <v>2297</v>
      </c>
      <c r="B2276">
        <v>19</v>
      </c>
      <c r="C2276">
        <v>0</v>
      </c>
      <c r="D2276">
        <v>42</v>
      </c>
      <c r="E2276">
        <v>3</v>
      </c>
      <c r="F2276">
        <v>6203</v>
      </c>
      <c r="G2276">
        <v>106</v>
      </c>
      <c r="H2276">
        <v>43</v>
      </c>
      <c r="I2276">
        <v>30</v>
      </c>
      <c r="J2276">
        <v>3</v>
      </c>
      <c r="K2276">
        <v>1</v>
      </c>
      <c r="L2276">
        <v>1</v>
      </c>
      <c r="M2276">
        <v>30</v>
      </c>
      <c r="N2276">
        <v>424.36</v>
      </c>
      <c r="O2276">
        <v>0</v>
      </c>
      <c r="P22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76" t="str">
        <f>IF(Table1[[#This Row],[Fraud_Score]]&gt;=6, "High Risk",IF(Table1[[#This Row],[Fraud_Score]]&gt;=3, "Medium Risk", "Low Risk"))</f>
        <v>Low Risk</v>
      </c>
      <c r="R2276">
        <f>IF(Table1[[#This Row],[Seconds of Use]]=0,0,Table1[[#This Row],[Customer Value]]/Table1[[#This Row],[Seconds of Use]]*100)</f>
        <v>6.8412058681283252</v>
      </c>
    </row>
    <row r="2277" spans="1:18" x14ac:dyDescent="0.35">
      <c r="A2277" s="3" t="s">
        <v>2298</v>
      </c>
      <c r="B2277">
        <v>7</v>
      </c>
      <c r="C2277">
        <v>0</v>
      </c>
      <c r="D2277">
        <v>40</v>
      </c>
      <c r="E2277">
        <v>2</v>
      </c>
      <c r="F2277">
        <v>3225</v>
      </c>
      <c r="G2277">
        <v>30</v>
      </c>
      <c r="H2277">
        <v>17</v>
      </c>
      <c r="I2277">
        <v>20</v>
      </c>
      <c r="J2277">
        <v>3</v>
      </c>
      <c r="K2277">
        <v>1</v>
      </c>
      <c r="L2277">
        <v>1</v>
      </c>
      <c r="M2277">
        <v>30</v>
      </c>
      <c r="N2277">
        <v>198.2</v>
      </c>
      <c r="O2277">
        <v>0</v>
      </c>
      <c r="P22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77" t="str">
        <f>IF(Table1[[#This Row],[Fraud_Score]]&gt;=6, "High Risk",IF(Table1[[#This Row],[Fraud_Score]]&gt;=3, "Medium Risk", "Low Risk"))</f>
        <v>Low Risk</v>
      </c>
      <c r="R2277">
        <f>IF(Table1[[#This Row],[Seconds of Use]]=0,0,Table1[[#This Row],[Customer Value]]/Table1[[#This Row],[Seconds of Use]]*100)</f>
        <v>6.1457364341085263</v>
      </c>
    </row>
    <row r="2278" spans="1:18" x14ac:dyDescent="0.35">
      <c r="A2278" s="3" t="s">
        <v>2299</v>
      </c>
      <c r="B2278">
        <v>15</v>
      </c>
      <c r="C2278">
        <v>1</v>
      </c>
      <c r="D2278">
        <v>41</v>
      </c>
      <c r="E2278">
        <v>0</v>
      </c>
      <c r="F2278">
        <v>3375</v>
      </c>
      <c r="G2278">
        <v>49</v>
      </c>
      <c r="H2278">
        <v>26</v>
      </c>
      <c r="I2278">
        <v>22</v>
      </c>
      <c r="J2278">
        <v>3</v>
      </c>
      <c r="K2278">
        <v>1</v>
      </c>
      <c r="L2278">
        <v>2</v>
      </c>
      <c r="M2278">
        <v>30</v>
      </c>
      <c r="N2278">
        <v>240.96</v>
      </c>
      <c r="O2278">
        <v>1</v>
      </c>
      <c r="P22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78" t="str">
        <f>IF(Table1[[#This Row],[Fraud_Score]]&gt;=6, "High Risk",IF(Table1[[#This Row],[Fraud_Score]]&gt;=3, "Medium Risk", "Low Risk"))</f>
        <v>Medium Risk</v>
      </c>
      <c r="R2278">
        <f>IF(Table1[[#This Row],[Seconds of Use]]=0,0,Table1[[#This Row],[Customer Value]]/Table1[[#This Row],[Seconds of Use]]*100)</f>
        <v>7.1395555555555559</v>
      </c>
    </row>
    <row r="2279" spans="1:18" x14ac:dyDescent="0.35">
      <c r="A2279" s="3" t="s">
        <v>2300</v>
      </c>
      <c r="B2279">
        <v>15</v>
      </c>
      <c r="C2279">
        <v>1</v>
      </c>
      <c r="D2279">
        <v>42</v>
      </c>
      <c r="E2279">
        <v>0</v>
      </c>
      <c r="F2279">
        <v>2653</v>
      </c>
      <c r="G2279">
        <v>52</v>
      </c>
      <c r="H2279">
        <v>51</v>
      </c>
      <c r="I2279">
        <v>37</v>
      </c>
      <c r="J2279">
        <v>4</v>
      </c>
      <c r="K2279">
        <v>1</v>
      </c>
      <c r="L2279">
        <v>2</v>
      </c>
      <c r="M2279">
        <v>45</v>
      </c>
      <c r="N2279">
        <v>195.125</v>
      </c>
      <c r="O2279">
        <v>1</v>
      </c>
      <c r="P22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79" t="str">
        <f>IF(Table1[[#This Row],[Fraud_Score]]&gt;=6, "High Risk",IF(Table1[[#This Row],[Fraud_Score]]&gt;=3, "Medium Risk", "Low Risk"))</f>
        <v>Medium Risk</v>
      </c>
      <c r="R2279">
        <f>IF(Table1[[#This Row],[Seconds of Use]]=0,0,Table1[[#This Row],[Customer Value]]/Table1[[#This Row],[Seconds of Use]]*100)</f>
        <v>7.3548812664907643</v>
      </c>
    </row>
    <row r="2280" spans="1:18" x14ac:dyDescent="0.35">
      <c r="A2280" s="3" t="s">
        <v>2301</v>
      </c>
      <c r="B2280">
        <v>6</v>
      </c>
      <c r="C2280">
        <v>0</v>
      </c>
      <c r="D2280">
        <v>42</v>
      </c>
      <c r="E2280">
        <v>0</v>
      </c>
      <c r="F2280">
        <v>518</v>
      </c>
      <c r="G2280">
        <v>10</v>
      </c>
      <c r="H2280">
        <v>17</v>
      </c>
      <c r="I2280">
        <v>8</v>
      </c>
      <c r="J2280">
        <v>3</v>
      </c>
      <c r="K2280">
        <v>1</v>
      </c>
      <c r="L2280">
        <v>2</v>
      </c>
      <c r="M2280">
        <v>30</v>
      </c>
      <c r="N2280">
        <v>89.12</v>
      </c>
      <c r="O2280">
        <v>1</v>
      </c>
      <c r="P22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80" t="str">
        <f>IF(Table1[[#This Row],[Fraud_Score]]&gt;=6, "High Risk",IF(Table1[[#This Row],[Fraud_Score]]&gt;=3, "Medium Risk", "Low Risk"))</f>
        <v>Low Risk</v>
      </c>
      <c r="R2280">
        <f>IF(Table1[[#This Row],[Seconds of Use]]=0,0,Table1[[#This Row],[Customer Value]]/Table1[[#This Row],[Seconds of Use]]*100)</f>
        <v>17.204633204633204</v>
      </c>
    </row>
    <row r="2281" spans="1:18" x14ac:dyDescent="0.35">
      <c r="A2281" s="3" t="s">
        <v>2302</v>
      </c>
      <c r="B2281">
        <v>7</v>
      </c>
      <c r="C2281">
        <v>0</v>
      </c>
      <c r="D2281">
        <v>42</v>
      </c>
      <c r="E2281">
        <v>2</v>
      </c>
      <c r="F2281">
        <v>2053</v>
      </c>
      <c r="G2281">
        <v>33</v>
      </c>
      <c r="H2281">
        <v>17</v>
      </c>
      <c r="I2281">
        <v>12</v>
      </c>
      <c r="J2281">
        <v>4</v>
      </c>
      <c r="K2281">
        <v>1</v>
      </c>
      <c r="L2281">
        <v>1</v>
      </c>
      <c r="M2281">
        <v>45</v>
      </c>
      <c r="N2281">
        <v>94.65</v>
      </c>
      <c r="O2281">
        <v>0</v>
      </c>
      <c r="P22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81" t="str">
        <f>IF(Table1[[#This Row],[Fraud_Score]]&gt;=6, "High Risk",IF(Table1[[#This Row],[Fraud_Score]]&gt;=3, "Medium Risk", "Low Risk"))</f>
        <v>Low Risk</v>
      </c>
      <c r="R2281">
        <f>IF(Table1[[#This Row],[Seconds of Use]]=0,0,Table1[[#This Row],[Customer Value]]/Table1[[#This Row],[Seconds of Use]]*100)</f>
        <v>4.6103263516804684</v>
      </c>
    </row>
    <row r="2282" spans="1:18" x14ac:dyDescent="0.35">
      <c r="A2282" s="3" t="s">
        <v>2303</v>
      </c>
      <c r="B2282">
        <v>9</v>
      </c>
      <c r="C2282">
        <v>0</v>
      </c>
      <c r="D2282">
        <v>39</v>
      </c>
      <c r="E2282">
        <v>3</v>
      </c>
      <c r="F2282">
        <v>7170</v>
      </c>
      <c r="G2282">
        <v>105</v>
      </c>
      <c r="H2282">
        <v>31</v>
      </c>
      <c r="I2282">
        <v>28</v>
      </c>
      <c r="J2282">
        <v>5</v>
      </c>
      <c r="K2282">
        <v>1</v>
      </c>
      <c r="L2282">
        <v>1</v>
      </c>
      <c r="M2282">
        <v>55</v>
      </c>
      <c r="N2282">
        <v>155.625</v>
      </c>
      <c r="O2282">
        <v>0</v>
      </c>
      <c r="P22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82" t="str">
        <f>IF(Table1[[#This Row],[Fraud_Score]]&gt;=6, "High Risk",IF(Table1[[#This Row],[Fraud_Score]]&gt;=3, "Medium Risk", "Low Risk"))</f>
        <v>Low Risk</v>
      </c>
      <c r="R2282">
        <f>IF(Table1[[#This Row],[Seconds of Use]]=0,0,Table1[[#This Row],[Customer Value]]/Table1[[#This Row],[Seconds of Use]]*100)</f>
        <v>2.1705020920502092</v>
      </c>
    </row>
    <row r="2283" spans="1:18" x14ac:dyDescent="0.35">
      <c r="A2283" s="3" t="s">
        <v>2304</v>
      </c>
      <c r="B2283">
        <v>6</v>
      </c>
      <c r="C2283">
        <v>1</v>
      </c>
      <c r="D2283">
        <v>42</v>
      </c>
      <c r="E2283">
        <v>0</v>
      </c>
      <c r="F2283">
        <v>1013</v>
      </c>
      <c r="G2283">
        <v>15</v>
      </c>
      <c r="H2283">
        <v>26</v>
      </c>
      <c r="I2283">
        <v>10</v>
      </c>
      <c r="J2283">
        <v>4</v>
      </c>
      <c r="K2283">
        <v>1</v>
      </c>
      <c r="L2283">
        <v>2</v>
      </c>
      <c r="M2283">
        <v>45</v>
      </c>
      <c r="N2283">
        <v>90.7</v>
      </c>
      <c r="O2283">
        <v>1</v>
      </c>
      <c r="P22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83" t="str">
        <f>IF(Table1[[#This Row],[Fraud_Score]]&gt;=6, "High Risk",IF(Table1[[#This Row],[Fraud_Score]]&gt;=3, "Medium Risk", "Low Risk"))</f>
        <v>Medium Risk</v>
      </c>
      <c r="R2283">
        <f>IF(Table1[[#This Row],[Seconds of Use]]=0,0,Table1[[#This Row],[Customer Value]]/Table1[[#This Row],[Seconds of Use]]*100)</f>
        <v>8.9536031589338609</v>
      </c>
    </row>
    <row r="2284" spans="1:18" x14ac:dyDescent="0.35">
      <c r="A2284" s="3" t="s">
        <v>2305</v>
      </c>
      <c r="B2284">
        <v>6</v>
      </c>
      <c r="C2284">
        <v>0</v>
      </c>
      <c r="D2284">
        <v>42</v>
      </c>
      <c r="E2284">
        <v>3</v>
      </c>
      <c r="F2284">
        <v>723</v>
      </c>
      <c r="G2284">
        <v>12</v>
      </c>
      <c r="H2284">
        <v>21</v>
      </c>
      <c r="I2284">
        <v>8</v>
      </c>
      <c r="J2284">
        <v>5</v>
      </c>
      <c r="K2284">
        <v>1</v>
      </c>
      <c r="L2284">
        <v>1</v>
      </c>
      <c r="M2284">
        <v>55</v>
      </c>
      <c r="N2284">
        <v>42.524999999999999</v>
      </c>
      <c r="O2284">
        <v>0</v>
      </c>
      <c r="P22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84" t="str">
        <f>IF(Table1[[#This Row],[Fraud_Score]]&gt;=6, "High Risk",IF(Table1[[#This Row],[Fraud_Score]]&gt;=3, "Medium Risk", "Low Risk"))</f>
        <v>Low Risk</v>
      </c>
      <c r="R2284">
        <f>IF(Table1[[#This Row],[Seconds of Use]]=0,0,Table1[[#This Row],[Customer Value]]/Table1[[#This Row],[Seconds of Use]]*100)</f>
        <v>5.8817427385892112</v>
      </c>
    </row>
    <row r="2285" spans="1:18" x14ac:dyDescent="0.35">
      <c r="A2285" s="3" t="s">
        <v>2306</v>
      </c>
      <c r="B2285">
        <v>31</v>
      </c>
      <c r="C2285">
        <v>0</v>
      </c>
      <c r="D2285">
        <v>37</v>
      </c>
      <c r="E2285">
        <v>5</v>
      </c>
      <c r="F2285">
        <v>16460</v>
      </c>
      <c r="G2285">
        <v>246</v>
      </c>
      <c r="H2285">
        <v>17</v>
      </c>
      <c r="I2285">
        <v>86</v>
      </c>
      <c r="J2285">
        <v>2</v>
      </c>
      <c r="K2285">
        <v>1</v>
      </c>
      <c r="L2285">
        <v>1</v>
      </c>
      <c r="M2285">
        <v>25</v>
      </c>
      <c r="N2285">
        <v>828.27</v>
      </c>
      <c r="O2285">
        <v>0</v>
      </c>
      <c r="P22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85" t="str">
        <f>IF(Table1[[#This Row],[Fraud_Score]]&gt;=6, "High Risk",IF(Table1[[#This Row],[Fraud_Score]]&gt;=3, "Medium Risk", "Low Risk"))</f>
        <v>Medium Risk</v>
      </c>
      <c r="R2285">
        <f>IF(Table1[[#This Row],[Seconds of Use]]=0,0,Table1[[#This Row],[Customer Value]]/Table1[[#This Row],[Seconds of Use]]*100)</f>
        <v>5.0320170109356015</v>
      </c>
    </row>
    <row r="2286" spans="1:18" x14ac:dyDescent="0.35">
      <c r="A2286" s="3" t="s">
        <v>2307</v>
      </c>
      <c r="B2286">
        <v>12</v>
      </c>
      <c r="C2286">
        <v>0</v>
      </c>
      <c r="D2286">
        <v>40</v>
      </c>
      <c r="E2286">
        <v>5</v>
      </c>
      <c r="F2286">
        <v>7350</v>
      </c>
      <c r="G2286">
        <v>124</v>
      </c>
      <c r="H2286">
        <v>288</v>
      </c>
      <c r="I2286">
        <v>39</v>
      </c>
      <c r="J2286">
        <v>3</v>
      </c>
      <c r="K2286">
        <v>2</v>
      </c>
      <c r="L2286">
        <v>1</v>
      </c>
      <c r="M2286">
        <v>30</v>
      </c>
      <c r="N2286">
        <v>1450.96</v>
      </c>
      <c r="O2286">
        <v>0</v>
      </c>
      <c r="P22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86" t="str">
        <f>IF(Table1[[#This Row],[Fraud_Score]]&gt;=6, "High Risk",IF(Table1[[#This Row],[Fraud_Score]]&gt;=3, "Medium Risk", "Low Risk"))</f>
        <v>Low Risk</v>
      </c>
      <c r="R2286">
        <f>IF(Table1[[#This Row],[Seconds of Use]]=0,0,Table1[[#This Row],[Customer Value]]/Table1[[#This Row],[Seconds of Use]]*100)</f>
        <v>19.740952380952383</v>
      </c>
    </row>
    <row r="2287" spans="1:18" x14ac:dyDescent="0.35">
      <c r="A2287" s="3" t="s">
        <v>2308</v>
      </c>
      <c r="B2287">
        <v>8</v>
      </c>
      <c r="C2287">
        <v>0</v>
      </c>
      <c r="D2287">
        <v>42</v>
      </c>
      <c r="E2287">
        <v>2</v>
      </c>
      <c r="F2287">
        <v>4103</v>
      </c>
      <c r="G2287">
        <v>90</v>
      </c>
      <c r="H2287">
        <v>19</v>
      </c>
      <c r="I2287">
        <v>34</v>
      </c>
      <c r="J2287">
        <v>3</v>
      </c>
      <c r="K2287">
        <v>1</v>
      </c>
      <c r="L2287">
        <v>1</v>
      </c>
      <c r="M2287">
        <v>30</v>
      </c>
      <c r="N2287">
        <v>243.72</v>
      </c>
      <c r="O2287">
        <v>0</v>
      </c>
      <c r="P22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87" t="str">
        <f>IF(Table1[[#This Row],[Fraud_Score]]&gt;=6, "High Risk",IF(Table1[[#This Row],[Fraud_Score]]&gt;=3, "Medium Risk", "Low Risk"))</f>
        <v>Low Risk</v>
      </c>
      <c r="R2287">
        <f>IF(Table1[[#This Row],[Seconds of Use]]=0,0,Table1[[#This Row],[Customer Value]]/Table1[[#This Row],[Seconds of Use]]*100)</f>
        <v>5.9400438703387763</v>
      </c>
    </row>
    <row r="2288" spans="1:18" x14ac:dyDescent="0.35">
      <c r="A2288" s="3" t="s">
        <v>2309</v>
      </c>
      <c r="B2288">
        <v>9</v>
      </c>
      <c r="C2288">
        <v>1</v>
      </c>
      <c r="D2288">
        <v>41</v>
      </c>
      <c r="E2288">
        <v>0</v>
      </c>
      <c r="F2288">
        <v>2050</v>
      </c>
      <c r="G2288">
        <v>52</v>
      </c>
      <c r="H2288">
        <v>55</v>
      </c>
      <c r="I2288">
        <v>26</v>
      </c>
      <c r="J2288">
        <v>4</v>
      </c>
      <c r="K2288">
        <v>1</v>
      </c>
      <c r="L2288">
        <v>2</v>
      </c>
      <c r="M2288">
        <v>45</v>
      </c>
      <c r="N2288">
        <v>190.05</v>
      </c>
      <c r="O2288">
        <v>0</v>
      </c>
      <c r="P22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88" t="str">
        <f>IF(Table1[[#This Row],[Fraud_Score]]&gt;=6, "High Risk",IF(Table1[[#This Row],[Fraud_Score]]&gt;=3, "Medium Risk", "Low Risk"))</f>
        <v>Medium Risk</v>
      </c>
      <c r="R2288">
        <f>IF(Table1[[#This Row],[Seconds of Use]]=0,0,Table1[[#This Row],[Customer Value]]/Table1[[#This Row],[Seconds of Use]]*100)</f>
        <v>9.2707317073170739</v>
      </c>
    </row>
    <row r="2289" spans="1:18" x14ac:dyDescent="0.35">
      <c r="A2289" s="3" t="s">
        <v>2310</v>
      </c>
      <c r="B2289">
        <v>12</v>
      </c>
      <c r="C2289">
        <v>0</v>
      </c>
      <c r="D2289">
        <v>42</v>
      </c>
      <c r="E2289">
        <v>2</v>
      </c>
      <c r="F2289">
        <v>3165</v>
      </c>
      <c r="G2289">
        <v>61</v>
      </c>
      <c r="H2289">
        <v>192</v>
      </c>
      <c r="I2289">
        <v>29</v>
      </c>
      <c r="J2289">
        <v>2</v>
      </c>
      <c r="K2289">
        <v>1</v>
      </c>
      <c r="L2289">
        <v>1</v>
      </c>
      <c r="M2289">
        <v>25</v>
      </c>
      <c r="N2289">
        <v>1009.17</v>
      </c>
      <c r="O2289">
        <v>0</v>
      </c>
      <c r="P22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89" t="str">
        <f>IF(Table1[[#This Row],[Fraud_Score]]&gt;=6, "High Risk",IF(Table1[[#This Row],[Fraud_Score]]&gt;=3, "Medium Risk", "Low Risk"))</f>
        <v>Low Risk</v>
      </c>
      <c r="R2289">
        <f>IF(Table1[[#This Row],[Seconds of Use]]=0,0,Table1[[#This Row],[Customer Value]]/Table1[[#This Row],[Seconds of Use]]*100)</f>
        <v>31.885308056872034</v>
      </c>
    </row>
    <row r="2290" spans="1:18" x14ac:dyDescent="0.35">
      <c r="A2290" s="3" t="s">
        <v>2311</v>
      </c>
      <c r="B2290">
        <v>10</v>
      </c>
      <c r="C2290">
        <v>0</v>
      </c>
      <c r="D2290">
        <v>33</v>
      </c>
      <c r="E2290">
        <v>3</v>
      </c>
      <c r="F2290">
        <v>1700</v>
      </c>
      <c r="G2290">
        <v>44</v>
      </c>
      <c r="H2290">
        <v>210</v>
      </c>
      <c r="I2290">
        <v>17</v>
      </c>
      <c r="J2290">
        <v>3</v>
      </c>
      <c r="K2290">
        <v>2</v>
      </c>
      <c r="L2290">
        <v>1</v>
      </c>
      <c r="M2290">
        <v>30</v>
      </c>
      <c r="N2290">
        <v>909.76</v>
      </c>
      <c r="O2290">
        <v>0</v>
      </c>
      <c r="P22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90" t="str">
        <f>IF(Table1[[#This Row],[Fraud_Score]]&gt;=6, "High Risk",IF(Table1[[#This Row],[Fraud_Score]]&gt;=3, "Medium Risk", "Low Risk"))</f>
        <v>Low Risk</v>
      </c>
      <c r="R2290">
        <f>IF(Table1[[#This Row],[Seconds of Use]]=0,0,Table1[[#This Row],[Customer Value]]/Table1[[#This Row],[Seconds of Use]]*100)</f>
        <v>53.515294117647059</v>
      </c>
    </row>
    <row r="2291" spans="1:18" x14ac:dyDescent="0.35">
      <c r="A2291" s="3" t="s">
        <v>2312</v>
      </c>
      <c r="B2291">
        <v>10</v>
      </c>
      <c r="C2291">
        <v>0</v>
      </c>
      <c r="D2291">
        <v>32</v>
      </c>
      <c r="E2291">
        <v>2</v>
      </c>
      <c r="F2291">
        <v>1953</v>
      </c>
      <c r="G2291">
        <v>47</v>
      </c>
      <c r="H2291">
        <v>47</v>
      </c>
      <c r="I2291">
        <v>74</v>
      </c>
      <c r="J2291">
        <v>5</v>
      </c>
      <c r="K2291">
        <v>1</v>
      </c>
      <c r="L2291">
        <v>1</v>
      </c>
      <c r="M2291">
        <v>55</v>
      </c>
      <c r="N2291">
        <v>100.5</v>
      </c>
      <c r="O2291">
        <v>0</v>
      </c>
      <c r="P22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91" t="str">
        <f>IF(Table1[[#This Row],[Fraud_Score]]&gt;=6, "High Risk",IF(Table1[[#This Row],[Fraud_Score]]&gt;=3, "Medium Risk", "Low Risk"))</f>
        <v>Low Risk</v>
      </c>
      <c r="R2291">
        <f>IF(Table1[[#This Row],[Seconds of Use]]=0,0,Table1[[#This Row],[Customer Value]]/Table1[[#This Row],[Seconds of Use]]*100)</f>
        <v>5.1459293394777266</v>
      </c>
    </row>
    <row r="2292" spans="1:18" x14ac:dyDescent="0.35">
      <c r="A2292" s="3" t="s">
        <v>2313</v>
      </c>
      <c r="B2292">
        <v>17</v>
      </c>
      <c r="C2292">
        <v>0</v>
      </c>
      <c r="D2292">
        <v>33</v>
      </c>
      <c r="E2292">
        <v>0</v>
      </c>
      <c r="F2292">
        <v>1085</v>
      </c>
      <c r="G2292">
        <v>33</v>
      </c>
      <c r="H2292">
        <v>27</v>
      </c>
      <c r="I2292">
        <v>13</v>
      </c>
      <c r="J2292">
        <v>3</v>
      </c>
      <c r="K2292">
        <v>1</v>
      </c>
      <c r="L2292">
        <v>2</v>
      </c>
      <c r="M2292">
        <v>30</v>
      </c>
      <c r="N2292">
        <v>152.72</v>
      </c>
      <c r="O2292">
        <v>0</v>
      </c>
      <c r="P22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292" t="str">
        <f>IF(Table1[[#This Row],[Fraud_Score]]&gt;=6, "High Risk",IF(Table1[[#This Row],[Fraud_Score]]&gt;=3, "Medium Risk", "Low Risk"))</f>
        <v>Medium Risk</v>
      </c>
      <c r="R2292">
        <f>IF(Table1[[#This Row],[Seconds of Use]]=0,0,Table1[[#This Row],[Customer Value]]/Table1[[#This Row],[Seconds of Use]]*100)</f>
        <v>14.07557603686636</v>
      </c>
    </row>
    <row r="2293" spans="1:18" x14ac:dyDescent="0.35">
      <c r="A2293" s="3" t="s">
        <v>2314</v>
      </c>
      <c r="B2293">
        <v>6</v>
      </c>
      <c r="C2293">
        <v>0</v>
      </c>
      <c r="D2293">
        <v>32</v>
      </c>
      <c r="E2293">
        <v>0</v>
      </c>
      <c r="F2293">
        <v>1210</v>
      </c>
      <c r="G2293">
        <v>18</v>
      </c>
      <c r="H2293">
        <v>38</v>
      </c>
      <c r="I2293">
        <v>9</v>
      </c>
      <c r="J2293">
        <v>4</v>
      </c>
      <c r="K2293">
        <v>1</v>
      </c>
      <c r="L2293">
        <v>2</v>
      </c>
      <c r="M2293">
        <v>45</v>
      </c>
      <c r="N2293">
        <v>125.7</v>
      </c>
      <c r="O2293">
        <v>0</v>
      </c>
      <c r="P22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293" t="str">
        <f>IF(Table1[[#This Row],[Fraud_Score]]&gt;=6, "High Risk",IF(Table1[[#This Row],[Fraud_Score]]&gt;=3, "Medium Risk", "Low Risk"))</f>
        <v>Low Risk</v>
      </c>
      <c r="R2293">
        <f>IF(Table1[[#This Row],[Seconds of Use]]=0,0,Table1[[#This Row],[Customer Value]]/Table1[[#This Row],[Seconds of Use]]*100)</f>
        <v>10.388429752066115</v>
      </c>
    </row>
    <row r="2294" spans="1:18" x14ac:dyDescent="0.35">
      <c r="A2294" s="3" t="s">
        <v>2315</v>
      </c>
      <c r="B2294">
        <v>16</v>
      </c>
      <c r="C2294">
        <v>0</v>
      </c>
      <c r="D2294">
        <v>31</v>
      </c>
      <c r="E2294">
        <v>2</v>
      </c>
      <c r="F2294">
        <v>1610</v>
      </c>
      <c r="G2294">
        <v>40</v>
      </c>
      <c r="H2294">
        <v>36</v>
      </c>
      <c r="I2294">
        <v>19</v>
      </c>
      <c r="J2294">
        <v>2</v>
      </c>
      <c r="K2294">
        <v>1</v>
      </c>
      <c r="L2294">
        <v>1</v>
      </c>
      <c r="M2294">
        <v>25</v>
      </c>
      <c r="N2294">
        <v>236.25</v>
      </c>
      <c r="O2294">
        <v>0</v>
      </c>
      <c r="P22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94" t="str">
        <f>IF(Table1[[#This Row],[Fraud_Score]]&gt;=6, "High Risk",IF(Table1[[#This Row],[Fraud_Score]]&gt;=3, "Medium Risk", "Low Risk"))</f>
        <v>Low Risk</v>
      </c>
      <c r="R2294">
        <f>IF(Table1[[#This Row],[Seconds of Use]]=0,0,Table1[[#This Row],[Customer Value]]/Table1[[#This Row],[Seconds of Use]]*100)</f>
        <v>14.673913043478262</v>
      </c>
    </row>
    <row r="2295" spans="1:18" x14ac:dyDescent="0.35">
      <c r="A2295" s="3" t="s">
        <v>2316</v>
      </c>
      <c r="B2295">
        <v>8</v>
      </c>
      <c r="C2295">
        <v>0</v>
      </c>
      <c r="D2295">
        <v>31</v>
      </c>
      <c r="E2295">
        <v>2</v>
      </c>
      <c r="F2295">
        <v>3610</v>
      </c>
      <c r="G2295">
        <v>69</v>
      </c>
      <c r="H2295">
        <v>25</v>
      </c>
      <c r="I2295">
        <v>29</v>
      </c>
      <c r="J2295">
        <v>3</v>
      </c>
      <c r="K2295">
        <v>1</v>
      </c>
      <c r="L2295">
        <v>1</v>
      </c>
      <c r="M2295">
        <v>30</v>
      </c>
      <c r="N2295">
        <v>247.16</v>
      </c>
      <c r="O2295">
        <v>0</v>
      </c>
      <c r="P22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95" t="str">
        <f>IF(Table1[[#This Row],[Fraud_Score]]&gt;=6, "High Risk",IF(Table1[[#This Row],[Fraud_Score]]&gt;=3, "Medium Risk", "Low Risk"))</f>
        <v>Low Risk</v>
      </c>
      <c r="R2295">
        <f>IF(Table1[[#This Row],[Seconds of Use]]=0,0,Table1[[#This Row],[Customer Value]]/Table1[[#This Row],[Seconds of Use]]*100)</f>
        <v>6.8465373961218834</v>
      </c>
    </row>
    <row r="2296" spans="1:18" x14ac:dyDescent="0.35">
      <c r="A2296" s="3" t="s">
        <v>2317</v>
      </c>
      <c r="B2296">
        <v>8</v>
      </c>
      <c r="C2296">
        <v>0</v>
      </c>
      <c r="D2296">
        <v>24</v>
      </c>
      <c r="E2296">
        <v>2</v>
      </c>
      <c r="F2296">
        <v>2080</v>
      </c>
      <c r="G2296">
        <v>34</v>
      </c>
      <c r="H2296">
        <v>45</v>
      </c>
      <c r="I2296">
        <v>20</v>
      </c>
      <c r="J2296">
        <v>3</v>
      </c>
      <c r="K2296">
        <v>1</v>
      </c>
      <c r="L2296">
        <v>1</v>
      </c>
      <c r="M2296">
        <v>30</v>
      </c>
      <c r="N2296">
        <v>264.56</v>
      </c>
      <c r="O2296">
        <v>0</v>
      </c>
      <c r="P22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296" t="str">
        <f>IF(Table1[[#This Row],[Fraud_Score]]&gt;=6, "High Risk",IF(Table1[[#This Row],[Fraud_Score]]&gt;=3, "Medium Risk", "Low Risk"))</f>
        <v>Low Risk</v>
      </c>
      <c r="R2296">
        <f>IF(Table1[[#This Row],[Seconds of Use]]=0,0,Table1[[#This Row],[Customer Value]]/Table1[[#This Row],[Seconds of Use]]*100)</f>
        <v>12.719230769230769</v>
      </c>
    </row>
    <row r="2297" spans="1:18" x14ac:dyDescent="0.35">
      <c r="A2297" s="3" t="s">
        <v>2318</v>
      </c>
      <c r="B2297">
        <v>22</v>
      </c>
      <c r="C2297">
        <v>0</v>
      </c>
      <c r="D2297">
        <v>23</v>
      </c>
      <c r="E2297">
        <v>3</v>
      </c>
      <c r="F2297">
        <v>6778</v>
      </c>
      <c r="G2297">
        <v>149</v>
      </c>
      <c r="H2297">
        <v>102</v>
      </c>
      <c r="I2297">
        <v>48</v>
      </c>
      <c r="J2297">
        <v>2</v>
      </c>
      <c r="K2297">
        <v>2</v>
      </c>
      <c r="L2297">
        <v>1</v>
      </c>
      <c r="M2297">
        <v>25</v>
      </c>
      <c r="N2297">
        <v>770.71500000000003</v>
      </c>
      <c r="O2297">
        <v>0</v>
      </c>
      <c r="P22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297" t="str">
        <f>IF(Table1[[#This Row],[Fraud_Score]]&gt;=6, "High Risk",IF(Table1[[#This Row],[Fraud_Score]]&gt;=3, "Medium Risk", "Low Risk"))</f>
        <v>Medium Risk</v>
      </c>
      <c r="R2297">
        <f>IF(Table1[[#This Row],[Seconds of Use]]=0,0,Table1[[#This Row],[Customer Value]]/Table1[[#This Row],[Seconds of Use]]*100)</f>
        <v>11.370832103865446</v>
      </c>
    </row>
    <row r="2298" spans="1:18" x14ac:dyDescent="0.35">
      <c r="A2298" s="3" t="s">
        <v>2319</v>
      </c>
      <c r="B2298">
        <v>18</v>
      </c>
      <c r="C2298">
        <v>0</v>
      </c>
      <c r="D2298">
        <v>21</v>
      </c>
      <c r="E2298">
        <v>2</v>
      </c>
      <c r="F2298">
        <v>9318</v>
      </c>
      <c r="G2298">
        <v>179</v>
      </c>
      <c r="H2298">
        <v>90</v>
      </c>
      <c r="I2298">
        <v>46</v>
      </c>
      <c r="J2298">
        <v>5</v>
      </c>
      <c r="K2298">
        <v>1</v>
      </c>
      <c r="L2298">
        <v>1</v>
      </c>
      <c r="M2298">
        <v>55</v>
      </c>
      <c r="N2298">
        <v>277.45499999999998</v>
      </c>
      <c r="O2298">
        <v>0</v>
      </c>
      <c r="P22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298" t="str">
        <f>IF(Table1[[#This Row],[Fraud_Score]]&gt;=6, "High Risk",IF(Table1[[#This Row],[Fraud_Score]]&gt;=3, "Medium Risk", "Low Risk"))</f>
        <v>Medium Risk</v>
      </c>
      <c r="R2298">
        <f>IF(Table1[[#This Row],[Seconds of Use]]=0,0,Table1[[#This Row],[Customer Value]]/Table1[[#This Row],[Seconds of Use]]*100)</f>
        <v>2.9776239536381195</v>
      </c>
    </row>
    <row r="2299" spans="1:18" x14ac:dyDescent="0.35">
      <c r="A2299" s="3" t="s">
        <v>2320</v>
      </c>
      <c r="B2299">
        <v>14</v>
      </c>
      <c r="C2299">
        <v>0</v>
      </c>
      <c r="D2299">
        <v>22</v>
      </c>
      <c r="E2299">
        <v>5</v>
      </c>
      <c r="F2299">
        <v>3238</v>
      </c>
      <c r="G2299">
        <v>53</v>
      </c>
      <c r="H2299">
        <v>48</v>
      </c>
      <c r="I2299">
        <v>25</v>
      </c>
      <c r="J2299">
        <v>3</v>
      </c>
      <c r="K2299">
        <v>2</v>
      </c>
      <c r="L2299">
        <v>1</v>
      </c>
      <c r="M2299">
        <v>30</v>
      </c>
      <c r="N2299">
        <v>323.64</v>
      </c>
      <c r="O2299">
        <v>0</v>
      </c>
      <c r="P22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299" t="str">
        <f>IF(Table1[[#This Row],[Fraud_Score]]&gt;=6, "High Risk",IF(Table1[[#This Row],[Fraud_Score]]&gt;=3, "Medium Risk", "Low Risk"))</f>
        <v>Low Risk</v>
      </c>
      <c r="R2299">
        <f>IF(Table1[[#This Row],[Seconds of Use]]=0,0,Table1[[#This Row],[Customer Value]]/Table1[[#This Row],[Seconds of Use]]*100)</f>
        <v>9.9950586781964166</v>
      </c>
    </row>
    <row r="2300" spans="1:18" x14ac:dyDescent="0.35">
      <c r="A2300" s="3" t="s">
        <v>2321</v>
      </c>
      <c r="B2300">
        <v>8</v>
      </c>
      <c r="C2300">
        <v>0</v>
      </c>
      <c r="D2300">
        <v>15</v>
      </c>
      <c r="E2300">
        <v>3</v>
      </c>
      <c r="F2300">
        <v>4775</v>
      </c>
      <c r="G2300">
        <v>48</v>
      </c>
      <c r="H2300">
        <v>232</v>
      </c>
      <c r="I2300">
        <v>16</v>
      </c>
      <c r="J2300">
        <v>3</v>
      </c>
      <c r="K2300">
        <v>1</v>
      </c>
      <c r="L2300">
        <v>1</v>
      </c>
      <c r="M2300">
        <v>30</v>
      </c>
      <c r="N2300">
        <v>1120.92</v>
      </c>
      <c r="O2300">
        <v>0</v>
      </c>
      <c r="P23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00" t="str">
        <f>IF(Table1[[#This Row],[Fraud_Score]]&gt;=6, "High Risk",IF(Table1[[#This Row],[Fraud_Score]]&gt;=3, "Medium Risk", "Low Risk"))</f>
        <v>Low Risk</v>
      </c>
      <c r="R2300">
        <f>IF(Table1[[#This Row],[Seconds of Use]]=0,0,Table1[[#This Row],[Customer Value]]/Table1[[#This Row],[Seconds of Use]]*100)</f>
        <v>23.474764397905762</v>
      </c>
    </row>
    <row r="2301" spans="1:18" x14ac:dyDescent="0.35">
      <c r="A2301" s="3" t="s">
        <v>2322</v>
      </c>
      <c r="B2301">
        <v>9</v>
      </c>
      <c r="C2301">
        <v>1</v>
      </c>
      <c r="D2301">
        <v>15</v>
      </c>
      <c r="E2301">
        <v>3</v>
      </c>
      <c r="F2301">
        <v>1873</v>
      </c>
      <c r="G2301">
        <v>27</v>
      </c>
      <c r="H2301">
        <v>17</v>
      </c>
      <c r="I2301">
        <v>13</v>
      </c>
      <c r="J2301">
        <v>3</v>
      </c>
      <c r="K2301">
        <v>1</v>
      </c>
      <c r="L2301">
        <v>1</v>
      </c>
      <c r="M2301">
        <v>30</v>
      </c>
      <c r="N2301">
        <v>144</v>
      </c>
      <c r="O2301">
        <v>1</v>
      </c>
      <c r="P23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01" t="str">
        <f>IF(Table1[[#This Row],[Fraud_Score]]&gt;=6, "High Risk",IF(Table1[[#This Row],[Fraud_Score]]&gt;=3, "Medium Risk", "Low Risk"))</f>
        <v>Low Risk</v>
      </c>
      <c r="R2301">
        <f>IF(Table1[[#This Row],[Seconds of Use]]=0,0,Table1[[#This Row],[Customer Value]]/Table1[[#This Row],[Seconds of Use]]*100)</f>
        <v>7.688200747463962</v>
      </c>
    </row>
    <row r="2302" spans="1:18" x14ac:dyDescent="0.35">
      <c r="A2302" s="3" t="s">
        <v>2323</v>
      </c>
      <c r="B2302">
        <v>12</v>
      </c>
      <c r="C2302">
        <v>0</v>
      </c>
      <c r="D2302">
        <v>36</v>
      </c>
      <c r="E2302">
        <v>1</v>
      </c>
      <c r="F2302">
        <v>4595</v>
      </c>
      <c r="G2302">
        <v>75</v>
      </c>
      <c r="H2302">
        <v>7</v>
      </c>
      <c r="I2302">
        <v>15</v>
      </c>
      <c r="J2302">
        <v>3</v>
      </c>
      <c r="K2302">
        <v>1</v>
      </c>
      <c r="L2302">
        <v>1</v>
      </c>
      <c r="M2302">
        <v>30</v>
      </c>
      <c r="N2302">
        <v>214.8</v>
      </c>
      <c r="O2302">
        <v>0</v>
      </c>
      <c r="P23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02" t="str">
        <f>IF(Table1[[#This Row],[Fraud_Score]]&gt;=6, "High Risk",IF(Table1[[#This Row],[Fraud_Score]]&gt;=3, "Medium Risk", "Low Risk"))</f>
        <v>Low Risk</v>
      </c>
      <c r="R2302">
        <f>IF(Table1[[#This Row],[Seconds of Use]]=0,0,Table1[[#This Row],[Customer Value]]/Table1[[#This Row],[Seconds of Use]]*100)</f>
        <v>4.6746463547334063</v>
      </c>
    </row>
    <row r="2303" spans="1:18" x14ac:dyDescent="0.35">
      <c r="A2303" s="3" t="s">
        <v>2324</v>
      </c>
      <c r="B2303">
        <v>5</v>
      </c>
      <c r="C2303">
        <v>0</v>
      </c>
      <c r="D2303">
        <v>37</v>
      </c>
      <c r="E2303">
        <v>0</v>
      </c>
      <c r="F2303">
        <v>305</v>
      </c>
      <c r="G2303">
        <v>6</v>
      </c>
      <c r="H2303">
        <v>7</v>
      </c>
      <c r="I2303">
        <v>2</v>
      </c>
      <c r="J2303">
        <v>3</v>
      </c>
      <c r="K2303">
        <v>1</v>
      </c>
      <c r="L2303">
        <v>2</v>
      </c>
      <c r="M2303">
        <v>30</v>
      </c>
      <c r="N2303">
        <v>40.44</v>
      </c>
      <c r="O2303">
        <v>0</v>
      </c>
      <c r="P23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03" t="str">
        <f>IF(Table1[[#This Row],[Fraud_Score]]&gt;=6, "High Risk",IF(Table1[[#This Row],[Fraud_Score]]&gt;=3, "Medium Risk", "Low Risk"))</f>
        <v>Low Risk</v>
      </c>
      <c r="R2303">
        <f>IF(Table1[[#This Row],[Seconds of Use]]=0,0,Table1[[#This Row],[Customer Value]]/Table1[[#This Row],[Seconds of Use]]*100)</f>
        <v>13.259016393442622</v>
      </c>
    </row>
    <row r="2304" spans="1:18" x14ac:dyDescent="0.35">
      <c r="A2304" s="3" t="s">
        <v>2325</v>
      </c>
      <c r="B2304">
        <v>14</v>
      </c>
      <c r="C2304">
        <v>0</v>
      </c>
      <c r="D2304">
        <v>35</v>
      </c>
      <c r="E2304">
        <v>1</v>
      </c>
      <c r="F2304">
        <v>2678</v>
      </c>
      <c r="G2304">
        <v>64</v>
      </c>
      <c r="H2304">
        <v>356</v>
      </c>
      <c r="I2304">
        <v>22</v>
      </c>
      <c r="J2304">
        <v>3</v>
      </c>
      <c r="K2304">
        <v>1</v>
      </c>
      <c r="L2304">
        <v>1</v>
      </c>
      <c r="M2304">
        <v>30</v>
      </c>
      <c r="N2304">
        <v>1533.68</v>
      </c>
      <c r="O2304">
        <v>0</v>
      </c>
      <c r="P23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04" t="str">
        <f>IF(Table1[[#This Row],[Fraud_Score]]&gt;=6, "High Risk",IF(Table1[[#This Row],[Fraud_Score]]&gt;=3, "Medium Risk", "Low Risk"))</f>
        <v>Low Risk</v>
      </c>
      <c r="R2304">
        <f>IF(Table1[[#This Row],[Seconds of Use]]=0,0,Table1[[#This Row],[Customer Value]]/Table1[[#This Row],[Seconds of Use]]*100)</f>
        <v>57.269604182225542</v>
      </c>
    </row>
    <row r="2305" spans="1:18" x14ac:dyDescent="0.35">
      <c r="A2305" s="3" t="s">
        <v>2326</v>
      </c>
      <c r="B2305">
        <v>14</v>
      </c>
      <c r="C2305">
        <v>0</v>
      </c>
      <c r="D2305">
        <v>36</v>
      </c>
      <c r="E2305">
        <v>1</v>
      </c>
      <c r="F2305">
        <v>4423</v>
      </c>
      <c r="G2305">
        <v>70</v>
      </c>
      <c r="H2305">
        <v>7</v>
      </c>
      <c r="I2305">
        <v>33</v>
      </c>
      <c r="J2305">
        <v>2</v>
      </c>
      <c r="K2305">
        <v>1</v>
      </c>
      <c r="L2305">
        <v>1</v>
      </c>
      <c r="M2305">
        <v>25</v>
      </c>
      <c r="N2305">
        <v>233.685</v>
      </c>
      <c r="O2305">
        <v>0</v>
      </c>
      <c r="P23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05" t="str">
        <f>IF(Table1[[#This Row],[Fraud_Score]]&gt;=6, "High Risk",IF(Table1[[#This Row],[Fraud_Score]]&gt;=3, "Medium Risk", "Low Risk"))</f>
        <v>Low Risk</v>
      </c>
      <c r="R2305">
        <f>IF(Table1[[#This Row],[Seconds of Use]]=0,0,Table1[[#This Row],[Customer Value]]/Table1[[#This Row],[Seconds of Use]]*100)</f>
        <v>5.28340492878137</v>
      </c>
    </row>
    <row r="2306" spans="1:18" x14ac:dyDescent="0.35">
      <c r="A2306" s="3" t="s">
        <v>2327</v>
      </c>
      <c r="B2306">
        <v>7</v>
      </c>
      <c r="C2306">
        <v>0</v>
      </c>
      <c r="D2306">
        <v>36</v>
      </c>
      <c r="E2306">
        <v>1</v>
      </c>
      <c r="F2306">
        <v>2618</v>
      </c>
      <c r="G2306">
        <v>62</v>
      </c>
      <c r="H2306">
        <v>7</v>
      </c>
      <c r="I2306">
        <v>31</v>
      </c>
      <c r="J2306">
        <v>2</v>
      </c>
      <c r="K2306">
        <v>1</v>
      </c>
      <c r="L2306">
        <v>1</v>
      </c>
      <c r="M2306">
        <v>25</v>
      </c>
      <c r="N2306">
        <v>152.1</v>
      </c>
      <c r="O2306">
        <v>0</v>
      </c>
      <c r="P23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06" t="str">
        <f>IF(Table1[[#This Row],[Fraud_Score]]&gt;=6, "High Risk",IF(Table1[[#This Row],[Fraud_Score]]&gt;=3, "Medium Risk", "Low Risk"))</f>
        <v>Low Risk</v>
      </c>
      <c r="R2306">
        <f>IF(Table1[[#This Row],[Seconds of Use]]=0,0,Table1[[#This Row],[Customer Value]]/Table1[[#This Row],[Seconds of Use]]*100)</f>
        <v>5.8097784568372797</v>
      </c>
    </row>
    <row r="2307" spans="1:18" x14ac:dyDescent="0.35">
      <c r="A2307" s="3" t="s">
        <v>2328</v>
      </c>
      <c r="B2307">
        <v>15</v>
      </c>
      <c r="C2307">
        <v>0</v>
      </c>
      <c r="D2307">
        <v>36</v>
      </c>
      <c r="E2307">
        <v>1</v>
      </c>
      <c r="F2307">
        <v>4000</v>
      </c>
      <c r="G2307">
        <v>86</v>
      </c>
      <c r="H2307">
        <v>29</v>
      </c>
      <c r="I2307">
        <v>26</v>
      </c>
      <c r="J2307">
        <v>3</v>
      </c>
      <c r="K2307">
        <v>1</v>
      </c>
      <c r="L2307">
        <v>1</v>
      </c>
      <c r="M2307">
        <v>30</v>
      </c>
      <c r="N2307">
        <v>279.44</v>
      </c>
      <c r="O2307">
        <v>0</v>
      </c>
      <c r="P23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07" t="str">
        <f>IF(Table1[[#This Row],[Fraud_Score]]&gt;=6, "High Risk",IF(Table1[[#This Row],[Fraud_Score]]&gt;=3, "Medium Risk", "Low Risk"))</f>
        <v>Low Risk</v>
      </c>
      <c r="R2307">
        <f>IF(Table1[[#This Row],[Seconds of Use]]=0,0,Table1[[#This Row],[Customer Value]]/Table1[[#This Row],[Seconds of Use]]*100)</f>
        <v>6.9860000000000007</v>
      </c>
    </row>
    <row r="2308" spans="1:18" x14ac:dyDescent="0.35">
      <c r="A2308" s="3" t="s">
        <v>2329</v>
      </c>
      <c r="B2308">
        <v>8</v>
      </c>
      <c r="C2308">
        <v>0</v>
      </c>
      <c r="D2308">
        <v>36</v>
      </c>
      <c r="E2308">
        <v>1</v>
      </c>
      <c r="F2308">
        <v>2585</v>
      </c>
      <c r="G2308">
        <v>43</v>
      </c>
      <c r="H2308">
        <v>282</v>
      </c>
      <c r="I2308">
        <v>16</v>
      </c>
      <c r="J2308">
        <v>3</v>
      </c>
      <c r="K2308">
        <v>1</v>
      </c>
      <c r="L2308">
        <v>1</v>
      </c>
      <c r="M2308">
        <v>30</v>
      </c>
      <c r="N2308">
        <v>1233.1199999999999</v>
      </c>
      <c r="O2308">
        <v>0</v>
      </c>
      <c r="P23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08" t="str">
        <f>IF(Table1[[#This Row],[Fraud_Score]]&gt;=6, "High Risk",IF(Table1[[#This Row],[Fraud_Score]]&gt;=3, "Medium Risk", "Low Risk"))</f>
        <v>Low Risk</v>
      </c>
      <c r="R2308">
        <f>IF(Table1[[#This Row],[Seconds of Use]]=0,0,Table1[[#This Row],[Customer Value]]/Table1[[#This Row],[Seconds of Use]]*100)</f>
        <v>47.702901353965174</v>
      </c>
    </row>
    <row r="2309" spans="1:18" x14ac:dyDescent="0.35">
      <c r="A2309" s="3" t="s">
        <v>2330</v>
      </c>
      <c r="B2309">
        <v>17</v>
      </c>
      <c r="C2309">
        <v>0</v>
      </c>
      <c r="D2309">
        <v>35</v>
      </c>
      <c r="E2309">
        <v>2</v>
      </c>
      <c r="F2309">
        <v>9340</v>
      </c>
      <c r="G2309">
        <v>125</v>
      </c>
      <c r="H2309">
        <v>141</v>
      </c>
      <c r="I2309">
        <v>41</v>
      </c>
      <c r="J2309">
        <v>3</v>
      </c>
      <c r="K2309">
        <v>1</v>
      </c>
      <c r="L2309">
        <v>1</v>
      </c>
      <c r="M2309">
        <v>30</v>
      </c>
      <c r="N2309">
        <v>942.6</v>
      </c>
      <c r="O2309">
        <v>0</v>
      </c>
      <c r="P23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09" t="str">
        <f>IF(Table1[[#This Row],[Fraud_Score]]&gt;=6, "High Risk",IF(Table1[[#This Row],[Fraud_Score]]&gt;=3, "Medium Risk", "Low Risk"))</f>
        <v>Low Risk</v>
      </c>
      <c r="R2309">
        <f>IF(Table1[[#This Row],[Seconds of Use]]=0,0,Table1[[#This Row],[Customer Value]]/Table1[[#This Row],[Seconds of Use]]*100)</f>
        <v>10.092077087794433</v>
      </c>
    </row>
    <row r="2310" spans="1:18" x14ac:dyDescent="0.35">
      <c r="A2310" s="3" t="s">
        <v>2331</v>
      </c>
      <c r="B2310">
        <v>11</v>
      </c>
      <c r="C2310">
        <v>0</v>
      </c>
      <c r="D2310">
        <v>36</v>
      </c>
      <c r="E2310">
        <v>1</v>
      </c>
      <c r="F2310">
        <v>13998</v>
      </c>
      <c r="G2310">
        <v>173</v>
      </c>
      <c r="H2310">
        <v>7</v>
      </c>
      <c r="I2310">
        <v>42</v>
      </c>
      <c r="J2310">
        <v>3</v>
      </c>
      <c r="K2310">
        <v>1</v>
      </c>
      <c r="L2310">
        <v>1</v>
      </c>
      <c r="M2310">
        <v>30</v>
      </c>
      <c r="N2310">
        <v>594.84</v>
      </c>
      <c r="O2310">
        <v>0</v>
      </c>
      <c r="P23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10" t="str">
        <f>IF(Table1[[#This Row],[Fraud_Score]]&gt;=6, "High Risk",IF(Table1[[#This Row],[Fraud_Score]]&gt;=3, "Medium Risk", "Low Risk"))</f>
        <v>Medium Risk</v>
      </c>
      <c r="R2310">
        <f>IF(Table1[[#This Row],[Seconds of Use]]=0,0,Table1[[#This Row],[Customer Value]]/Table1[[#This Row],[Seconds of Use]]*100)</f>
        <v>4.2494642091727393</v>
      </c>
    </row>
    <row r="2311" spans="1:18" x14ac:dyDescent="0.35">
      <c r="A2311" s="3" t="s">
        <v>2332</v>
      </c>
      <c r="B2311">
        <v>11</v>
      </c>
      <c r="C2311">
        <v>0</v>
      </c>
      <c r="D2311">
        <v>36</v>
      </c>
      <c r="E2311">
        <v>1</v>
      </c>
      <c r="F2311">
        <v>4740</v>
      </c>
      <c r="G2311">
        <v>87</v>
      </c>
      <c r="H2311">
        <v>7</v>
      </c>
      <c r="I2311">
        <v>23</v>
      </c>
      <c r="J2311">
        <v>3</v>
      </c>
      <c r="K2311">
        <v>1</v>
      </c>
      <c r="L2311">
        <v>1</v>
      </c>
      <c r="M2311">
        <v>30</v>
      </c>
      <c r="N2311">
        <v>221.08</v>
      </c>
      <c r="O2311">
        <v>0</v>
      </c>
      <c r="P23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11" t="str">
        <f>IF(Table1[[#This Row],[Fraud_Score]]&gt;=6, "High Risk",IF(Table1[[#This Row],[Fraud_Score]]&gt;=3, "Medium Risk", "Low Risk"))</f>
        <v>Low Risk</v>
      </c>
      <c r="R2311">
        <f>IF(Table1[[#This Row],[Seconds of Use]]=0,0,Table1[[#This Row],[Customer Value]]/Table1[[#This Row],[Seconds of Use]]*100)</f>
        <v>4.6641350210970467</v>
      </c>
    </row>
    <row r="2312" spans="1:18" x14ac:dyDescent="0.35">
      <c r="A2312" s="3" t="s">
        <v>2333</v>
      </c>
      <c r="B2312">
        <v>10</v>
      </c>
      <c r="C2312">
        <v>0</v>
      </c>
      <c r="D2312">
        <v>36</v>
      </c>
      <c r="E2312">
        <v>1</v>
      </c>
      <c r="F2312">
        <v>6143</v>
      </c>
      <c r="G2312">
        <v>99</v>
      </c>
      <c r="H2312">
        <v>7</v>
      </c>
      <c r="I2312">
        <v>10</v>
      </c>
      <c r="J2312">
        <v>3</v>
      </c>
      <c r="K2312">
        <v>1</v>
      </c>
      <c r="L2312">
        <v>1</v>
      </c>
      <c r="M2312">
        <v>30</v>
      </c>
      <c r="N2312">
        <v>277.68</v>
      </c>
      <c r="O2312">
        <v>0</v>
      </c>
      <c r="P23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12" t="str">
        <f>IF(Table1[[#This Row],[Fraud_Score]]&gt;=6, "High Risk",IF(Table1[[#This Row],[Fraud_Score]]&gt;=3, "Medium Risk", "Low Risk"))</f>
        <v>Low Risk</v>
      </c>
      <c r="R2312">
        <f>IF(Table1[[#This Row],[Seconds of Use]]=0,0,Table1[[#This Row],[Customer Value]]/Table1[[#This Row],[Seconds of Use]]*100)</f>
        <v>4.5202669705355696</v>
      </c>
    </row>
    <row r="2313" spans="1:18" x14ac:dyDescent="0.35">
      <c r="A2313" s="3" t="s">
        <v>2334</v>
      </c>
      <c r="B2313">
        <v>13</v>
      </c>
      <c r="C2313">
        <v>0</v>
      </c>
      <c r="D2313">
        <v>36</v>
      </c>
      <c r="E2313">
        <v>0</v>
      </c>
      <c r="F2313">
        <v>2463</v>
      </c>
      <c r="G2313">
        <v>58</v>
      </c>
      <c r="H2313">
        <v>7</v>
      </c>
      <c r="I2313">
        <v>15</v>
      </c>
      <c r="J2313">
        <v>3</v>
      </c>
      <c r="K2313">
        <v>1</v>
      </c>
      <c r="L2313">
        <v>2</v>
      </c>
      <c r="M2313">
        <v>30</v>
      </c>
      <c r="N2313">
        <v>128.84</v>
      </c>
      <c r="O2313">
        <v>0</v>
      </c>
      <c r="P23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13" t="str">
        <f>IF(Table1[[#This Row],[Fraud_Score]]&gt;=6, "High Risk",IF(Table1[[#This Row],[Fraud_Score]]&gt;=3, "Medium Risk", "Low Risk"))</f>
        <v>Medium Risk</v>
      </c>
      <c r="R2313">
        <f>IF(Table1[[#This Row],[Seconds of Use]]=0,0,Table1[[#This Row],[Customer Value]]/Table1[[#This Row],[Seconds of Use]]*100)</f>
        <v>5.2310190824198131</v>
      </c>
    </row>
    <row r="2314" spans="1:18" x14ac:dyDescent="0.35">
      <c r="A2314" s="3" t="s">
        <v>2335</v>
      </c>
      <c r="B2314">
        <v>29</v>
      </c>
      <c r="C2314">
        <v>0</v>
      </c>
      <c r="D2314">
        <v>36</v>
      </c>
      <c r="E2314">
        <v>3</v>
      </c>
      <c r="F2314">
        <v>15365</v>
      </c>
      <c r="G2314">
        <v>229</v>
      </c>
      <c r="H2314">
        <v>51</v>
      </c>
      <c r="I2314">
        <v>30</v>
      </c>
      <c r="J2314">
        <v>3</v>
      </c>
      <c r="K2314">
        <v>1</v>
      </c>
      <c r="L2314">
        <v>1</v>
      </c>
      <c r="M2314">
        <v>30</v>
      </c>
      <c r="N2314">
        <v>827.76</v>
      </c>
      <c r="O2314">
        <v>0</v>
      </c>
      <c r="P23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14" t="str">
        <f>IF(Table1[[#This Row],[Fraud_Score]]&gt;=6, "High Risk",IF(Table1[[#This Row],[Fraud_Score]]&gt;=3, "Medium Risk", "Low Risk"))</f>
        <v>Medium Risk</v>
      </c>
      <c r="R2314">
        <f>IF(Table1[[#This Row],[Seconds of Use]]=0,0,Table1[[#This Row],[Customer Value]]/Table1[[#This Row],[Seconds of Use]]*100)</f>
        <v>5.3873088187438984</v>
      </c>
    </row>
    <row r="2315" spans="1:18" x14ac:dyDescent="0.35">
      <c r="A2315" s="3" t="s">
        <v>2336</v>
      </c>
      <c r="B2315">
        <v>8</v>
      </c>
      <c r="C2315">
        <v>0</v>
      </c>
      <c r="D2315">
        <v>36</v>
      </c>
      <c r="E2315">
        <v>1</v>
      </c>
      <c r="F2315">
        <v>3320</v>
      </c>
      <c r="G2315">
        <v>31</v>
      </c>
      <c r="H2315">
        <v>480</v>
      </c>
      <c r="I2315">
        <v>6</v>
      </c>
      <c r="J2315">
        <v>3</v>
      </c>
      <c r="K2315">
        <v>1</v>
      </c>
      <c r="L2315">
        <v>1</v>
      </c>
      <c r="M2315">
        <v>30</v>
      </c>
      <c r="N2315">
        <v>2054.04</v>
      </c>
      <c r="O2315">
        <v>0</v>
      </c>
      <c r="P23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15" t="str">
        <f>IF(Table1[[#This Row],[Fraud_Score]]&gt;=6, "High Risk",IF(Table1[[#This Row],[Fraud_Score]]&gt;=3, "Medium Risk", "Low Risk"))</f>
        <v>Low Risk</v>
      </c>
      <c r="R2315">
        <f>IF(Table1[[#This Row],[Seconds of Use]]=0,0,Table1[[#This Row],[Customer Value]]/Table1[[#This Row],[Seconds of Use]]*100)</f>
        <v>61.868674698795175</v>
      </c>
    </row>
    <row r="2316" spans="1:18" x14ac:dyDescent="0.35">
      <c r="A2316" s="3" t="s">
        <v>2337</v>
      </c>
      <c r="B2316">
        <v>13</v>
      </c>
      <c r="C2316">
        <v>0</v>
      </c>
      <c r="D2316">
        <v>35</v>
      </c>
      <c r="E2316">
        <v>1</v>
      </c>
      <c r="F2316">
        <v>15710</v>
      </c>
      <c r="G2316">
        <v>186</v>
      </c>
      <c r="H2316">
        <v>147</v>
      </c>
      <c r="I2316">
        <v>28</v>
      </c>
      <c r="J2316">
        <v>2</v>
      </c>
      <c r="K2316">
        <v>1</v>
      </c>
      <c r="L2316">
        <v>1</v>
      </c>
      <c r="M2316">
        <v>25</v>
      </c>
      <c r="N2316">
        <v>1376.82</v>
      </c>
      <c r="O2316">
        <v>0</v>
      </c>
      <c r="P23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16" t="str">
        <f>IF(Table1[[#This Row],[Fraud_Score]]&gt;=6, "High Risk",IF(Table1[[#This Row],[Fraud_Score]]&gt;=3, "Medium Risk", "Low Risk"))</f>
        <v>Medium Risk</v>
      </c>
      <c r="R2316">
        <f>IF(Table1[[#This Row],[Seconds of Use]]=0,0,Table1[[#This Row],[Customer Value]]/Table1[[#This Row],[Seconds of Use]]*100)</f>
        <v>8.7639719923615527</v>
      </c>
    </row>
    <row r="2317" spans="1:18" x14ac:dyDescent="0.35">
      <c r="A2317" s="3" t="s">
        <v>2338</v>
      </c>
      <c r="B2317">
        <v>7</v>
      </c>
      <c r="C2317">
        <v>0</v>
      </c>
      <c r="D2317">
        <v>35</v>
      </c>
      <c r="E2317">
        <v>1</v>
      </c>
      <c r="F2317">
        <v>6725</v>
      </c>
      <c r="G2317">
        <v>90</v>
      </c>
      <c r="H2317">
        <v>183</v>
      </c>
      <c r="I2317">
        <v>24</v>
      </c>
      <c r="J2317">
        <v>3</v>
      </c>
      <c r="K2317">
        <v>1</v>
      </c>
      <c r="L2317">
        <v>1</v>
      </c>
      <c r="M2317">
        <v>30</v>
      </c>
      <c r="N2317">
        <v>1004.6</v>
      </c>
      <c r="O2317">
        <v>0</v>
      </c>
      <c r="P23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17" t="str">
        <f>IF(Table1[[#This Row],[Fraud_Score]]&gt;=6, "High Risk",IF(Table1[[#This Row],[Fraud_Score]]&gt;=3, "Medium Risk", "Low Risk"))</f>
        <v>Low Risk</v>
      </c>
      <c r="R2317">
        <f>IF(Table1[[#This Row],[Seconds of Use]]=0,0,Table1[[#This Row],[Customer Value]]/Table1[[#This Row],[Seconds of Use]]*100)</f>
        <v>14.93828996282528</v>
      </c>
    </row>
    <row r="2318" spans="1:18" x14ac:dyDescent="0.35">
      <c r="A2318" s="3" t="s">
        <v>2339</v>
      </c>
      <c r="B2318">
        <v>5</v>
      </c>
      <c r="C2318">
        <v>0</v>
      </c>
      <c r="D2318">
        <v>35</v>
      </c>
      <c r="E2318">
        <v>0</v>
      </c>
      <c r="F2318">
        <v>1100</v>
      </c>
      <c r="G2318">
        <v>18</v>
      </c>
      <c r="H2318">
        <v>7</v>
      </c>
      <c r="I2318">
        <v>9</v>
      </c>
      <c r="J2318">
        <v>2</v>
      </c>
      <c r="K2318">
        <v>1</v>
      </c>
      <c r="L2318">
        <v>2</v>
      </c>
      <c r="M2318">
        <v>25</v>
      </c>
      <c r="N2318">
        <v>81.81</v>
      </c>
      <c r="O2318">
        <v>0</v>
      </c>
      <c r="P23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18" t="str">
        <f>IF(Table1[[#This Row],[Fraud_Score]]&gt;=6, "High Risk",IF(Table1[[#This Row],[Fraud_Score]]&gt;=3, "Medium Risk", "Low Risk"))</f>
        <v>Low Risk</v>
      </c>
      <c r="R2318">
        <f>IF(Table1[[#This Row],[Seconds of Use]]=0,0,Table1[[#This Row],[Customer Value]]/Table1[[#This Row],[Seconds of Use]]*100)</f>
        <v>7.4372727272727275</v>
      </c>
    </row>
    <row r="2319" spans="1:18" x14ac:dyDescent="0.35">
      <c r="A2319" s="3" t="s">
        <v>2340</v>
      </c>
      <c r="B2319">
        <v>6</v>
      </c>
      <c r="C2319">
        <v>0</v>
      </c>
      <c r="D2319">
        <v>36</v>
      </c>
      <c r="E2319">
        <v>0</v>
      </c>
      <c r="F2319">
        <v>935</v>
      </c>
      <c r="G2319">
        <v>18</v>
      </c>
      <c r="H2319">
        <v>10</v>
      </c>
      <c r="I2319">
        <v>6</v>
      </c>
      <c r="J2319">
        <v>3</v>
      </c>
      <c r="K2319">
        <v>1</v>
      </c>
      <c r="L2319">
        <v>2</v>
      </c>
      <c r="M2319">
        <v>30</v>
      </c>
      <c r="N2319">
        <v>78.12</v>
      </c>
      <c r="O2319">
        <v>0</v>
      </c>
      <c r="P23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19" t="str">
        <f>IF(Table1[[#This Row],[Fraud_Score]]&gt;=6, "High Risk",IF(Table1[[#This Row],[Fraud_Score]]&gt;=3, "Medium Risk", "Low Risk"))</f>
        <v>Low Risk</v>
      </c>
      <c r="R2319">
        <f>IF(Table1[[#This Row],[Seconds of Use]]=0,0,Table1[[#This Row],[Customer Value]]/Table1[[#This Row],[Seconds of Use]]*100)</f>
        <v>8.3550802139037437</v>
      </c>
    </row>
    <row r="2320" spans="1:18" x14ac:dyDescent="0.35">
      <c r="A2320" s="3" t="s">
        <v>2341</v>
      </c>
      <c r="B2320">
        <v>5</v>
      </c>
      <c r="C2320">
        <v>0</v>
      </c>
      <c r="D2320">
        <v>35</v>
      </c>
      <c r="E2320">
        <v>0</v>
      </c>
      <c r="F2320">
        <v>305</v>
      </c>
      <c r="G2320">
        <v>6</v>
      </c>
      <c r="H2320">
        <v>7</v>
      </c>
      <c r="I2320">
        <v>2</v>
      </c>
      <c r="J2320">
        <v>2</v>
      </c>
      <c r="K2320">
        <v>1</v>
      </c>
      <c r="L2320">
        <v>2</v>
      </c>
      <c r="M2320">
        <v>25</v>
      </c>
      <c r="N2320">
        <v>45.494999999999997</v>
      </c>
      <c r="O2320">
        <v>1</v>
      </c>
      <c r="P23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20" t="str">
        <f>IF(Table1[[#This Row],[Fraud_Score]]&gt;=6, "High Risk",IF(Table1[[#This Row],[Fraud_Score]]&gt;=3, "Medium Risk", "Low Risk"))</f>
        <v>Low Risk</v>
      </c>
      <c r="R2320">
        <f>IF(Table1[[#This Row],[Seconds of Use]]=0,0,Table1[[#This Row],[Customer Value]]/Table1[[#This Row],[Seconds of Use]]*100)</f>
        <v>14.916393442622949</v>
      </c>
    </row>
    <row r="2321" spans="1:18" x14ac:dyDescent="0.35">
      <c r="A2321" s="3" t="s">
        <v>2342</v>
      </c>
      <c r="B2321">
        <v>7</v>
      </c>
      <c r="C2321">
        <v>0</v>
      </c>
      <c r="D2321">
        <v>35</v>
      </c>
      <c r="E2321">
        <v>1</v>
      </c>
      <c r="F2321">
        <v>7733</v>
      </c>
      <c r="G2321">
        <v>131</v>
      </c>
      <c r="H2321">
        <v>381</v>
      </c>
      <c r="I2321">
        <v>41</v>
      </c>
      <c r="J2321">
        <v>3</v>
      </c>
      <c r="K2321">
        <v>1</v>
      </c>
      <c r="L2321">
        <v>1</v>
      </c>
      <c r="M2321">
        <v>30</v>
      </c>
      <c r="N2321">
        <v>1838.56</v>
      </c>
      <c r="O2321">
        <v>0</v>
      </c>
      <c r="P23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21" t="str">
        <f>IF(Table1[[#This Row],[Fraud_Score]]&gt;=6, "High Risk",IF(Table1[[#This Row],[Fraud_Score]]&gt;=3, "Medium Risk", "Low Risk"))</f>
        <v>Low Risk</v>
      </c>
      <c r="R2321">
        <f>IF(Table1[[#This Row],[Seconds of Use]]=0,0,Table1[[#This Row],[Customer Value]]/Table1[[#This Row],[Seconds of Use]]*100)</f>
        <v>23.77550756498125</v>
      </c>
    </row>
    <row r="2322" spans="1:18" x14ac:dyDescent="0.35">
      <c r="A2322" s="3" t="s">
        <v>2343</v>
      </c>
      <c r="B2322">
        <v>11</v>
      </c>
      <c r="C2322">
        <v>0</v>
      </c>
      <c r="D2322">
        <v>35</v>
      </c>
      <c r="E2322">
        <v>1</v>
      </c>
      <c r="F2322">
        <v>11690</v>
      </c>
      <c r="G2322">
        <v>158</v>
      </c>
      <c r="H2322">
        <v>8</v>
      </c>
      <c r="I2322">
        <v>45</v>
      </c>
      <c r="J2322">
        <v>4</v>
      </c>
      <c r="K2322">
        <v>1</v>
      </c>
      <c r="L2322">
        <v>1</v>
      </c>
      <c r="M2322">
        <v>45</v>
      </c>
      <c r="N2322">
        <v>316.2</v>
      </c>
      <c r="O2322">
        <v>0</v>
      </c>
      <c r="P23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22" t="str">
        <f>IF(Table1[[#This Row],[Fraud_Score]]&gt;=6, "High Risk",IF(Table1[[#This Row],[Fraud_Score]]&gt;=3, "Medium Risk", "Low Risk"))</f>
        <v>Medium Risk</v>
      </c>
      <c r="R2322">
        <f>IF(Table1[[#This Row],[Seconds of Use]]=0,0,Table1[[#This Row],[Customer Value]]/Table1[[#This Row],[Seconds of Use]]*100)</f>
        <v>2.7048759623609921</v>
      </c>
    </row>
    <row r="2323" spans="1:18" x14ac:dyDescent="0.35">
      <c r="A2323" s="3" t="s">
        <v>2344</v>
      </c>
      <c r="B2323">
        <v>12</v>
      </c>
      <c r="C2323">
        <v>0</v>
      </c>
      <c r="D2323">
        <v>35</v>
      </c>
      <c r="E2323">
        <v>1</v>
      </c>
      <c r="F2323">
        <v>6943</v>
      </c>
      <c r="G2323">
        <v>79</v>
      </c>
      <c r="H2323">
        <v>105</v>
      </c>
      <c r="I2323">
        <v>35</v>
      </c>
      <c r="J2323">
        <v>2</v>
      </c>
      <c r="K2323">
        <v>1</v>
      </c>
      <c r="L2323">
        <v>1</v>
      </c>
      <c r="M2323">
        <v>25</v>
      </c>
      <c r="N2323">
        <v>788.49</v>
      </c>
      <c r="O2323">
        <v>0</v>
      </c>
      <c r="P23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23" t="str">
        <f>IF(Table1[[#This Row],[Fraud_Score]]&gt;=6, "High Risk",IF(Table1[[#This Row],[Fraud_Score]]&gt;=3, "Medium Risk", "Low Risk"))</f>
        <v>Low Risk</v>
      </c>
      <c r="R2323">
        <f>IF(Table1[[#This Row],[Seconds of Use]]=0,0,Table1[[#This Row],[Customer Value]]/Table1[[#This Row],[Seconds of Use]]*100)</f>
        <v>11.35661817658073</v>
      </c>
    </row>
    <row r="2324" spans="1:18" x14ac:dyDescent="0.35">
      <c r="A2324" s="3" t="s">
        <v>2345</v>
      </c>
      <c r="B2324">
        <v>27</v>
      </c>
      <c r="C2324">
        <v>1</v>
      </c>
      <c r="D2324">
        <v>31</v>
      </c>
      <c r="E2324">
        <v>0</v>
      </c>
      <c r="F2324">
        <v>1180</v>
      </c>
      <c r="G2324">
        <v>51</v>
      </c>
      <c r="H2324">
        <v>13</v>
      </c>
      <c r="I2324">
        <v>15</v>
      </c>
      <c r="J2324">
        <v>3</v>
      </c>
      <c r="K2324">
        <v>1</v>
      </c>
      <c r="L2324">
        <v>2</v>
      </c>
      <c r="M2324">
        <v>30</v>
      </c>
      <c r="N2324">
        <v>101.24</v>
      </c>
      <c r="O2324">
        <v>1</v>
      </c>
      <c r="P23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24" t="str">
        <f>IF(Table1[[#This Row],[Fraud_Score]]&gt;=6, "High Risk",IF(Table1[[#This Row],[Fraud_Score]]&gt;=3, "Medium Risk", "Low Risk"))</f>
        <v>Medium Risk</v>
      </c>
      <c r="R2324">
        <f>IF(Table1[[#This Row],[Seconds of Use]]=0,0,Table1[[#This Row],[Customer Value]]/Table1[[#This Row],[Seconds of Use]]*100)</f>
        <v>8.579661016949153</v>
      </c>
    </row>
    <row r="2325" spans="1:18" x14ac:dyDescent="0.35">
      <c r="A2325" s="3" t="s">
        <v>2346</v>
      </c>
      <c r="B2325">
        <v>25</v>
      </c>
      <c r="C2325">
        <v>0</v>
      </c>
      <c r="D2325">
        <v>34</v>
      </c>
      <c r="E2325">
        <v>8</v>
      </c>
      <c r="F2325">
        <v>10660</v>
      </c>
      <c r="G2325">
        <v>97</v>
      </c>
      <c r="H2325">
        <v>7</v>
      </c>
      <c r="I2325">
        <v>40</v>
      </c>
      <c r="J2325">
        <v>5</v>
      </c>
      <c r="K2325">
        <v>1</v>
      </c>
      <c r="L2325">
        <v>1</v>
      </c>
      <c r="M2325">
        <v>55</v>
      </c>
      <c r="N2325">
        <v>171.85499999999999</v>
      </c>
      <c r="O2325">
        <v>0</v>
      </c>
      <c r="P23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25" t="str">
        <f>IF(Table1[[#This Row],[Fraud_Score]]&gt;=6, "High Risk",IF(Table1[[#This Row],[Fraud_Score]]&gt;=3, "Medium Risk", "Low Risk"))</f>
        <v>Low Risk</v>
      </c>
      <c r="R2325">
        <f>IF(Table1[[#This Row],[Seconds of Use]]=0,0,Table1[[#This Row],[Customer Value]]/Table1[[#This Row],[Seconds of Use]]*100)</f>
        <v>1.6121482176360225</v>
      </c>
    </row>
    <row r="2326" spans="1:18" x14ac:dyDescent="0.35">
      <c r="A2326" s="3" t="s">
        <v>2347</v>
      </c>
      <c r="B2326">
        <v>17</v>
      </c>
      <c r="C2326">
        <v>0</v>
      </c>
      <c r="D2326">
        <v>34</v>
      </c>
      <c r="E2326">
        <v>1</v>
      </c>
      <c r="F2326">
        <v>6043</v>
      </c>
      <c r="G2326">
        <v>102</v>
      </c>
      <c r="H2326">
        <v>23</v>
      </c>
      <c r="I2326">
        <v>22</v>
      </c>
      <c r="J2326">
        <v>2</v>
      </c>
      <c r="K2326">
        <v>1</v>
      </c>
      <c r="L2326">
        <v>1</v>
      </c>
      <c r="M2326">
        <v>25</v>
      </c>
      <c r="N2326">
        <v>380.02499999999998</v>
      </c>
      <c r="O2326">
        <v>0</v>
      </c>
      <c r="P23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26" t="str">
        <f>IF(Table1[[#This Row],[Fraud_Score]]&gt;=6, "High Risk",IF(Table1[[#This Row],[Fraud_Score]]&gt;=3, "Medium Risk", "Low Risk"))</f>
        <v>Low Risk</v>
      </c>
      <c r="R2326">
        <f>IF(Table1[[#This Row],[Seconds of Use]]=0,0,Table1[[#This Row],[Customer Value]]/Table1[[#This Row],[Seconds of Use]]*100)</f>
        <v>6.2886811186496763</v>
      </c>
    </row>
    <row r="2327" spans="1:18" x14ac:dyDescent="0.35">
      <c r="A2327" s="3" t="s">
        <v>2348</v>
      </c>
      <c r="B2327">
        <v>5</v>
      </c>
      <c r="C2327">
        <v>0</v>
      </c>
      <c r="D2327">
        <v>32</v>
      </c>
      <c r="E2327">
        <v>1</v>
      </c>
      <c r="F2327">
        <v>3065</v>
      </c>
      <c r="G2327">
        <v>26</v>
      </c>
      <c r="H2327">
        <v>7</v>
      </c>
      <c r="I2327">
        <v>12</v>
      </c>
      <c r="J2327">
        <v>3</v>
      </c>
      <c r="K2327">
        <v>1</v>
      </c>
      <c r="L2327">
        <v>1</v>
      </c>
      <c r="M2327">
        <v>30</v>
      </c>
      <c r="N2327">
        <v>151.63999999999999</v>
      </c>
      <c r="O2327">
        <v>0</v>
      </c>
      <c r="P23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27" t="str">
        <f>IF(Table1[[#This Row],[Fraud_Score]]&gt;=6, "High Risk",IF(Table1[[#This Row],[Fraud_Score]]&gt;=3, "Medium Risk", "Low Risk"))</f>
        <v>Low Risk</v>
      </c>
      <c r="R2327">
        <f>IF(Table1[[#This Row],[Seconds of Use]]=0,0,Table1[[#This Row],[Customer Value]]/Table1[[#This Row],[Seconds of Use]]*100)</f>
        <v>4.9474714518760194</v>
      </c>
    </row>
    <row r="2328" spans="1:18" x14ac:dyDescent="0.35">
      <c r="A2328" s="3" t="s">
        <v>2349</v>
      </c>
      <c r="B2328">
        <v>13</v>
      </c>
      <c r="C2328">
        <v>1</v>
      </c>
      <c r="D2328">
        <v>33</v>
      </c>
      <c r="E2328">
        <v>0</v>
      </c>
      <c r="F2328">
        <v>3215</v>
      </c>
      <c r="G2328">
        <v>45</v>
      </c>
      <c r="H2328">
        <v>7</v>
      </c>
      <c r="I2328">
        <v>14</v>
      </c>
      <c r="J2328">
        <v>3</v>
      </c>
      <c r="K2328">
        <v>1</v>
      </c>
      <c r="L2328">
        <v>2</v>
      </c>
      <c r="M2328">
        <v>30</v>
      </c>
      <c r="N2328">
        <v>158.4</v>
      </c>
      <c r="O2328">
        <v>1</v>
      </c>
      <c r="P23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28" t="str">
        <f>IF(Table1[[#This Row],[Fraud_Score]]&gt;=6, "High Risk",IF(Table1[[#This Row],[Fraud_Score]]&gt;=3, "Medium Risk", "Low Risk"))</f>
        <v>Medium Risk</v>
      </c>
      <c r="R2328">
        <f>IF(Table1[[#This Row],[Seconds of Use]]=0,0,Table1[[#This Row],[Customer Value]]/Table1[[#This Row],[Seconds of Use]]*100)</f>
        <v>4.9269051321928465</v>
      </c>
    </row>
    <row r="2329" spans="1:18" x14ac:dyDescent="0.35">
      <c r="A2329" s="3" t="s">
        <v>2350</v>
      </c>
      <c r="B2329">
        <v>13</v>
      </c>
      <c r="C2329">
        <v>1</v>
      </c>
      <c r="D2329">
        <v>34</v>
      </c>
      <c r="E2329">
        <v>0</v>
      </c>
      <c r="F2329">
        <v>2493</v>
      </c>
      <c r="G2329">
        <v>48</v>
      </c>
      <c r="H2329">
        <v>31</v>
      </c>
      <c r="I2329">
        <v>29</v>
      </c>
      <c r="J2329">
        <v>3</v>
      </c>
      <c r="K2329">
        <v>1</v>
      </c>
      <c r="L2329">
        <v>2</v>
      </c>
      <c r="M2329">
        <v>30</v>
      </c>
      <c r="N2329">
        <v>225.64</v>
      </c>
      <c r="O2329">
        <v>1</v>
      </c>
      <c r="P23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29" t="str">
        <f>IF(Table1[[#This Row],[Fraud_Score]]&gt;=6, "High Risk",IF(Table1[[#This Row],[Fraud_Score]]&gt;=3, "Medium Risk", "Low Risk"))</f>
        <v>Medium Risk</v>
      </c>
      <c r="R2329">
        <f>IF(Table1[[#This Row],[Seconds of Use]]=0,0,Table1[[#This Row],[Customer Value]]/Table1[[#This Row],[Seconds of Use]]*100)</f>
        <v>9.0509426393902928</v>
      </c>
    </row>
    <row r="2330" spans="1:18" x14ac:dyDescent="0.35">
      <c r="A2330" s="3" t="s">
        <v>2351</v>
      </c>
      <c r="B2330">
        <v>5</v>
      </c>
      <c r="C2330">
        <v>0</v>
      </c>
      <c r="D2330">
        <v>34</v>
      </c>
      <c r="E2330">
        <v>0</v>
      </c>
      <c r="F2330">
        <v>305</v>
      </c>
      <c r="G2330">
        <v>6</v>
      </c>
      <c r="H2330">
        <v>7</v>
      </c>
      <c r="I2330">
        <v>2</v>
      </c>
      <c r="J2330">
        <v>3</v>
      </c>
      <c r="K2330">
        <v>1</v>
      </c>
      <c r="L2330">
        <v>2</v>
      </c>
      <c r="M2330">
        <v>30</v>
      </c>
      <c r="N2330">
        <v>40.44</v>
      </c>
      <c r="O2330">
        <v>1</v>
      </c>
      <c r="P23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30" t="str">
        <f>IF(Table1[[#This Row],[Fraud_Score]]&gt;=6, "High Risk",IF(Table1[[#This Row],[Fraud_Score]]&gt;=3, "Medium Risk", "Low Risk"))</f>
        <v>Low Risk</v>
      </c>
      <c r="R2330">
        <f>IF(Table1[[#This Row],[Seconds of Use]]=0,0,Table1[[#This Row],[Customer Value]]/Table1[[#This Row],[Seconds of Use]]*100)</f>
        <v>13.259016393442622</v>
      </c>
    </row>
    <row r="2331" spans="1:18" x14ac:dyDescent="0.35">
      <c r="A2331" s="3" t="s">
        <v>2352</v>
      </c>
      <c r="B2331">
        <v>5</v>
      </c>
      <c r="C2331">
        <v>0</v>
      </c>
      <c r="D2331">
        <v>34</v>
      </c>
      <c r="E2331">
        <v>1</v>
      </c>
      <c r="F2331">
        <v>1893</v>
      </c>
      <c r="G2331">
        <v>29</v>
      </c>
      <c r="H2331">
        <v>7</v>
      </c>
      <c r="I2331">
        <v>4</v>
      </c>
      <c r="J2331">
        <v>4</v>
      </c>
      <c r="K2331">
        <v>1</v>
      </c>
      <c r="L2331">
        <v>1</v>
      </c>
      <c r="M2331">
        <v>45</v>
      </c>
      <c r="N2331">
        <v>65.55</v>
      </c>
      <c r="O2331">
        <v>0</v>
      </c>
      <c r="P23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31" t="str">
        <f>IF(Table1[[#This Row],[Fraud_Score]]&gt;=6, "High Risk",IF(Table1[[#This Row],[Fraud_Score]]&gt;=3, "Medium Risk", "Low Risk"))</f>
        <v>Low Risk</v>
      </c>
      <c r="R2331">
        <f>IF(Table1[[#This Row],[Seconds of Use]]=0,0,Table1[[#This Row],[Customer Value]]/Table1[[#This Row],[Seconds of Use]]*100)</f>
        <v>3.4627575277337557</v>
      </c>
    </row>
    <row r="2332" spans="1:18" x14ac:dyDescent="0.35">
      <c r="A2332" s="3" t="s">
        <v>2353</v>
      </c>
      <c r="B2332">
        <v>7</v>
      </c>
      <c r="C2332">
        <v>0</v>
      </c>
      <c r="D2332">
        <v>31</v>
      </c>
      <c r="E2332">
        <v>1</v>
      </c>
      <c r="F2332">
        <v>7010</v>
      </c>
      <c r="G2332">
        <v>101</v>
      </c>
      <c r="H2332">
        <v>11</v>
      </c>
      <c r="I2332">
        <v>20</v>
      </c>
      <c r="J2332">
        <v>5</v>
      </c>
      <c r="K2332">
        <v>1</v>
      </c>
      <c r="L2332">
        <v>1</v>
      </c>
      <c r="M2332">
        <v>55</v>
      </c>
      <c r="N2332">
        <v>123.16500000000001</v>
      </c>
      <c r="O2332">
        <v>0</v>
      </c>
      <c r="P23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32" t="str">
        <f>IF(Table1[[#This Row],[Fraud_Score]]&gt;=6, "High Risk",IF(Table1[[#This Row],[Fraud_Score]]&gt;=3, "Medium Risk", "Low Risk"))</f>
        <v>Low Risk</v>
      </c>
      <c r="R2332">
        <f>IF(Table1[[#This Row],[Seconds of Use]]=0,0,Table1[[#This Row],[Customer Value]]/Table1[[#This Row],[Seconds of Use]]*100)</f>
        <v>1.7569900142653354</v>
      </c>
    </row>
    <row r="2333" spans="1:18" x14ac:dyDescent="0.35">
      <c r="A2333" s="3" t="s">
        <v>2354</v>
      </c>
      <c r="B2333">
        <v>5</v>
      </c>
      <c r="C2333">
        <v>0</v>
      </c>
      <c r="D2333">
        <v>34</v>
      </c>
      <c r="E2333">
        <v>0</v>
      </c>
      <c r="F2333">
        <v>305</v>
      </c>
      <c r="G2333">
        <v>6</v>
      </c>
      <c r="H2333">
        <v>7</v>
      </c>
      <c r="I2333">
        <v>2</v>
      </c>
      <c r="J2333">
        <v>4</v>
      </c>
      <c r="K2333">
        <v>1</v>
      </c>
      <c r="L2333">
        <v>2</v>
      </c>
      <c r="M2333">
        <v>45</v>
      </c>
      <c r="N2333">
        <v>25.274999999999999</v>
      </c>
      <c r="O2333">
        <v>1</v>
      </c>
      <c r="P23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33" t="str">
        <f>IF(Table1[[#This Row],[Fraud_Score]]&gt;=6, "High Risk",IF(Table1[[#This Row],[Fraud_Score]]&gt;=3, "Medium Risk", "Low Risk"))</f>
        <v>Low Risk</v>
      </c>
      <c r="R2333">
        <f>IF(Table1[[#This Row],[Seconds of Use]]=0,0,Table1[[#This Row],[Customer Value]]/Table1[[#This Row],[Seconds of Use]]*100)</f>
        <v>8.2868852459016384</v>
      </c>
    </row>
    <row r="2334" spans="1:18" x14ac:dyDescent="0.35">
      <c r="A2334" s="3" t="s">
        <v>2355</v>
      </c>
      <c r="B2334">
        <v>5</v>
      </c>
      <c r="C2334">
        <v>0</v>
      </c>
      <c r="D2334">
        <v>34</v>
      </c>
      <c r="E2334">
        <v>1</v>
      </c>
      <c r="F2334">
        <v>305</v>
      </c>
      <c r="G2334">
        <v>6</v>
      </c>
      <c r="H2334">
        <v>7</v>
      </c>
      <c r="I2334">
        <v>2</v>
      </c>
      <c r="J2334">
        <v>5</v>
      </c>
      <c r="K2334">
        <v>1</v>
      </c>
      <c r="L2334">
        <v>1</v>
      </c>
      <c r="M2334">
        <v>55</v>
      </c>
      <c r="N2334">
        <v>15.164999999999999</v>
      </c>
      <c r="O2334">
        <v>0</v>
      </c>
      <c r="P23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34" t="str">
        <f>IF(Table1[[#This Row],[Fraud_Score]]&gt;=6, "High Risk",IF(Table1[[#This Row],[Fraud_Score]]&gt;=3, "Medium Risk", "Low Risk"))</f>
        <v>Low Risk</v>
      </c>
      <c r="R2334">
        <f>IF(Table1[[#This Row],[Seconds of Use]]=0,0,Table1[[#This Row],[Customer Value]]/Table1[[#This Row],[Seconds of Use]]*100)</f>
        <v>4.9721311475409831</v>
      </c>
    </row>
    <row r="2335" spans="1:18" x14ac:dyDescent="0.35">
      <c r="A2335" s="3" t="s">
        <v>2356</v>
      </c>
      <c r="B2335">
        <v>29</v>
      </c>
      <c r="C2335">
        <v>0</v>
      </c>
      <c r="D2335">
        <v>29</v>
      </c>
      <c r="E2335">
        <v>3</v>
      </c>
      <c r="F2335">
        <v>16300</v>
      </c>
      <c r="G2335">
        <v>242</v>
      </c>
      <c r="H2335">
        <v>7</v>
      </c>
      <c r="I2335">
        <v>78</v>
      </c>
      <c r="J2335">
        <v>2</v>
      </c>
      <c r="K2335">
        <v>1</v>
      </c>
      <c r="L2335">
        <v>1</v>
      </c>
      <c r="M2335">
        <v>25</v>
      </c>
      <c r="N2335">
        <v>775.89</v>
      </c>
      <c r="O2335">
        <v>0</v>
      </c>
      <c r="P23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35" t="str">
        <f>IF(Table1[[#This Row],[Fraud_Score]]&gt;=6, "High Risk",IF(Table1[[#This Row],[Fraud_Score]]&gt;=3, "Medium Risk", "Low Risk"))</f>
        <v>Medium Risk</v>
      </c>
      <c r="R2335">
        <f>IF(Table1[[#This Row],[Seconds of Use]]=0,0,Table1[[#This Row],[Customer Value]]/Table1[[#This Row],[Seconds of Use]]*100)</f>
        <v>4.7600613496932516</v>
      </c>
    </row>
    <row r="2336" spans="1:18" x14ac:dyDescent="0.35">
      <c r="A2336" s="3" t="s">
        <v>2357</v>
      </c>
      <c r="B2336">
        <v>10</v>
      </c>
      <c r="C2336">
        <v>0</v>
      </c>
      <c r="D2336">
        <v>32</v>
      </c>
      <c r="E2336">
        <v>3</v>
      </c>
      <c r="F2336">
        <v>7190</v>
      </c>
      <c r="G2336">
        <v>120</v>
      </c>
      <c r="H2336">
        <v>268</v>
      </c>
      <c r="I2336">
        <v>31</v>
      </c>
      <c r="J2336">
        <v>3</v>
      </c>
      <c r="K2336">
        <v>2</v>
      </c>
      <c r="L2336">
        <v>1</v>
      </c>
      <c r="M2336">
        <v>30</v>
      </c>
      <c r="N2336">
        <v>1364.4</v>
      </c>
      <c r="O2336">
        <v>0</v>
      </c>
      <c r="P23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36" t="str">
        <f>IF(Table1[[#This Row],[Fraud_Score]]&gt;=6, "High Risk",IF(Table1[[#This Row],[Fraud_Score]]&gt;=3, "Medium Risk", "Low Risk"))</f>
        <v>Low Risk</v>
      </c>
      <c r="R2336">
        <f>IF(Table1[[#This Row],[Seconds of Use]]=0,0,Table1[[#This Row],[Customer Value]]/Table1[[#This Row],[Seconds of Use]]*100)</f>
        <v>18.976356050069544</v>
      </c>
    </row>
    <row r="2337" spans="1:18" x14ac:dyDescent="0.35">
      <c r="A2337" s="3" t="s">
        <v>2358</v>
      </c>
      <c r="B2337">
        <v>6</v>
      </c>
      <c r="C2337">
        <v>0</v>
      </c>
      <c r="D2337">
        <v>34</v>
      </c>
      <c r="E2337">
        <v>1</v>
      </c>
      <c r="F2337">
        <v>3943</v>
      </c>
      <c r="G2337">
        <v>86</v>
      </c>
      <c r="H2337">
        <v>7</v>
      </c>
      <c r="I2337">
        <v>26</v>
      </c>
      <c r="J2337">
        <v>3</v>
      </c>
      <c r="K2337">
        <v>1</v>
      </c>
      <c r="L2337">
        <v>1</v>
      </c>
      <c r="M2337">
        <v>30</v>
      </c>
      <c r="N2337">
        <v>189.16</v>
      </c>
      <c r="O2337">
        <v>0</v>
      </c>
      <c r="P23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37" t="str">
        <f>IF(Table1[[#This Row],[Fraud_Score]]&gt;=6, "High Risk",IF(Table1[[#This Row],[Fraud_Score]]&gt;=3, "Medium Risk", "Low Risk"))</f>
        <v>Low Risk</v>
      </c>
      <c r="R2337">
        <f>IF(Table1[[#This Row],[Seconds of Use]]=0,0,Table1[[#This Row],[Customer Value]]/Table1[[#This Row],[Seconds of Use]]*100)</f>
        <v>4.7973624144052751</v>
      </c>
    </row>
    <row r="2338" spans="1:18" x14ac:dyDescent="0.35">
      <c r="A2338" s="3" t="s">
        <v>2359</v>
      </c>
      <c r="B2338">
        <v>7</v>
      </c>
      <c r="C2338">
        <v>0</v>
      </c>
      <c r="D2338">
        <v>33</v>
      </c>
      <c r="E2338">
        <v>0</v>
      </c>
      <c r="F2338">
        <v>1890</v>
      </c>
      <c r="G2338">
        <v>48</v>
      </c>
      <c r="H2338">
        <v>35</v>
      </c>
      <c r="I2338">
        <v>18</v>
      </c>
      <c r="J2338">
        <v>3</v>
      </c>
      <c r="K2338">
        <v>1</v>
      </c>
      <c r="L2338">
        <v>2</v>
      </c>
      <c r="M2338">
        <v>30</v>
      </c>
      <c r="N2338">
        <v>217.52</v>
      </c>
      <c r="O2338">
        <v>0</v>
      </c>
      <c r="P23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38" t="str">
        <f>IF(Table1[[#This Row],[Fraud_Score]]&gt;=6, "High Risk",IF(Table1[[#This Row],[Fraud_Score]]&gt;=3, "Medium Risk", "Low Risk"))</f>
        <v>Low Risk</v>
      </c>
      <c r="R2338">
        <f>IF(Table1[[#This Row],[Seconds of Use]]=0,0,Table1[[#This Row],[Customer Value]]/Table1[[#This Row],[Seconds of Use]]*100)</f>
        <v>11.50899470899471</v>
      </c>
    </row>
    <row r="2339" spans="1:18" x14ac:dyDescent="0.35">
      <c r="A2339" s="3" t="s">
        <v>2360</v>
      </c>
      <c r="B2339">
        <v>10</v>
      </c>
      <c r="C2339">
        <v>0</v>
      </c>
      <c r="D2339">
        <v>34</v>
      </c>
      <c r="E2339">
        <v>1</v>
      </c>
      <c r="F2339">
        <v>3005</v>
      </c>
      <c r="G2339">
        <v>57</v>
      </c>
      <c r="H2339">
        <v>172</v>
      </c>
      <c r="I2339">
        <v>21</v>
      </c>
      <c r="J2339">
        <v>2</v>
      </c>
      <c r="K2339">
        <v>1</v>
      </c>
      <c r="L2339">
        <v>1</v>
      </c>
      <c r="M2339">
        <v>25</v>
      </c>
      <c r="N2339">
        <v>911.79</v>
      </c>
      <c r="O2339">
        <v>0</v>
      </c>
      <c r="P23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39" t="str">
        <f>IF(Table1[[#This Row],[Fraud_Score]]&gt;=6, "High Risk",IF(Table1[[#This Row],[Fraud_Score]]&gt;=3, "Medium Risk", "Low Risk"))</f>
        <v>Low Risk</v>
      </c>
      <c r="R2339">
        <f>IF(Table1[[#This Row],[Seconds of Use]]=0,0,Table1[[#This Row],[Customer Value]]/Table1[[#This Row],[Seconds of Use]]*100)</f>
        <v>30.342429284525789</v>
      </c>
    </row>
    <row r="2340" spans="1:18" x14ac:dyDescent="0.35">
      <c r="A2340" s="3" t="s">
        <v>2361</v>
      </c>
      <c r="B2340">
        <v>8</v>
      </c>
      <c r="C2340">
        <v>0</v>
      </c>
      <c r="D2340">
        <v>25</v>
      </c>
      <c r="E2340">
        <v>1</v>
      </c>
      <c r="F2340">
        <v>1540</v>
      </c>
      <c r="G2340">
        <v>40</v>
      </c>
      <c r="H2340">
        <v>190</v>
      </c>
      <c r="I2340">
        <v>9</v>
      </c>
      <c r="J2340">
        <v>3</v>
      </c>
      <c r="K2340">
        <v>2</v>
      </c>
      <c r="L2340">
        <v>1</v>
      </c>
      <c r="M2340">
        <v>30</v>
      </c>
      <c r="N2340">
        <v>823.2</v>
      </c>
      <c r="O2340">
        <v>0</v>
      </c>
      <c r="P23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40" t="str">
        <f>IF(Table1[[#This Row],[Fraud_Score]]&gt;=6, "High Risk",IF(Table1[[#This Row],[Fraud_Score]]&gt;=3, "Medium Risk", "Low Risk"))</f>
        <v>Low Risk</v>
      </c>
      <c r="R2340">
        <f>IF(Table1[[#This Row],[Seconds of Use]]=0,0,Table1[[#This Row],[Customer Value]]/Table1[[#This Row],[Seconds of Use]]*100)</f>
        <v>53.454545454545453</v>
      </c>
    </row>
    <row r="2341" spans="1:18" x14ac:dyDescent="0.35">
      <c r="A2341" s="3" t="s">
        <v>2362</v>
      </c>
      <c r="B2341">
        <v>8</v>
      </c>
      <c r="C2341">
        <v>0</v>
      </c>
      <c r="D2341">
        <v>24</v>
      </c>
      <c r="E2341">
        <v>1</v>
      </c>
      <c r="F2341">
        <v>1793</v>
      </c>
      <c r="G2341">
        <v>43</v>
      </c>
      <c r="H2341">
        <v>27</v>
      </c>
      <c r="I2341">
        <v>66</v>
      </c>
      <c r="J2341">
        <v>4</v>
      </c>
      <c r="K2341">
        <v>1</v>
      </c>
      <c r="L2341">
        <v>1</v>
      </c>
      <c r="M2341">
        <v>45</v>
      </c>
      <c r="N2341">
        <v>113.4</v>
      </c>
      <c r="O2341">
        <v>0</v>
      </c>
      <c r="P23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41" t="str">
        <f>IF(Table1[[#This Row],[Fraud_Score]]&gt;=6, "High Risk",IF(Table1[[#This Row],[Fraud_Score]]&gt;=3, "Medium Risk", "Low Risk"))</f>
        <v>Low Risk</v>
      </c>
      <c r="R2341">
        <f>IF(Table1[[#This Row],[Seconds of Use]]=0,0,Table1[[#This Row],[Customer Value]]/Table1[[#This Row],[Seconds of Use]]*100)</f>
        <v>6.3245956497490248</v>
      </c>
    </row>
    <row r="2342" spans="1:18" x14ac:dyDescent="0.35">
      <c r="A2342" s="3" t="s">
        <v>2363</v>
      </c>
      <c r="B2342">
        <v>15</v>
      </c>
      <c r="C2342">
        <v>0</v>
      </c>
      <c r="D2342">
        <v>25</v>
      </c>
      <c r="E2342">
        <v>0</v>
      </c>
      <c r="F2342">
        <v>925</v>
      </c>
      <c r="G2342">
        <v>29</v>
      </c>
      <c r="H2342">
        <v>7</v>
      </c>
      <c r="I2342">
        <v>5</v>
      </c>
      <c r="J2342">
        <v>3</v>
      </c>
      <c r="K2342">
        <v>1</v>
      </c>
      <c r="L2342">
        <v>2</v>
      </c>
      <c r="M2342">
        <v>30</v>
      </c>
      <c r="N2342">
        <v>66.16</v>
      </c>
      <c r="O2342">
        <v>0</v>
      </c>
      <c r="P23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42" t="str">
        <f>IF(Table1[[#This Row],[Fraud_Score]]&gt;=6, "High Risk",IF(Table1[[#This Row],[Fraud_Score]]&gt;=3, "Medium Risk", "Low Risk"))</f>
        <v>Medium Risk</v>
      </c>
      <c r="R2342">
        <f>IF(Table1[[#This Row],[Seconds of Use]]=0,0,Table1[[#This Row],[Customer Value]]/Table1[[#This Row],[Seconds of Use]]*100)</f>
        <v>7.1524324324324322</v>
      </c>
    </row>
    <row r="2343" spans="1:18" x14ac:dyDescent="0.35">
      <c r="A2343" s="3" t="s">
        <v>2364</v>
      </c>
      <c r="B2343">
        <v>5</v>
      </c>
      <c r="C2343">
        <v>0</v>
      </c>
      <c r="D2343">
        <v>24</v>
      </c>
      <c r="E2343">
        <v>0</v>
      </c>
      <c r="F2343">
        <v>305</v>
      </c>
      <c r="G2343">
        <v>6</v>
      </c>
      <c r="H2343">
        <v>18</v>
      </c>
      <c r="I2343">
        <v>2</v>
      </c>
      <c r="J2343">
        <v>4</v>
      </c>
      <c r="K2343">
        <v>1</v>
      </c>
      <c r="L2343">
        <v>2</v>
      </c>
      <c r="M2343">
        <v>45</v>
      </c>
      <c r="N2343">
        <v>52.774999999999999</v>
      </c>
      <c r="O2343">
        <v>0</v>
      </c>
      <c r="P23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43" t="str">
        <f>IF(Table1[[#This Row],[Fraud_Score]]&gt;=6, "High Risk",IF(Table1[[#This Row],[Fraud_Score]]&gt;=3, "Medium Risk", "Low Risk"))</f>
        <v>Low Risk</v>
      </c>
      <c r="R2343">
        <f>IF(Table1[[#This Row],[Seconds of Use]]=0,0,Table1[[#This Row],[Customer Value]]/Table1[[#This Row],[Seconds of Use]]*100)</f>
        <v>17.303278688524589</v>
      </c>
    </row>
    <row r="2344" spans="1:18" x14ac:dyDescent="0.35">
      <c r="A2344" s="3" t="s">
        <v>2365</v>
      </c>
      <c r="B2344">
        <v>14</v>
      </c>
      <c r="C2344">
        <v>0</v>
      </c>
      <c r="D2344">
        <v>23</v>
      </c>
      <c r="E2344">
        <v>1</v>
      </c>
      <c r="F2344">
        <v>1450</v>
      </c>
      <c r="G2344">
        <v>36</v>
      </c>
      <c r="H2344">
        <v>16</v>
      </c>
      <c r="I2344">
        <v>11</v>
      </c>
      <c r="J2344">
        <v>2</v>
      </c>
      <c r="K2344">
        <v>1</v>
      </c>
      <c r="L2344">
        <v>1</v>
      </c>
      <c r="M2344">
        <v>25</v>
      </c>
      <c r="N2344">
        <v>138.87</v>
      </c>
      <c r="O2344">
        <v>0</v>
      </c>
      <c r="P23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44" t="str">
        <f>IF(Table1[[#This Row],[Fraud_Score]]&gt;=6, "High Risk",IF(Table1[[#This Row],[Fraud_Score]]&gt;=3, "Medium Risk", "Low Risk"))</f>
        <v>Low Risk</v>
      </c>
      <c r="R2344">
        <f>IF(Table1[[#This Row],[Seconds of Use]]=0,0,Table1[[#This Row],[Customer Value]]/Table1[[#This Row],[Seconds of Use]]*100)</f>
        <v>9.5772413793103439</v>
      </c>
    </row>
    <row r="2345" spans="1:18" x14ac:dyDescent="0.35">
      <c r="A2345" s="3" t="s">
        <v>2366</v>
      </c>
      <c r="B2345">
        <v>6</v>
      </c>
      <c r="C2345">
        <v>0</v>
      </c>
      <c r="D2345">
        <v>23</v>
      </c>
      <c r="E2345">
        <v>1</v>
      </c>
      <c r="F2345">
        <v>3450</v>
      </c>
      <c r="G2345">
        <v>65</v>
      </c>
      <c r="H2345">
        <v>7</v>
      </c>
      <c r="I2345">
        <v>21</v>
      </c>
      <c r="J2345">
        <v>3</v>
      </c>
      <c r="K2345">
        <v>1</v>
      </c>
      <c r="L2345">
        <v>1</v>
      </c>
      <c r="M2345">
        <v>30</v>
      </c>
      <c r="N2345">
        <v>168.6</v>
      </c>
      <c r="O2345">
        <v>0</v>
      </c>
      <c r="P23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45" t="str">
        <f>IF(Table1[[#This Row],[Fraud_Score]]&gt;=6, "High Risk",IF(Table1[[#This Row],[Fraud_Score]]&gt;=3, "Medium Risk", "Low Risk"))</f>
        <v>Low Risk</v>
      </c>
      <c r="R2345">
        <f>IF(Table1[[#This Row],[Seconds of Use]]=0,0,Table1[[#This Row],[Customer Value]]/Table1[[#This Row],[Seconds of Use]]*100)</f>
        <v>4.8869565217391306</v>
      </c>
    </row>
    <row r="2346" spans="1:18" x14ac:dyDescent="0.35">
      <c r="A2346" s="3" t="s">
        <v>2367</v>
      </c>
      <c r="B2346">
        <v>6</v>
      </c>
      <c r="C2346">
        <v>0</v>
      </c>
      <c r="D2346">
        <v>16</v>
      </c>
      <c r="E2346">
        <v>1</v>
      </c>
      <c r="F2346">
        <v>1920</v>
      </c>
      <c r="G2346">
        <v>30</v>
      </c>
      <c r="H2346">
        <v>25</v>
      </c>
      <c r="I2346">
        <v>12</v>
      </c>
      <c r="J2346">
        <v>2</v>
      </c>
      <c r="K2346">
        <v>1</v>
      </c>
      <c r="L2346">
        <v>1</v>
      </c>
      <c r="M2346">
        <v>25</v>
      </c>
      <c r="N2346">
        <v>200.25</v>
      </c>
      <c r="O2346">
        <v>0</v>
      </c>
      <c r="P23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46" t="str">
        <f>IF(Table1[[#This Row],[Fraud_Score]]&gt;=6, "High Risk",IF(Table1[[#This Row],[Fraud_Score]]&gt;=3, "Medium Risk", "Low Risk"))</f>
        <v>Low Risk</v>
      </c>
      <c r="R2346">
        <f>IF(Table1[[#This Row],[Seconds of Use]]=0,0,Table1[[#This Row],[Customer Value]]/Table1[[#This Row],[Seconds of Use]]*100)</f>
        <v>10.4296875</v>
      </c>
    </row>
    <row r="2347" spans="1:18" x14ac:dyDescent="0.35">
      <c r="A2347" s="3" t="s">
        <v>2368</v>
      </c>
      <c r="B2347">
        <v>20</v>
      </c>
      <c r="C2347">
        <v>0</v>
      </c>
      <c r="D2347">
        <v>15</v>
      </c>
      <c r="E2347">
        <v>1</v>
      </c>
      <c r="F2347">
        <v>6618</v>
      </c>
      <c r="G2347">
        <v>145</v>
      </c>
      <c r="H2347">
        <v>82</v>
      </c>
      <c r="I2347">
        <v>40</v>
      </c>
      <c r="J2347">
        <v>2</v>
      </c>
      <c r="K2347">
        <v>2</v>
      </c>
      <c r="L2347">
        <v>1</v>
      </c>
      <c r="M2347">
        <v>25</v>
      </c>
      <c r="N2347">
        <v>673.33500000000004</v>
      </c>
      <c r="O2347">
        <v>0</v>
      </c>
      <c r="P23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47" t="str">
        <f>IF(Table1[[#This Row],[Fraud_Score]]&gt;=6, "High Risk",IF(Table1[[#This Row],[Fraud_Score]]&gt;=3, "Medium Risk", "Low Risk"))</f>
        <v>Medium Risk</v>
      </c>
      <c r="R2347">
        <f>IF(Table1[[#This Row],[Seconds of Use]]=0,0,Table1[[#This Row],[Customer Value]]/Table1[[#This Row],[Seconds of Use]]*100)</f>
        <v>10.17429737080689</v>
      </c>
    </row>
    <row r="2348" spans="1:18" x14ac:dyDescent="0.35">
      <c r="A2348" s="3" t="s">
        <v>2369</v>
      </c>
      <c r="B2348">
        <v>16</v>
      </c>
      <c r="C2348">
        <v>0</v>
      </c>
      <c r="D2348">
        <v>13</v>
      </c>
      <c r="E2348">
        <v>1</v>
      </c>
      <c r="F2348">
        <v>9158</v>
      </c>
      <c r="G2348">
        <v>175</v>
      </c>
      <c r="H2348">
        <v>70</v>
      </c>
      <c r="I2348">
        <v>38</v>
      </c>
      <c r="J2348">
        <v>5</v>
      </c>
      <c r="K2348">
        <v>1</v>
      </c>
      <c r="L2348">
        <v>1</v>
      </c>
      <c r="M2348">
        <v>55</v>
      </c>
      <c r="N2348">
        <v>244.995</v>
      </c>
      <c r="O2348">
        <v>0</v>
      </c>
      <c r="P23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48" t="str">
        <f>IF(Table1[[#This Row],[Fraud_Score]]&gt;=6, "High Risk",IF(Table1[[#This Row],[Fraud_Score]]&gt;=3, "Medium Risk", "Low Risk"))</f>
        <v>Medium Risk</v>
      </c>
      <c r="R2348">
        <f>IF(Table1[[#This Row],[Seconds of Use]]=0,0,Table1[[#This Row],[Customer Value]]/Table1[[#This Row],[Seconds of Use]]*100)</f>
        <v>2.6752020091723083</v>
      </c>
    </row>
    <row r="2349" spans="1:18" x14ac:dyDescent="0.35">
      <c r="A2349" s="3" t="s">
        <v>2370</v>
      </c>
      <c r="B2349">
        <v>12</v>
      </c>
      <c r="C2349">
        <v>0</v>
      </c>
      <c r="D2349">
        <v>14</v>
      </c>
      <c r="E2349">
        <v>3</v>
      </c>
      <c r="F2349">
        <v>3078</v>
      </c>
      <c r="G2349">
        <v>49</v>
      </c>
      <c r="H2349">
        <v>28</v>
      </c>
      <c r="I2349">
        <v>17</v>
      </c>
      <c r="J2349">
        <v>3</v>
      </c>
      <c r="K2349">
        <v>1</v>
      </c>
      <c r="L2349">
        <v>1</v>
      </c>
      <c r="M2349">
        <v>30</v>
      </c>
      <c r="N2349">
        <v>237.08</v>
      </c>
      <c r="O2349">
        <v>0</v>
      </c>
      <c r="P23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49" t="str">
        <f>IF(Table1[[#This Row],[Fraud_Score]]&gt;=6, "High Risk",IF(Table1[[#This Row],[Fraud_Score]]&gt;=3, "Medium Risk", "Low Risk"))</f>
        <v>Low Risk</v>
      </c>
      <c r="R2349">
        <f>IF(Table1[[#This Row],[Seconds of Use]]=0,0,Table1[[#This Row],[Customer Value]]/Table1[[#This Row],[Seconds of Use]]*100)</f>
        <v>7.7024041585445095</v>
      </c>
    </row>
    <row r="2350" spans="1:18" x14ac:dyDescent="0.35">
      <c r="A2350" s="3" t="s">
        <v>2371</v>
      </c>
      <c r="B2350">
        <v>6</v>
      </c>
      <c r="C2350">
        <v>0</v>
      </c>
      <c r="D2350">
        <v>7</v>
      </c>
      <c r="E2350">
        <v>1</v>
      </c>
      <c r="F2350">
        <v>4615</v>
      </c>
      <c r="G2350">
        <v>44</v>
      </c>
      <c r="H2350">
        <v>212</v>
      </c>
      <c r="I2350">
        <v>8</v>
      </c>
      <c r="J2350">
        <v>3</v>
      </c>
      <c r="K2350">
        <v>1</v>
      </c>
      <c r="L2350">
        <v>1</v>
      </c>
      <c r="M2350">
        <v>30</v>
      </c>
      <c r="N2350">
        <v>1034.3599999999999</v>
      </c>
      <c r="O2350">
        <v>0</v>
      </c>
      <c r="P23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50" t="str">
        <f>IF(Table1[[#This Row],[Fraud_Score]]&gt;=6, "High Risk",IF(Table1[[#This Row],[Fraud_Score]]&gt;=3, "Medium Risk", "Low Risk"))</f>
        <v>Low Risk</v>
      </c>
      <c r="R2350">
        <f>IF(Table1[[#This Row],[Seconds of Use]]=0,0,Table1[[#This Row],[Customer Value]]/Table1[[#This Row],[Seconds of Use]]*100)</f>
        <v>22.413001083423616</v>
      </c>
    </row>
    <row r="2351" spans="1:18" x14ac:dyDescent="0.35">
      <c r="A2351" s="3" t="s">
        <v>2372</v>
      </c>
      <c r="B2351">
        <v>7</v>
      </c>
      <c r="C2351">
        <v>1</v>
      </c>
      <c r="D2351">
        <v>7</v>
      </c>
      <c r="E2351">
        <v>1</v>
      </c>
      <c r="F2351">
        <v>1713</v>
      </c>
      <c r="G2351">
        <v>23</v>
      </c>
      <c r="H2351">
        <v>7</v>
      </c>
      <c r="I2351">
        <v>5</v>
      </c>
      <c r="J2351">
        <v>3</v>
      </c>
      <c r="K2351">
        <v>1</v>
      </c>
      <c r="L2351">
        <v>1</v>
      </c>
      <c r="M2351">
        <v>30</v>
      </c>
      <c r="N2351">
        <v>97.44</v>
      </c>
      <c r="O2351">
        <v>1</v>
      </c>
      <c r="P23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51" t="str">
        <f>IF(Table1[[#This Row],[Fraud_Score]]&gt;=6, "High Risk",IF(Table1[[#This Row],[Fraud_Score]]&gt;=3, "Medium Risk", "Low Risk"))</f>
        <v>Low Risk</v>
      </c>
      <c r="R2351">
        <f>IF(Table1[[#This Row],[Seconds of Use]]=0,0,Table1[[#This Row],[Customer Value]]/Table1[[#This Row],[Seconds of Use]]*100)</f>
        <v>5.6882661996497372</v>
      </c>
    </row>
    <row r="2352" spans="1:18" x14ac:dyDescent="0.35">
      <c r="A2352" s="3" t="s">
        <v>2373</v>
      </c>
      <c r="B2352">
        <v>18</v>
      </c>
      <c r="C2352">
        <v>0</v>
      </c>
      <c r="D2352">
        <v>46</v>
      </c>
      <c r="E2352">
        <v>2</v>
      </c>
      <c r="F2352">
        <v>4935</v>
      </c>
      <c r="G2352">
        <v>87</v>
      </c>
      <c r="H2352">
        <v>27</v>
      </c>
      <c r="I2352">
        <v>25</v>
      </c>
      <c r="J2352">
        <v>3</v>
      </c>
      <c r="K2352">
        <v>1</v>
      </c>
      <c r="L2352">
        <v>1</v>
      </c>
      <c r="M2352">
        <v>30</v>
      </c>
      <c r="N2352">
        <v>308.88</v>
      </c>
      <c r="O2352">
        <v>0</v>
      </c>
      <c r="P23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52" t="str">
        <f>IF(Table1[[#This Row],[Fraud_Score]]&gt;=6, "High Risk",IF(Table1[[#This Row],[Fraud_Score]]&gt;=3, "Medium Risk", "Low Risk"))</f>
        <v>Low Risk</v>
      </c>
      <c r="R2352">
        <f>IF(Table1[[#This Row],[Seconds of Use]]=0,0,Table1[[#This Row],[Customer Value]]/Table1[[#This Row],[Seconds of Use]]*100)</f>
        <v>6.2589665653495441</v>
      </c>
    </row>
    <row r="2353" spans="1:18" x14ac:dyDescent="0.35">
      <c r="A2353" s="3" t="s">
        <v>2374</v>
      </c>
      <c r="B2353">
        <v>10</v>
      </c>
      <c r="C2353">
        <v>0</v>
      </c>
      <c r="D2353">
        <v>47</v>
      </c>
      <c r="E2353">
        <v>0</v>
      </c>
      <c r="F2353">
        <v>883</v>
      </c>
      <c r="G2353">
        <v>21</v>
      </c>
      <c r="H2353">
        <v>29</v>
      </c>
      <c r="I2353">
        <v>12</v>
      </c>
      <c r="J2353">
        <v>3</v>
      </c>
      <c r="K2353">
        <v>1</v>
      </c>
      <c r="L2353">
        <v>2</v>
      </c>
      <c r="M2353">
        <v>30</v>
      </c>
      <c r="N2353">
        <v>152.16</v>
      </c>
      <c r="O2353">
        <v>0</v>
      </c>
      <c r="P23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53" t="str">
        <f>IF(Table1[[#This Row],[Fraud_Score]]&gt;=6, "High Risk",IF(Table1[[#This Row],[Fraud_Score]]&gt;=3, "Medium Risk", "Low Risk"))</f>
        <v>Low Risk</v>
      </c>
      <c r="R2353">
        <f>IF(Table1[[#This Row],[Seconds of Use]]=0,0,Table1[[#This Row],[Customer Value]]/Table1[[#This Row],[Seconds of Use]]*100)</f>
        <v>17.232163080407702</v>
      </c>
    </row>
    <row r="2354" spans="1:18" x14ac:dyDescent="0.35">
      <c r="A2354" s="3" t="s">
        <v>2375</v>
      </c>
      <c r="B2354">
        <v>20</v>
      </c>
      <c r="C2354">
        <v>0</v>
      </c>
      <c r="D2354">
        <v>45</v>
      </c>
      <c r="E2354">
        <v>2</v>
      </c>
      <c r="F2354">
        <v>3018</v>
      </c>
      <c r="G2354">
        <v>76</v>
      </c>
      <c r="H2354">
        <v>381</v>
      </c>
      <c r="I2354">
        <v>32</v>
      </c>
      <c r="J2354">
        <v>3</v>
      </c>
      <c r="K2354">
        <v>1</v>
      </c>
      <c r="L2354">
        <v>1</v>
      </c>
      <c r="M2354">
        <v>30</v>
      </c>
      <c r="N2354">
        <v>1647.76</v>
      </c>
      <c r="O2354">
        <v>0</v>
      </c>
      <c r="P23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54" t="str">
        <f>IF(Table1[[#This Row],[Fraud_Score]]&gt;=6, "High Risk",IF(Table1[[#This Row],[Fraud_Score]]&gt;=3, "Medium Risk", "Low Risk"))</f>
        <v>Low Risk</v>
      </c>
      <c r="R2354">
        <f>IF(Table1[[#This Row],[Seconds of Use]]=0,0,Table1[[#This Row],[Customer Value]]/Table1[[#This Row],[Seconds of Use]]*100)</f>
        <v>54.597746852220006</v>
      </c>
    </row>
    <row r="2355" spans="1:18" x14ac:dyDescent="0.35">
      <c r="A2355" s="3" t="s">
        <v>2376</v>
      </c>
      <c r="B2355">
        <v>20</v>
      </c>
      <c r="C2355">
        <v>0</v>
      </c>
      <c r="D2355">
        <v>46</v>
      </c>
      <c r="E2355">
        <v>2</v>
      </c>
      <c r="F2355">
        <v>4763</v>
      </c>
      <c r="G2355">
        <v>82</v>
      </c>
      <c r="H2355">
        <v>23</v>
      </c>
      <c r="I2355">
        <v>43</v>
      </c>
      <c r="J2355">
        <v>1</v>
      </c>
      <c r="K2355">
        <v>1</v>
      </c>
      <c r="L2355">
        <v>1</v>
      </c>
      <c r="M2355">
        <v>15</v>
      </c>
      <c r="N2355">
        <v>392.97500000000002</v>
      </c>
      <c r="O2355">
        <v>0</v>
      </c>
      <c r="P23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55" t="str">
        <f>IF(Table1[[#This Row],[Fraud_Score]]&gt;=6, "High Risk",IF(Table1[[#This Row],[Fraud_Score]]&gt;=3, "Medium Risk", "Low Risk"))</f>
        <v>Low Risk</v>
      </c>
      <c r="R2355">
        <f>IF(Table1[[#This Row],[Seconds of Use]]=0,0,Table1[[#This Row],[Customer Value]]/Table1[[#This Row],[Seconds of Use]]*100)</f>
        <v>8.2505773672055422</v>
      </c>
    </row>
    <row r="2356" spans="1:18" x14ac:dyDescent="0.35">
      <c r="A2356" s="3" t="s">
        <v>2377</v>
      </c>
      <c r="B2356">
        <v>13</v>
      </c>
      <c r="C2356">
        <v>0</v>
      </c>
      <c r="D2356">
        <v>46</v>
      </c>
      <c r="E2356">
        <v>2</v>
      </c>
      <c r="F2356">
        <v>2958</v>
      </c>
      <c r="G2356">
        <v>74</v>
      </c>
      <c r="H2356">
        <v>24</v>
      </c>
      <c r="I2356">
        <v>41</v>
      </c>
      <c r="J2356">
        <v>2</v>
      </c>
      <c r="K2356">
        <v>1</v>
      </c>
      <c r="L2356">
        <v>1</v>
      </c>
      <c r="M2356">
        <v>25</v>
      </c>
      <c r="N2356">
        <v>244.44</v>
      </c>
      <c r="O2356">
        <v>0</v>
      </c>
      <c r="P23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56" t="str">
        <f>IF(Table1[[#This Row],[Fraud_Score]]&gt;=6, "High Risk",IF(Table1[[#This Row],[Fraud_Score]]&gt;=3, "Medium Risk", "Low Risk"))</f>
        <v>Low Risk</v>
      </c>
      <c r="R2356">
        <f>IF(Table1[[#This Row],[Seconds of Use]]=0,0,Table1[[#This Row],[Customer Value]]/Table1[[#This Row],[Seconds of Use]]*100)</f>
        <v>8.263691683569979</v>
      </c>
    </row>
    <row r="2357" spans="1:18" x14ac:dyDescent="0.35">
      <c r="A2357" s="3" t="s">
        <v>2378</v>
      </c>
      <c r="B2357">
        <v>21</v>
      </c>
      <c r="C2357">
        <v>0</v>
      </c>
      <c r="D2357">
        <v>46</v>
      </c>
      <c r="E2357">
        <v>3</v>
      </c>
      <c r="F2357">
        <v>4340</v>
      </c>
      <c r="G2357">
        <v>98</v>
      </c>
      <c r="H2357">
        <v>54</v>
      </c>
      <c r="I2357">
        <v>36</v>
      </c>
      <c r="J2357">
        <v>3</v>
      </c>
      <c r="K2357">
        <v>1</v>
      </c>
      <c r="L2357">
        <v>1</v>
      </c>
      <c r="M2357">
        <v>30</v>
      </c>
      <c r="N2357">
        <v>393.52</v>
      </c>
      <c r="O2357">
        <v>0</v>
      </c>
      <c r="P23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57" t="str">
        <f>IF(Table1[[#This Row],[Fraud_Score]]&gt;=6, "High Risk",IF(Table1[[#This Row],[Fraud_Score]]&gt;=3, "Medium Risk", "Low Risk"))</f>
        <v>Low Risk</v>
      </c>
      <c r="R2357">
        <f>IF(Table1[[#This Row],[Seconds of Use]]=0,0,Table1[[#This Row],[Customer Value]]/Table1[[#This Row],[Seconds of Use]]*100)</f>
        <v>9.0672811059907836</v>
      </c>
    </row>
    <row r="2358" spans="1:18" x14ac:dyDescent="0.35">
      <c r="A2358" s="3" t="s">
        <v>2379</v>
      </c>
      <c r="B2358">
        <v>14</v>
      </c>
      <c r="C2358">
        <v>0</v>
      </c>
      <c r="D2358">
        <v>46</v>
      </c>
      <c r="E2358">
        <v>2</v>
      </c>
      <c r="F2358">
        <v>2925</v>
      </c>
      <c r="G2358">
        <v>55</v>
      </c>
      <c r="H2358">
        <v>307</v>
      </c>
      <c r="I2358">
        <v>26</v>
      </c>
      <c r="J2358">
        <v>4</v>
      </c>
      <c r="K2358">
        <v>1</v>
      </c>
      <c r="L2358">
        <v>1</v>
      </c>
      <c r="M2358">
        <v>45</v>
      </c>
      <c r="N2358">
        <v>842</v>
      </c>
      <c r="O2358">
        <v>0</v>
      </c>
      <c r="P23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58" t="str">
        <f>IF(Table1[[#This Row],[Fraud_Score]]&gt;=6, "High Risk",IF(Table1[[#This Row],[Fraud_Score]]&gt;=3, "Medium Risk", "Low Risk"))</f>
        <v>Low Risk</v>
      </c>
      <c r="R2358">
        <f>IF(Table1[[#This Row],[Seconds of Use]]=0,0,Table1[[#This Row],[Customer Value]]/Table1[[#This Row],[Seconds of Use]]*100)</f>
        <v>28.786324786324784</v>
      </c>
    </row>
    <row r="2359" spans="1:18" x14ac:dyDescent="0.35">
      <c r="A2359" s="3" t="s">
        <v>2380</v>
      </c>
      <c r="B2359">
        <v>23</v>
      </c>
      <c r="C2359">
        <v>0</v>
      </c>
      <c r="D2359">
        <v>45</v>
      </c>
      <c r="E2359">
        <v>4</v>
      </c>
      <c r="F2359">
        <v>9680</v>
      </c>
      <c r="G2359">
        <v>137</v>
      </c>
      <c r="H2359">
        <v>166</v>
      </c>
      <c r="I2359">
        <v>51</v>
      </c>
      <c r="J2359">
        <v>3</v>
      </c>
      <c r="K2359">
        <v>1</v>
      </c>
      <c r="L2359">
        <v>1</v>
      </c>
      <c r="M2359">
        <v>30</v>
      </c>
      <c r="N2359">
        <v>1056.68</v>
      </c>
      <c r="O2359">
        <v>0</v>
      </c>
      <c r="P23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59" t="str">
        <f>IF(Table1[[#This Row],[Fraud_Score]]&gt;=6, "High Risk",IF(Table1[[#This Row],[Fraud_Score]]&gt;=3, "Medium Risk", "Low Risk"))</f>
        <v>Medium Risk</v>
      </c>
      <c r="R2359">
        <f>IF(Table1[[#This Row],[Seconds of Use]]=0,0,Table1[[#This Row],[Customer Value]]/Table1[[#This Row],[Seconds of Use]]*100)</f>
        <v>10.91611570247934</v>
      </c>
    </row>
    <row r="2360" spans="1:18" x14ac:dyDescent="0.35">
      <c r="A2360" s="3" t="s">
        <v>2381</v>
      </c>
      <c r="B2360">
        <v>17</v>
      </c>
      <c r="C2360">
        <v>0</v>
      </c>
      <c r="D2360">
        <v>46</v>
      </c>
      <c r="E2360">
        <v>2</v>
      </c>
      <c r="F2360">
        <v>14338</v>
      </c>
      <c r="G2360">
        <v>185</v>
      </c>
      <c r="H2360">
        <v>22</v>
      </c>
      <c r="I2360">
        <v>52</v>
      </c>
      <c r="J2360">
        <v>3</v>
      </c>
      <c r="K2360">
        <v>1</v>
      </c>
      <c r="L2360">
        <v>1</v>
      </c>
      <c r="M2360">
        <v>30</v>
      </c>
      <c r="N2360">
        <v>668.92</v>
      </c>
      <c r="O2360">
        <v>0</v>
      </c>
      <c r="P23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60" t="str">
        <f>IF(Table1[[#This Row],[Fraud_Score]]&gt;=6, "High Risk",IF(Table1[[#This Row],[Fraud_Score]]&gt;=3, "Medium Risk", "Low Risk"))</f>
        <v>Medium Risk</v>
      </c>
      <c r="R2360">
        <f>IF(Table1[[#This Row],[Seconds of Use]]=0,0,Table1[[#This Row],[Customer Value]]/Table1[[#This Row],[Seconds of Use]]*100)</f>
        <v>4.6653647649602457</v>
      </c>
    </row>
    <row r="2361" spans="1:18" x14ac:dyDescent="0.35">
      <c r="A2361" s="3" t="s">
        <v>2382</v>
      </c>
      <c r="B2361">
        <v>17</v>
      </c>
      <c r="C2361">
        <v>0</v>
      </c>
      <c r="D2361">
        <v>46</v>
      </c>
      <c r="E2361">
        <v>3</v>
      </c>
      <c r="F2361">
        <v>5080</v>
      </c>
      <c r="G2361">
        <v>99</v>
      </c>
      <c r="H2361">
        <v>24</v>
      </c>
      <c r="I2361">
        <v>33</v>
      </c>
      <c r="J2361">
        <v>4</v>
      </c>
      <c r="K2361">
        <v>1</v>
      </c>
      <c r="L2361">
        <v>1</v>
      </c>
      <c r="M2361">
        <v>45</v>
      </c>
      <c r="N2361">
        <v>189.47499999999999</v>
      </c>
      <c r="O2361">
        <v>0</v>
      </c>
      <c r="P23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61" t="str">
        <f>IF(Table1[[#This Row],[Fraud_Score]]&gt;=6, "High Risk",IF(Table1[[#This Row],[Fraud_Score]]&gt;=3, "Medium Risk", "Low Risk"))</f>
        <v>Low Risk</v>
      </c>
      <c r="R2361">
        <f>IF(Table1[[#This Row],[Seconds of Use]]=0,0,Table1[[#This Row],[Customer Value]]/Table1[[#This Row],[Seconds of Use]]*100)</f>
        <v>3.7298228346456694</v>
      </c>
    </row>
    <row r="2362" spans="1:18" x14ac:dyDescent="0.35">
      <c r="A2362" s="3" t="s">
        <v>2383</v>
      </c>
      <c r="B2362">
        <v>16</v>
      </c>
      <c r="C2362">
        <v>0</v>
      </c>
      <c r="D2362">
        <v>46</v>
      </c>
      <c r="E2362">
        <v>2</v>
      </c>
      <c r="F2362">
        <v>6483</v>
      </c>
      <c r="G2362">
        <v>111</v>
      </c>
      <c r="H2362">
        <v>29</v>
      </c>
      <c r="I2362">
        <v>20</v>
      </c>
      <c r="J2362">
        <v>3</v>
      </c>
      <c r="K2362">
        <v>1</v>
      </c>
      <c r="L2362">
        <v>1</v>
      </c>
      <c r="M2362">
        <v>30</v>
      </c>
      <c r="N2362">
        <v>379.76</v>
      </c>
      <c r="O2362">
        <v>0</v>
      </c>
      <c r="P23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62" t="str">
        <f>IF(Table1[[#This Row],[Fraud_Score]]&gt;=6, "High Risk",IF(Table1[[#This Row],[Fraud_Score]]&gt;=3, "Medium Risk", "Low Risk"))</f>
        <v>Low Risk</v>
      </c>
      <c r="R2362">
        <f>IF(Table1[[#This Row],[Seconds of Use]]=0,0,Table1[[#This Row],[Customer Value]]/Table1[[#This Row],[Seconds of Use]]*100)</f>
        <v>5.8577818910997994</v>
      </c>
    </row>
    <row r="2363" spans="1:18" x14ac:dyDescent="0.35">
      <c r="A2363" s="3" t="s">
        <v>2384</v>
      </c>
      <c r="B2363">
        <v>19</v>
      </c>
      <c r="C2363">
        <v>0</v>
      </c>
      <c r="D2363">
        <v>46</v>
      </c>
      <c r="E2363">
        <v>0</v>
      </c>
      <c r="F2363">
        <v>2803</v>
      </c>
      <c r="G2363">
        <v>70</v>
      </c>
      <c r="H2363">
        <v>30</v>
      </c>
      <c r="I2363">
        <v>25</v>
      </c>
      <c r="J2363">
        <v>4</v>
      </c>
      <c r="K2363">
        <v>1</v>
      </c>
      <c r="L2363">
        <v>2</v>
      </c>
      <c r="M2363">
        <v>45</v>
      </c>
      <c r="N2363">
        <v>146.82499999999999</v>
      </c>
      <c r="O2363">
        <v>0</v>
      </c>
      <c r="P23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63" t="str">
        <f>IF(Table1[[#This Row],[Fraud_Score]]&gt;=6, "High Risk",IF(Table1[[#This Row],[Fraud_Score]]&gt;=3, "Medium Risk", "Low Risk"))</f>
        <v>Medium Risk</v>
      </c>
      <c r="R2363">
        <f>IF(Table1[[#This Row],[Seconds of Use]]=0,0,Table1[[#This Row],[Customer Value]]/Table1[[#This Row],[Seconds of Use]]*100)</f>
        <v>5.2381377095968604</v>
      </c>
    </row>
    <row r="2364" spans="1:18" x14ac:dyDescent="0.35">
      <c r="A2364" s="3" t="s">
        <v>2385</v>
      </c>
      <c r="B2364">
        <v>35</v>
      </c>
      <c r="C2364">
        <v>0</v>
      </c>
      <c r="D2364">
        <v>46</v>
      </c>
      <c r="E2364">
        <v>5</v>
      </c>
      <c r="F2364">
        <v>15705</v>
      </c>
      <c r="G2364">
        <v>241</v>
      </c>
      <c r="H2364">
        <v>76</v>
      </c>
      <c r="I2364">
        <v>40</v>
      </c>
      <c r="J2364">
        <v>3</v>
      </c>
      <c r="K2364">
        <v>1</v>
      </c>
      <c r="L2364">
        <v>1</v>
      </c>
      <c r="M2364">
        <v>30</v>
      </c>
      <c r="N2364">
        <v>941.84</v>
      </c>
      <c r="O2364">
        <v>0</v>
      </c>
      <c r="P23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64" t="str">
        <f>IF(Table1[[#This Row],[Fraud_Score]]&gt;=6, "High Risk",IF(Table1[[#This Row],[Fraud_Score]]&gt;=3, "Medium Risk", "Low Risk"))</f>
        <v>Medium Risk</v>
      </c>
      <c r="R2364">
        <f>IF(Table1[[#This Row],[Seconds of Use]]=0,0,Table1[[#This Row],[Customer Value]]/Table1[[#This Row],[Seconds of Use]]*100)</f>
        <v>5.9970709964979312</v>
      </c>
    </row>
    <row r="2365" spans="1:18" x14ac:dyDescent="0.35">
      <c r="A2365" s="3" t="s">
        <v>2386</v>
      </c>
      <c r="B2365">
        <v>14</v>
      </c>
      <c r="C2365">
        <v>0</v>
      </c>
      <c r="D2365">
        <v>46</v>
      </c>
      <c r="E2365">
        <v>3</v>
      </c>
      <c r="F2365">
        <v>3660</v>
      </c>
      <c r="G2365">
        <v>43</v>
      </c>
      <c r="H2365">
        <v>505</v>
      </c>
      <c r="I2365">
        <v>16</v>
      </c>
      <c r="J2365">
        <v>4</v>
      </c>
      <c r="K2365">
        <v>1</v>
      </c>
      <c r="L2365">
        <v>1</v>
      </c>
      <c r="M2365">
        <v>45</v>
      </c>
      <c r="N2365">
        <v>1355.075</v>
      </c>
      <c r="O2365">
        <v>0</v>
      </c>
      <c r="P23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65" t="str">
        <f>IF(Table1[[#This Row],[Fraud_Score]]&gt;=6, "High Risk",IF(Table1[[#This Row],[Fraud_Score]]&gt;=3, "Medium Risk", "Low Risk"))</f>
        <v>Low Risk</v>
      </c>
      <c r="R2365">
        <f>IF(Table1[[#This Row],[Seconds of Use]]=0,0,Table1[[#This Row],[Customer Value]]/Table1[[#This Row],[Seconds of Use]]*100)</f>
        <v>37.023907103825138</v>
      </c>
    </row>
    <row r="2366" spans="1:18" x14ac:dyDescent="0.35">
      <c r="A2366" s="3" t="s">
        <v>2387</v>
      </c>
      <c r="B2366">
        <v>19</v>
      </c>
      <c r="C2366">
        <v>0</v>
      </c>
      <c r="D2366">
        <v>45</v>
      </c>
      <c r="E2366">
        <v>2</v>
      </c>
      <c r="F2366">
        <v>16050</v>
      </c>
      <c r="G2366">
        <v>198</v>
      </c>
      <c r="H2366">
        <v>172</v>
      </c>
      <c r="I2366">
        <v>38</v>
      </c>
      <c r="J2366">
        <v>2</v>
      </c>
      <c r="K2366">
        <v>1</v>
      </c>
      <c r="L2366">
        <v>1</v>
      </c>
      <c r="M2366">
        <v>25</v>
      </c>
      <c r="N2366">
        <v>1505.16</v>
      </c>
      <c r="O2366">
        <v>0</v>
      </c>
      <c r="P23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66" t="str">
        <f>IF(Table1[[#This Row],[Fraud_Score]]&gt;=6, "High Risk",IF(Table1[[#This Row],[Fraud_Score]]&gt;=3, "Medium Risk", "Low Risk"))</f>
        <v>Medium Risk</v>
      </c>
      <c r="R2366">
        <f>IF(Table1[[#This Row],[Seconds of Use]]=0,0,Table1[[#This Row],[Customer Value]]/Table1[[#This Row],[Seconds of Use]]*100)</f>
        <v>9.3779439252336445</v>
      </c>
    </row>
    <row r="2367" spans="1:18" x14ac:dyDescent="0.35">
      <c r="A2367" s="3" t="s">
        <v>2388</v>
      </c>
      <c r="B2367">
        <v>13</v>
      </c>
      <c r="C2367">
        <v>0</v>
      </c>
      <c r="D2367">
        <v>45</v>
      </c>
      <c r="E2367">
        <v>3</v>
      </c>
      <c r="F2367">
        <v>7065</v>
      </c>
      <c r="G2367">
        <v>102</v>
      </c>
      <c r="H2367">
        <v>208</v>
      </c>
      <c r="I2367">
        <v>34</v>
      </c>
      <c r="J2367">
        <v>4</v>
      </c>
      <c r="K2367">
        <v>1</v>
      </c>
      <c r="L2367">
        <v>1</v>
      </c>
      <c r="M2367">
        <v>45</v>
      </c>
      <c r="N2367">
        <v>699.17499999999995</v>
      </c>
      <c r="O2367">
        <v>0</v>
      </c>
      <c r="P23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67" t="str">
        <f>IF(Table1[[#This Row],[Fraud_Score]]&gt;=6, "High Risk",IF(Table1[[#This Row],[Fraud_Score]]&gt;=3, "Medium Risk", "Low Risk"))</f>
        <v>Low Risk</v>
      </c>
      <c r="R2367">
        <f>IF(Table1[[#This Row],[Seconds of Use]]=0,0,Table1[[#This Row],[Customer Value]]/Table1[[#This Row],[Seconds of Use]]*100)</f>
        <v>9.8963198867657454</v>
      </c>
    </row>
    <row r="2368" spans="1:18" x14ac:dyDescent="0.35">
      <c r="A2368" s="3" t="s">
        <v>2389</v>
      </c>
      <c r="B2368">
        <v>10</v>
      </c>
      <c r="C2368">
        <v>0</v>
      </c>
      <c r="D2368">
        <v>45</v>
      </c>
      <c r="E2368">
        <v>0</v>
      </c>
      <c r="F2368">
        <v>1440</v>
      </c>
      <c r="G2368">
        <v>30</v>
      </c>
      <c r="H2368">
        <v>22</v>
      </c>
      <c r="I2368">
        <v>19</v>
      </c>
      <c r="J2368">
        <v>3</v>
      </c>
      <c r="K2368">
        <v>1</v>
      </c>
      <c r="L2368">
        <v>2</v>
      </c>
      <c r="M2368">
        <v>30</v>
      </c>
      <c r="N2368">
        <v>146.80000000000001</v>
      </c>
      <c r="O2368">
        <v>0</v>
      </c>
      <c r="P23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68" t="str">
        <f>IF(Table1[[#This Row],[Fraud_Score]]&gt;=6, "High Risk",IF(Table1[[#This Row],[Fraud_Score]]&gt;=3, "Medium Risk", "Low Risk"))</f>
        <v>Low Risk</v>
      </c>
      <c r="R2368">
        <f>IF(Table1[[#This Row],[Seconds of Use]]=0,0,Table1[[#This Row],[Customer Value]]/Table1[[#This Row],[Seconds of Use]]*100)</f>
        <v>10.194444444444445</v>
      </c>
    </row>
    <row r="2369" spans="1:18" x14ac:dyDescent="0.35">
      <c r="A2369" s="3" t="s">
        <v>2390</v>
      </c>
      <c r="B2369">
        <v>12</v>
      </c>
      <c r="C2369">
        <v>0</v>
      </c>
      <c r="D2369">
        <v>46</v>
      </c>
      <c r="E2369">
        <v>0</v>
      </c>
      <c r="F2369">
        <v>1275</v>
      </c>
      <c r="G2369">
        <v>30</v>
      </c>
      <c r="H2369">
        <v>35</v>
      </c>
      <c r="I2369">
        <v>16</v>
      </c>
      <c r="J2369">
        <v>3</v>
      </c>
      <c r="K2369">
        <v>1</v>
      </c>
      <c r="L2369">
        <v>2</v>
      </c>
      <c r="M2369">
        <v>30</v>
      </c>
      <c r="N2369">
        <v>192.2</v>
      </c>
      <c r="O2369">
        <v>0</v>
      </c>
      <c r="P23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69" t="str">
        <f>IF(Table1[[#This Row],[Fraud_Score]]&gt;=6, "High Risk",IF(Table1[[#This Row],[Fraud_Score]]&gt;=3, "Medium Risk", "Low Risk"))</f>
        <v>Medium Risk</v>
      </c>
      <c r="R2369">
        <f>IF(Table1[[#This Row],[Seconds of Use]]=0,0,Table1[[#This Row],[Customer Value]]/Table1[[#This Row],[Seconds of Use]]*100)</f>
        <v>15.074509803921568</v>
      </c>
    </row>
    <row r="2370" spans="1:18" x14ac:dyDescent="0.35">
      <c r="A2370" s="3" t="s">
        <v>2391</v>
      </c>
      <c r="B2370">
        <v>10</v>
      </c>
      <c r="C2370">
        <v>0</v>
      </c>
      <c r="D2370">
        <v>45</v>
      </c>
      <c r="E2370">
        <v>0</v>
      </c>
      <c r="F2370">
        <v>565</v>
      </c>
      <c r="G2370">
        <v>16</v>
      </c>
      <c r="H2370">
        <v>22</v>
      </c>
      <c r="I2370">
        <v>8</v>
      </c>
      <c r="J2370">
        <v>3</v>
      </c>
      <c r="K2370">
        <v>1</v>
      </c>
      <c r="L2370">
        <v>2</v>
      </c>
      <c r="M2370">
        <v>30</v>
      </c>
      <c r="N2370">
        <v>111.24</v>
      </c>
      <c r="O2370">
        <v>1</v>
      </c>
      <c r="P23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70" t="str">
        <f>IF(Table1[[#This Row],[Fraud_Score]]&gt;=6, "High Risk",IF(Table1[[#This Row],[Fraud_Score]]&gt;=3, "Medium Risk", "Low Risk"))</f>
        <v>Low Risk</v>
      </c>
      <c r="R2370">
        <f>IF(Table1[[#This Row],[Seconds of Use]]=0,0,Table1[[#This Row],[Customer Value]]/Table1[[#This Row],[Seconds of Use]]*100)</f>
        <v>19.688495575221239</v>
      </c>
    </row>
    <row r="2371" spans="1:18" x14ac:dyDescent="0.35">
      <c r="A2371" s="3" t="s">
        <v>2392</v>
      </c>
      <c r="B2371">
        <v>13</v>
      </c>
      <c r="C2371">
        <v>0</v>
      </c>
      <c r="D2371">
        <v>45</v>
      </c>
      <c r="E2371">
        <v>2</v>
      </c>
      <c r="F2371">
        <v>8073</v>
      </c>
      <c r="G2371">
        <v>143</v>
      </c>
      <c r="H2371">
        <v>406</v>
      </c>
      <c r="I2371">
        <v>51</v>
      </c>
      <c r="J2371">
        <v>3</v>
      </c>
      <c r="K2371">
        <v>1</v>
      </c>
      <c r="L2371">
        <v>1</v>
      </c>
      <c r="M2371">
        <v>30</v>
      </c>
      <c r="N2371">
        <v>1952.64</v>
      </c>
      <c r="O2371">
        <v>0</v>
      </c>
      <c r="P23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71" t="str">
        <f>IF(Table1[[#This Row],[Fraud_Score]]&gt;=6, "High Risk",IF(Table1[[#This Row],[Fraud_Score]]&gt;=3, "Medium Risk", "Low Risk"))</f>
        <v>Medium Risk</v>
      </c>
      <c r="R2371">
        <f>IF(Table1[[#This Row],[Seconds of Use]]=0,0,Table1[[#This Row],[Customer Value]]/Table1[[#This Row],[Seconds of Use]]*100)</f>
        <v>24.187290969899667</v>
      </c>
    </row>
    <row r="2372" spans="1:18" x14ac:dyDescent="0.35">
      <c r="A2372" s="3" t="s">
        <v>2393</v>
      </c>
      <c r="B2372">
        <v>17</v>
      </c>
      <c r="C2372">
        <v>0</v>
      </c>
      <c r="D2372">
        <v>45</v>
      </c>
      <c r="E2372">
        <v>3</v>
      </c>
      <c r="F2372">
        <v>12030</v>
      </c>
      <c r="G2372">
        <v>170</v>
      </c>
      <c r="H2372">
        <v>33</v>
      </c>
      <c r="I2372">
        <v>55</v>
      </c>
      <c r="J2372">
        <v>4</v>
      </c>
      <c r="K2372">
        <v>1</v>
      </c>
      <c r="L2372">
        <v>1</v>
      </c>
      <c r="M2372">
        <v>45</v>
      </c>
      <c r="N2372">
        <v>387.5</v>
      </c>
      <c r="O2372">
        <v>0</v>
      </c>
      <c r="P23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72" t="str">
        <f>IF(Table1[[#This Row],[Fraud_Score]]&gt;=6, "High Risk",IF(Table1[[#This Row],[Fraud_Score]]&gt;=3, "Medium Risk", "Low Risk"))</f>
        <v>Medium Risk</v>
      </c>
      <c r="R2372">
        <f>IF(Table1[[#This Row],[Seconds of Use]]=0,0,Table1[[#This Row],[Customer Value]]/Table1[[#This Row],[Seconds of Use]]*100)</f>
        <v>3.2211138819617622</v>
      </c>
    </row>
    <row r="2373" spans="1:18" x14ac:dyDescent="0.35">
      <c r="A2373" s="3" t="s">
        <v>2394</v>
      </c>
      <c r="B2373">
        <v>18</v>
      </c>
      <c r="C2373">
        <v>0</v>
      </c>
      <c r="D2373">
        <v>45</v>
      </c>
      <c r="E2373">
        <v>3</v>
      </c>
      <c r="F2373">
        <v>7283</v>
      </c>
      <c r="G2373">
        <v>91</v>
      </c>
      <c r="H2373">
        <v>130</v>
      </c>
      <c r="I2373">
        <v>45</v>
      </c>
      <c r="J2373">
        <v>2</v>
      </c>
      <c r="K2373">
        <v>1</v>
      </c>
      <c r="L2373">
        <v>1</v>
      </c>
      <c r="M2373">
        <v>25</v>
      </c>
      <c r="N2373">
        <v>916.83</v>
      </c>
      <c r="O2373">
        <v>0</v>
      </c>
      <c r="P23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73" t="str">
        <f>IF(Table1[[#This Row],[Fraud_Score]]&gt;=6, "High Risk",IF(Table1[[#This Row],[Fraud_Score]]&gt;=3, "Medium Risk", "Low Risk"))</f>
        <v>Low Risk</v>
      </c>
      <c r="R2373">
        <f>IF(Table1[[#This Row],[Seconds of Use]]=0,0,Table1[[#This Row],[Customer Value]]/Table1[[#This Row],[Seconds of Use]]*100)</f>
        <v>12.588631058629687</v>
      </c>
    </row>
    <row r="2374" spans="1:18" x14ac:dyDescent="0.35">
      <c r="A2374" s="3" t="s">
        <v>2395</v>
      </c>
      <c r="B2374">
        <v>33</v>
      </c>
      <c r="C2374">
        <v>1</v>
      </c>
      <c r="D2374">
        <v>41</v>
      </c>
      <c r="E2374">
        <v>0</v>
      </c>
      <c r="F2374">
        <v>1520</v>
      </c>
      <c r="G2374">
        <v>63</v>
      </c>
      <c r="H2374">
        <v>38</v>
      </c>
      <c r="I2374">
        <v>25</v>
      </c>
      <c r="J2374">
        <v>3</v>
      </c>
      <c r="K2374">
        <v>1</v>
      </c>
      <c r="L2374">
        <v>2</v>
      </c>
      <c r="M2374">
        <v>30</v>
      </c>
      <c r="N2374">
        <v>215.32</v>
      </c>
      <c r="O2374">
        <v>1</v>
      </c>
      <c r="P23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74" t="str">
        <f>IF(Table1[[#This Row],[Fraud_Score]]&gt;=6, "High Risk",IF(Table1[[#This Row],[Fraud_Score]]&gt;=3, "Medium Risk", "Low Risk"))</f>
        <v>Medium Risk</v>
      </c>
      <c r="R2374">
        <f>IF(Table1[[#This Row],[Seconds of Use]]=0,0,Table1[[#This Row],[Customer Value]]/Table1[[#This Row],[Seconds of Use]]*100)</f>
        <v>14.16578947368421</v>
      </c>
    </row>
    <row r="2375" spans="1:18" x14ac:dyDescent="0.35">
      <c r="A2375" s="3" t="s">
        <v>2396</v>
      </c>
      <c r="B2375">
        <v>31</v>
      </c>
      <c r="C2375">
        <v>0</v>
      </c>
      <c r="D2375">
        <v>44</v>
      </c>
      <c r="E2375">
        <v>10</v>
      </c>
      <c r="F2375">
        <v>11000</v>
      </c>
      <c r="G2375">
        <v>109</v>
      </c>
      <c r="H2375">
        <v>23</v>
      </c>
      <c r="I2375">
        <v>50</v>
      </c>
      <c r="J2375">
        <v>5</v>
      </c>
      <c r="K2375">
        <v>1</v>
      </c>
      <c r="L2375">
        <v>1</v>
      </c>
      <c r="M2375">
        <v>55</v>
      </c>
      <c r="N2375">
        <v>201.13499999999999</v>
      </c>
      <c r="O2375">
        <v>0</v>
      </c>
      <c r="P23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75" t="str">
        <f>IF(Table1[[#This Row],[Fraud_Score]]&gt;=6, "High Risk",IF(Table1[[#This Row],[Fraud_Score]]&gt;=3, "Medium Risk", "Low Risk"))</f>
        <v>Medium Risk</v>
      </c>
      <c r="R2375">
        <f>IF(Table1[[#This Row],[Seconds of Use]]=0,0,Table1[[#This Row],[Customer Value]]/Table1[[#This Row],[Seconds of Use]]*100)</f>
        <v>1.8285</v>
      </c>
    </row>
    <row r="2376" spans="1:18" x14ac:dyDescent="0.35">
      <c r="A2376" s="3" t="s">
        <v>2397</v>
      </c>
      <c r="B2376">
        <v>23</v>
      </c>
      <c r="C2376">
        <v>0</v>
      </c>
      <c r="D2376">
        <v>44</v>
      </c>
      <c r="E2376">
        <v>3</v>
      </c>
      <c r="F2376">
        <v>6383</v>
      </c>
      <c r="G2376">
        <v>114</v>
      </c>
      <c r="H2376">
        <v>48</v>
      </c>
      <c r="I2376">
        <v>32</v>
      </c>
      <c r="J2376">
        <v>3</v>
      </c>
      <c r="K2376">
        <v>1</v>
      </c>
      <c r="L2376">
        <v>1</v>
      </c>
      <c r="M2376">
        <v>30</v>
      </c>
      <c r="N2376">
        <v>451.88</v>
      </c>
      <c r="O2376">
        <v>0</v>
      </c>
      <c r="P23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76" t="str">
        <f>IF(Table1[[#This Row],[Fraud_Score]]&gt;=6, "High Risk",IF(Table1[[#This Row],[Fraud_Score]]&gt;=3, "Medium Risk", "Low Risk"))</f>
        <v>Low Risk</v>
      </c>
      <c r="R2376">
        <f>IF(Table1[[#This Row],[Seconds of Use]]=0,0,Table1[[#This Row],[Customer Value]]/Table1[[#This Row],[Seconds of Use]]*100)</f>
        <v>7.0794297352342159</v>
      </c>
    </row>
    <row r="2377" spans="1:18" x14ac:dyDescent="0.35">
      <c r="A2377" s="3" t="s">
        <v>2398</v>
      </c>
      <c r="B2377">
        <v>11</v>
      </c>
      <c r="C2377">
        <v>0</v>
      </c>
      <c r="D2377">
        <v>42</v>
      </c>
      <c r="E2377">
        <v>2</v>
      </c>
      <c r="F2377">
        <v>3405</v>
      </c>
      <c r="G2377">
        <v>38</v>
      </c>
      <c r="H2377">
        <v>22</v>
      </c>
      <c r="I2377">
        <v>22</v>
      </c>
      <c r="J2377">
        <v>4</v>
      </c>
      <c r="K2377">
        <v>1</v>
      </c>
      <c r="L2377">
        <v>1</v>
      </c>
      <c r="M2377">
        <v>45</v>
      </c>
      <c r="N2377">
        <v>141.07499999999999</v>
      </c>
      <c r="O2377">
        <v>0</v>
      </c>
      <c r="P23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77" t="str">
        <f>IF(Table1[[#This Row],[Fraud_Score]]&gt;=6, "High Risk",IF(Table1[[#This Row],[Fraud_Score]]&gt;=3, "Medium Risk", "Low Risk"))</f>
        <v>Low Risk</v>
      </c>
      <c r="R2377">
        <f>IF(Table1[[#This Row],[Seconds of Use]]=0,0,Table1[[#This Row],[Customer Value]]/Table1[[#This Row],[Seconds of Use]]*100)</f>
        <v>4.1431718061674001</v>
      </c>
    </row>
    <row r="2378" spans="1:18" x14ac:dyDescent="0.35">
      <c r="A2378" s="3" t="s">
        <v>2399</v>
      </c>
      <c r="B2378">
        <v>19</v>
      </c>
      <c r="C2378">
        <v>1</v>
      </c>
      <c r="D2378">
        <v>43</v>
      </c>
      <c r="E2378">
        <v>0</v>
      </c>
      <c r="F2378">
        <v>3555</v>
      </c>
      <c r="G2378">
        <v>57</v>
      </c>
      <c r="H2378">
        <v>31</v>
      </c>
      <c r="I2378">
        <v>24</v>
      </c>
      <c r="J2378">
        <v>3</v>
      </c>
      <c r="K2378">
        <v>1</v>
      </c>
      <c r="L2378">
        <v>2</v>
      </c>
      <c r="M2378">
        <v>30</v>
      </c>
      <c r="N2378">
        <v>268.48</v>
      </c>
      <c r="O2378">
        <v>1</v>
      </c>
      <c r="P23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78" t="str">
        <f>IF(Table1[[#This Row],[Fraud_Score]]&gt;=6, "High Risk",IF(Table1[[#This Row],[Fraud_Score]]&gt;=3, "Medium Risk", "Low Risk"))</f>
        <v>Medium Risk</v>
      </c>
      <c r="R2378">
        <f>IF(Table1[[#This Row],[Seconds of Use]]=0,0,Table1[[#This Row],[Customer Value]]/Table1[[#This Row],[Seconds of Use]]*100)</f>
        <v>7.5521800281293956</v>
      </c>
    </row>
    <row r="2379" spans="1:18" x14ac:dyDescent="0.35">
      <c r="A2379" s="3" t="s">
        <v>2400</v>
      </c>
      <c r="B2379">
        <v>19</v>
      </c>
      <c r="C2379">
        <v>1</v>
      </c>
      <c r="D2379">
        <v>44</v>
      </c>
      <c r="E2379">
        <v>0</v>
      </c>
      <c r="F2379">
        <v>2833</v>
      </c>
      <c r="G2379">
        <v>60</v>
      </c>
      <c r="H2379">
        <v>56</v>
      </c>
      <c r="I2379">
        <v>39</v>
      </c>
      <c r="J2379">
        <v>4</v>
      </c>
      <c r="K2379">
        <v>1</v>
      </c>
      <c r="L2379">
        <v>2</v>
      </c>
      <c r="M2379">
        <v>45</v>
      </c>
      <c r="N2379">
        <v>212.32499999999999</v>
      </c>
      <c r="O2379">
        <v>1</v>
      </c>
      <c r="P23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79" t="str">
        <f>IF(Table1[[#This Row],[Fraud_Score]]&gt;=6, "High Risk",IF(Table1[[#This Row],[Fraud_Score]]&gt;=3, "Medium Risk", "Low Risk"))</f>
        <v>Medium Risk</v>
      </c>
      <c r="R2379">
        <f>IF(Table1[[#This Row],[Seconds of Use]]=0,0,Table1[[#This Row],[Customer Value]]/Table1[[#This Row],[Seconds of Use]]*100)</f>
        <v>7.4947052594422869</v>
      </c>
    </row>
    <row r="2380" spans="1:18" x14ac:dyDescent="0.35">
      <c r="A2380" s="3" t="s">
        <v>2401</v>
      </c>
      <c r="B2380">
        <v>10</v>
      </c>
      <c r="C2380">
        <v>0</v>
      </c>
      <c r="D2380">
        <v>44</v>
      </c>
      <c r="E2380">
        <v>0</v>
      </c>
      <c r="F2380">
        <v>698</v>
      </c>
      <c r="G2380">
        <v>18</v>
      </c>
      <c r="H2380">
        <v>22</v>
      </c>
      <c r="I2380">
        <v>10</v>
      </c>
      <c r="J2380">
        <v>3</v>
      </c>
      <c r="K2380">
        <v>1</v>
      </c>
      <c r="L2380">
        <v>2</v>
      </c>
      <c r="M2380">
        <v>30</v>
      </c>
      <c r="N2380">
        <v>116.64</v>
      </c>
      <c r="O2380">
        <v>1</v>
      </c>
      <c r="P23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80" t="str">
        <f>IF(Table1[[#This Row],[Fraud_Score]]&gt;=6, "High Risk",IF(Table1[[#This Row],[Fraud_Score]]&gt;=3, "Medium Risk", "Low Risk"))</f>
        <v>Low Risk</v>
      </c>
      <c r="R2380">
        <f>IF(Table1[[#This Row],[Seconds of Use]]=0,0,Table1[[#This Row],[Customer Value]]/Table1[[#This Row],[Seconds of Use]]*100)</f>
        <v>16.710601719197708</v>
      </c>
    </row>
    <row r="2381" spans="1:18" x14ac:dyDescent="0.35">
      <c r="A2381" s="3" t="s">
        <v>2402</v>
      </c>
      <c r="B2381">
        <v>11</v>
      </c>
      <c r="C2381">
        <v>0</v>
      </c>
      <c r="D2381">
        <v>44</v>
      </c>
      <c r="E2381">
        <v>2</v>
      </c>
      <c r="F2381">
        <v>2233</v>
      </c>
      <c r="G2381">
        <v>41</v>
      </c>
      <c r="H2381">
        <v>22</v>
      </c>
      <c r="I2381">
        <v>14</v>
      </c>
      <c r="J2381">
        <v>4</v>
      </c>
      <c r="K2381">
        <v>1</v>
      </c>
      <c r="L2381">
        <v>1</v>
      </c>
      <c r="M2381">
        <v>45</v>
      </c>
      <c r="N2381">
        <v>111.85</v>
      </c>
      <c r="O2381">
        <v>0</v>
      </c>
      <c r="P23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81" t="str">
        <f>IF(Table1[[#This Row],[Fraud_Score]]&gt;=6, "High Risk",IF(Table1[[#This Row],[Fraud_Score]]&gt;=3, "Medium Risk", "Low Risk"))</f>
        <v>Low Risk</v>
      </c>
      <c r="R2381">
        <f>IF(Table1[[#This Row],[Seconds of Use]]=0,0,Table1[[#This Row],[Customer Value]]/Table1[[#This Row],[Seconds of Use]]*100)</f>
        <v>5.0089565606806978</v>
      </c>
    </row>
    <row r="2382" spans="1:18" x14ac:dyDescent="0.35">
      <c r="A2382" s="3" t="s">
        <v>2403</v>
      </c>
      <c r="B2382">
        <v>13</v>
      </c>
      <c r="C2382">
        <v>0</v>
      </c>
      <c r="D2382">
        <v>41</v>
      </c>
      <c r="E2382">
        <v>3</v>
      </c>
      <c r="F2382">
        <v>7350</v>
      </c>
      <c r="G2382">
        <v>113</v>
      </c>
      <c r="H2382">
        <v>36</v>
      </c>
      <c r="I2382">
        <v>30</v>
      </c>
      <c r="J2382">
        <v>5</v>
      </c>
      <c r="K2382">
        <v>1</v>
      </c>
      <c r="L2382">
        <v>1</v>
      </c>
      <c r="M2382">
        <v>55</v>
      </c>
      <c r="N2382">
        <v>165.94499999999999</v>
      </c>
      <c r="O2382">
        <v>0</v>
      </c>
      <c r="P23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82" t="str">
        <f>IF(Table1[[#This Row],[Fraud_Score]]&gt;=6, "High Risk",IF(Table1[[#This Row],[Fraud_Score]]&gt;=3, "Medium Risk", "Low Risk"))</f>
        <v>Low Risk</v>
      </c>
      <c r="R2382">
        <f>IF(Table1[[#This Row],[Seconds of Use]]=0,0,Table1[[#This Row],[Customer Value]]/Table1[[#This Row],[Seconds of Use]]*100)</f>
        <v>2.2577551020408162</v>
      </c>
    </row>
    <row r="2383" spans="1:18" x14ac:dyDescent="0.35">
      <c r="A2383" s="3" t="s">
        <v>2404</v>
      </c>
      <c r="B2383">
        <v>10</v>
      </c>
      <c r="C2383">
        <v>1</v>
      </c>
      <c r="D2383">
        <v>44</v>
      </c>
      <c r="E2383">
        <v>0</v>
      </c>
      <c r="F2383">
        <v>1193</v>
      </c>
      <c r="G2383">
        <v>23</v>
      </c>
      <c r="H2383">
        <v>31</v>
      </c>
      <c r="I2383">
        <v>12</v>
      </c>
      <c r="J2383">
        <v>4</v>
      </c>
      <c r="K2383">
        <v>1</v>
      </c>
      <c r="L2383">
        <v>2</v>
      </c>
      <c r="M2383">
        <v>45</v>
      </c>
      <c r="N2383">
        <v>107.9</v>
      </c>
      <c r="O2383">
        <v>1</v>
      </c>
      <c r="P23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83" t="str">
        <f>IF(Table1[[#This Row],[Fraud_Score]]&gt;=6, "High Risk",IF(Table1[[#This Row],[Fraud_Score]]&gt;=3, "Medium Risk", "Low Risk"))</f>
        <v>Medium Risk</v>
      </c>
      <c r="R2383">
        <f>IF(Table1[[#This Row],[Seconds of Use]]=0,0,Table1[[#This Row],[Customer Value]]/Table1[[#This Row],[Seconds of Use]]*100)</f>
        <v>9.0444258172673937</v>
      </c>
    </row>
    <row r="2384" spans="1:18" x14ac:dyDescent="0.35">
      <c r="A2384" s="3" t="s">
        <v>2405</v>
      </c>
      <c r="B2384">
        <v>10</v>
      </c>
      <c r="C2384">
        <v>0</v>
      </c>
      <c r="D2384">
        <v>44</v>
      </c>
      <c r="E2384">
        <v>3</v>
      </c>
      <c r="F2384">
        <v>903</v>
      </c>
      <c r="G2384">
        <v>20</v>
      </c>
      <c r="H2384">
        <v>26</v>
      </c>
      <c r="I2384">
        <v>10</v>
      </c>
      <c r="J2384">
        <v>5</v>
      </c>
      <c r="K2384">
        <v>1</v>
      </c>
      <c r="L2384">
        <v>1</v>
      </c>
      <c r="M2384">
        <v>55</v>
      </c>
      <c r="N2384">
        <v>52.844999999999999</v>
      </c>
      <c r="O2384">
        <v>0</v>
      </c>
      <c r="P23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384" t="str">
        <f>IF(Table1[[#This Row],[Fraud_Score]]&gt;=6, "High Risk",IF(Table1[[#This Row],[Fraud_Score]]&gt;=3, "Medium Risk", "Low Risk"))</f>
        <v>Low Risk</v>
      </c>
      <c r="R2384">
        <f>IF(Table1[[#This Row],[Seconds of Use]]=0,0,Table1[[#This Row],[Customer Value]]/Table1[[#This Row],[Seconds of Use]]*100)</f>
        <v>5.8521594684385381</v>
      </c>
    </row>
    <row r="2385" spans="1:18" x14ac:dyDescent="0.35">
      <c r="A2385" s="3" t="s">
        <v>2406</v>
      </c>
      <c r="B2385">
        <v>35</v>
      </c>
      <c r="C2385">
        <v>0</v>
      </c>
      <c r="D2385">
        <v>39</v>
      </c>
      <c r="E2385">
        <v>5</v>
      </c>
      <c r="F2385">
        <v>16640</v>
      </c>
      <c r="G2385">
        <v>254</v>
      </c>
      <c r="H2385">
        <v>22</v>
      </c>
      <c r="I2385">
        <v>88</v>
      </c>
      <c r="J2385">
        <v>2</v>
      </c>
      <c r="K2385">
        <v>2</v>
      </c>
      <c r="L2385">
        <v>1</v>
      </c>
      <c r="M2385">
        <v>25</v>
      </c>
      <c r="N2385">
        <v>859.23</v>
      </c>
      <c r="O2385">
        <v>0</v>
      </c>
      <c r="P23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85" t="str">
        <f>IF(Table1[[#This Row],[Fraud_Score]]&gt;=6, "High Risk",IF(Table1[[#This Row],[Fraud_Score]]&gt;=3, "Medium Risk", "Low Risk"))</f>
        <v>Medium Risk</v>
      </c>
      <c r="R2385">
        <f>IF(Table1[[#This Row],[Seconds of Use]]=0,0,Table1[[#This Row],[Customer Value]]/Table1[[#This Row],[Seconds of Use]]*100)</f>
        <v>5.1636418269230777</v>
      </c>
    </row>
    <row r="2386" spans="1:18" x14ac:dyDescent="0.35">
      <c r="A2386" s="3" t="s">
        <v>2407</v>
      </c>
      <c r="B2386">
        <v>16</v>
      </c>
      <c r="C2386">
        <v>1</v>
      </c>
      <c r="D2386">
        <v>42</v>
      </c>
      <c r="E2386">
        <v>5</v>
      </c>
      <c r="F2386">
        <v>7530</v>
      </c>
      <c r="G2386">
        <v>132</v>
      </c>
      <c r="H2386">
        <v>293</v>
      </c>
      <c r="I2386">
        <v>41</v>
      </c>
      <c r="J2386">
        <v>3</v>
      </c>
      <c r="K2386">
        <v>2</v>
      </c>
      <c r="L2386">
        <v>1</v>
      </c>
      <c r="M2386">
        <v>30</v>
      </c>
      <c r="N2386">
        <v>1478.48</v>
      </c>
      <c r="O2386">
        <v>0</v>
      </c>
      <c r="P23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386" t="str">
        <f>IF(Table1[[#This Row],[Fraud_Score]]&gt;=6, "High Risk",IF(Table1[[#This Row],[Fraud_Score]]&gt;=3, "Medium Risk", "Low Risk"))</f>
        <v>Medium Risk</v>
      </c>
      <c r="R2386">
        <f>IF(Table1[[#This Row],[Seconds of Use]]=0,0,Table1[[#This Row],[Customer Value]]/Table1[[#This Row],[Seconds of Use]]*100)</f>
        <v>19.634528552456839</v>
      </c>
    </row>
    <row r="2387" spans="1:18" x14ac:dyDescent="0.35">
      <c r="A2387" s="3" t="s">
        <v>2408</v>
      </c>
      <c r="B2387">
        <v>12</v>
      </c>
      <c r="C2387">
        <v>0</v>
      </c>
      <c r="D2387">
        <v>44</v>
      </c>
      <c r="E2387">
        <v>2</v>
      </c>
      <c r="F2387">
        <v>4283</v>
      </c>
      <c r="G2387">
        <v>98</v>
      </c>
      <c r="H2387">
        <v>24</v>
      </c>
      <c r="I2387">
        <v>36</v>
      </c>
      <c r="J2387">
        <v>3</v>
      </c>
      <c r="K2387">
        <v>1</v>
      </c>
      <c r="L2387">
        <v>1</v>
      </c>
      <c r="M2387">
        <v>30</v>
      </c>
      <c r="N2387">
        <v>271.24</v>
      </c>
      <c r="O2387">
        <v>0</v>
      </c>
      <c r="P23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87" t="str">
        <f>IF(Table1[[#This Row],[Fraud_Score]]&gt;=6, "High Risk",IF(Table1[[#This Row],[Fraud_Score]]&gt;=3, "Medium Risk", "Low Risk"))</f>
        <v>Low Risk</v>
      </c>
      <c r="R2387">
        <f>IF(Table1[[#This Row],[Seconds of Use]]=0,0,Table1[[#This Row],[Customer Value]]/Table1[[#This Row],[Seconds of Use]]*100)</f>
        <v>6.3329441979920613</v>
      </c>
    </row>
    <row r="2388" spans="1:18" x14ac:dyDescent="0.35">
      <c r="A2388" s="3" t="s">
        <v>2409</v>
      </c>
      <c r="B2388">
        <v>13</v>
      </c>
      <c r="C2388">
        <v>0</v>
      </c>
      <c r="D2388">
        <v>43</v>
      </c>
      <c r="E2388">
        <v>0</v>
      </c>
      <c r="F2388">
        <v>2230</v>
      </c>
      <c r="G2388">
        <v>60</v>
      </c>
      <c r="H2388">
        <v>60</v>
      </c>
      <c r="I2388">
        <v>28</v>
      </c>
      <c r="J2388">
        <v>4</v>
      </c>
      <c r="K2388">
        <v>1</v>
      </c>
      <c r="L2388">
        <v>2</v>
      </c>
      <c r="M2388">
        <v>45</v>
      </c>
      <c r="N2388">
        <v>207.25</v>
      </c>
      <c r="O2388">
        <v>0</v>
      </c>
      <c r="P23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88" t="str">
        <f>IF(Table1[[#This Row],[Fraud_Score]]&gt;=6, "High Risk",IF(Table1[[#This Row],[Fraud_Score]]&gt;=3, "Medium Risk", "Low Risk"))</f>
        <v>Medium Risk</v>
      </c>
      <c r="R2388">
        <f>IF(Table1[[#This Row],[Seconds of Use]]=0,0,Table1[[#This Row],[Customer Value]]/Table1[[#This Row],[Seconds of Use]]*100)</f>
        <v>9.2937219730941703</v>
      </c>
    </row>
    <row r="2389" spans="1:18" x14ac:dyDescent="0.35">
      <c r="A2389" s="3" t="s">
        <v>2410</v>
      </c>
      <c r="B2389">
        <v>16</v>
      </c>
      <c r="C2389">
        <v>0</v>
      </c>
      <c r="D2389">
        <v>44</v>
      </c>
      <c r="E2389">
        <v>2</v>
      </c>
      <c r="F2389">
        <v>3345</v>
      </c>
      <c r="G2389">
        <v>69</v>
      </c>
      <c r="H2389">
        <v>197</v>
      </c>
      <c r="I2389">
        <v>31</v>
      </c>
      <c r="J2389">
        <v>2</v>
      </c>
      <c r="K2389">
        <v>1</v>
      </c>
      <c r="L2389">
        <v>1</v>
      </c>
      <c r="M2389">
        <v>25</v>
      </c>
      <c r="N2389">
        <v>1040.1300000000001</v>
      </c>
      <c r="O2389">
        <v>0</v>
      </c>
      <c r="P23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89" t="str">
        <f>IF(Table1[[#This Row],[Fraud_Score]]&gt;=6, "High Risk",IF(Table1[[#This Row],[Fraud_Score]]&gt;=3, "Medium Risk", "Low Risk"))</f>
        <v>Low Risk</v>
      </c>
      <c r="R2389">
        <f>IF(Table1[[#This Row],[Seconds of Use]]=0,0,Table1[[#This Row],[Customer Value]]/Table1[[#This Row],[Seconds of Use]]*100)</f>
        <v>31.095067264573995</v>
      </c>
    </row>
    <row r="2390" spans="1:18" x14ac:dyDescent="0.35">
      <c r="A2390" s="3" t="s">
        <v>2411</v>
      </c>
      <c r="B2390">
        <v>14</v>
      </c>
      <c r="C2390">
        <v>0</v>
      </c>
      <c r="D2390">
        <v>35</v>
      </c>
      <c r="E2390">
        <v>3</v>
      </c>
      <c r="F2390">
        <v>1880</v>
      </c>
      <c r="G2390">
        <v>52</v>
      </c>
      <c r="H2390">
        <v>215</v>
      </c>
      <c r="I2390">
        <v>19</v>
      </c>
      <c r="J2390">
        <v>3</v>
      </c>
      <c r="K2390">
        <v>2</v>
      </c>
      <c r="L2390">
        <v>1</v>
      </c>
      <c r="M2390">
        <v>30</v>
      </c>
      <c r="N2390">
        <v>937.28</v>
      </c>
      <c r="O2390">
        <v>0</v>
      </c>
      <c r="P23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90" t="str">
        <f>IF(Table1[[#This Row],[Fraud_Score]]&gt;=6, "High Risk",IF(Table1[[#This Row],[Fraud_Score]]&gt;=3, "Medium Risk", "Low Risk"))</f>
        <v>Low Risk</v>
      </c>
      <c r="R2390">
        <f>IF(Table1[[#This Row],[Seconds of Use]]=0,0,Table1[[#This Row],[Customer Value]]/Table1[[#This Row],[Seconds of Use]]*100)</f>
        <v>49.855319148936168</v>
      </c>
    </row>
    <row r="2391" spans="1:18" x14ac:dyDescent="0.35">
      <c r="A2391" s="3" t="s">
        <v>2412</v>
      </c>
      <c r="B2391">
        <v>14</v>
      </c>
      <c r="C2391">
        <v>0</v>
      </c>
      <c r="D2391">
        <v>34</v>
      </c>
      <c r="E2391">
        <v>2</v>
      </c>
      <c r="F2391">
        <v>2133</v>
      </c>
      <c r="G2391">
        <v>55</v>
      </c>
      <c r="H2391">
        <v>52</v>
      </c>
      <c r="I2391">
        <v>76</v>
      </c>
      <c r="J2391">
        <v>5</v>
      </c>
      <c r="K2391">
        <v>1</v>
      </c>
      <c r="L2391">
        <v>1</v>
      </c>
      <c r="M2391">
        <v>55</v>
      </c>
      <c r="N2391">
        <v>110.82</v>
      </c>
      <c r="O2391">
        <v>0</v>
      </c>
      <c r="P23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91" t="str">
        <f>IF(Table1[[#This Row],[Fraud_Score]]&gt;=6, "High Risk",IF(Table1[[#This Row],[Fraud_Score]]&gt;=3, "Medium Risk", "Low Risk"))</f>
        <v>Medium Risk</v>
      </c>
      <c r="R2391">
        <f>IF(Table1[[#This Row],[Seconds of Use]]=0,0,Table1[[#This Row],[Customer Value]]/Table1[[#This Row],[Seconds of Use]]*100)</f>
        <v>5.195499296765119</v>
      </c>
    </row>
    <row r="2392" spans="1:18" x14ac:dyDescent="0.35">
      <c r="A2392" s="3" t="s">
        <v>2413</v>
      </c>
      <c r="B2392">
        <v>21</v>
      </c>
      <c r="C2392">
        <v>0</v>
      </c>
      <c r="D2392">
        <v>35</v>
      </c>
      <c r="E2392">
        <v>0</v>
      </c>
      <c r="F2392">
        <v>1265</v>
      </c>
      <c r="G2392">
        <v>41</v>
      </c>
      <c r="H2392">
        <v>32</v>
      </c>
      <c r="I2392">
        <v>15</v>
      </c>
      <c r="J2392">
        <v>3</v>
      </c>
      <c r="K2392">
        <v>1</v>
      </c>
      <c r="L2392">
        <v>2</v>
      </c>
      <c r="M2392">
        <v>30</v>
      </c>
      <c r="N2392">
        <v>180.24</v>
      </c>
      <c r="O2392">
        <v>0</v>
      </c>
      <c r="P23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392" t="str">
        <f>IF(Table1[[#This Row],[Fraud_Score]]&gt;=6, "High Risk",IF(Table1[[#This Row],[Fraud_Score]]&gt;=3, "Medium Risk", "Low Risk"))</f>
        <v>Medium Risk</v>
      </c>
      <c r="R2392">
        <f>IF(Table1[[#This Row],[Seconds of Use]]=0,0,Table1[[#This Row],[Customer Value]]/Table1[[#This Row],[Seconds of Use]]*100)</f>
        <v>14.248221343873519</v>
      </c>
    </row>
    <row r="2393" spans="1:18" x14ac:dyDescent="0.35">
      <c r="A2393" s="3" t="s">
        <v>2414</v>
      </c>
      <c r="B2393">
        <v>10</v>
      </c>
      <c r="C2393">
        <v>0</v>
      </c>
      <c r="D2393">
        <v>34</v>
      </c>
      <c r="E2393">
        <v>0</v>
      </c>
      <c r="F2393">
        <v>1390</v>
      </c>
      <c r="G2393">
        <v>26</v>
      </c>
      <c r="H2393">
        <v>43</v>
      </c>
      <c r="I2393">
        <v>11</v>
      </c>
      <c r="J2393">
        <v>4</v>
      </c>
      <c r="K2393">
        <v>1</v>
      </c>
      <c r="L2393">
        <v>2</v>
      </c>
      <c r="M2393">
        <v>45</v>
      </c>
      <c r="N2393">
        <v>142.9</v>
      </c>
      <c r="O2393">
        <v>0</v>
      </c>
      <c r="P23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393" t="str">
        <f>IF(Table1[[#This Row],[Fraud_Score]]&gt;=6, "High Risk",IF(Table1[[#This Row],[Fraud_Score]]&gt;=3, "Medium Risk", "Low Risk"))</f>
        <v>Low Risk</v>
      </c>
      <c r="R2393">
        <f>IF(Table1[[#This Row],[Seconds of Use]]=0,0,Table1[[#This Row],[Customer Value]]/Table1[[#This Row],[Seconds of Use]]*100)</f>
        <v>10.280575539568346</v>
      </c>
    </row>
    <row r="2394" spans="1:18" x14ac:dyDescent="0.35">
      <c r="A2394" s="3" t="s">
        <v>2415</v>
      </c>
      <c r="B2394">
        <v>20</v>
      </c>
      <c r="C2394">
        <v>0</v>
      </c>
      <c r="D2394">
        <v>33</v>
      </c>
      <c r="E2394">
        <v>2</v>
      </c>
      <c r="F2394">
        <v>1790</v>
      </c>
      <c r="G2394">
        <v>48</v>
      </c>
      <c r="H2394">
        <v>41</v>
      </c>
      <c r="I2394">
        <v>21</v>
      </c>
      <c r="J2394">
        <v>2</v>
      </c>
      <c r="K2394">
        <v>1</v>
      </c>
      <c r="L2394">
        <v>1</v>
      </c>
      <c r="M2394">
        <v>25</v>
      </c>
      <c r="N2394">
        <v>267.20999999999998</v>
      </c>
      <c r="O2394">
        <v>0</v>
      </c>
      <c r="P23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94" t="str">
        <f>IF(Table1[[#This Row],[Fraud_Score]]&gt;=6, "High Risk",IF(Table1[[#This Row],[Fraud_Score]]&gt;=3, "Medium Risk", "Low Risk"))</f>
        <v>Low Risk</v>
      </c>
      <c r="R2394">
        <f>IF(Table1[[#This Row],[Seconds of Use]]=0,0,Table1[[#This Row],[Customer Value]]/Table1[[#This Row],[Seconds of Use]]*100)</f>
        <v>14.927932960893852</v>
      </c>
    </row>
    <row r="2395" spans="1:18" x14ac:dyDescent="0.35">
      <c r="A2395" s="3" t="s">
        <v>2416</v>
      </c>
      <c r="B2395">
        <v>12</v>
      </c>
      <c r="C2395">
        <v>0</v>
      </c>
      <c r="D2395">
        <v>33</v>
      </c>
      <c r="E2395">
        <v>2</v>
      </c>
      <c r="F2395">
        <v>3790</v>
      </c>
      <c r="G2395">
        <v>77</v>
      </c>
      <c r="H2395">
        <v>30</v>
      </c>
      <c r="I2395">
        <v>31</v>
      </c>
      <c r="J2395">
        <v>4</v>
      </c>
      <c r="K2395">
        <v>1</v>
      </c>
      <c r="L2395">
        <v>1</v>
      </c>
      <c r="M2395">
        <v>45</v>
      </c>
      <c r="N2395">
        <v>171.67500000000001</v>
      </c>
      <c r="O2395">
        <v>0</v>
      </c>
      <c r="P23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95" t="str">
        <f>IF(Table1[[#This Row],[Fraud_Score]]&gt;=6, "High Risk",IF(Table1[[#This Row],[Fraud_Score]]&gt;=3, "Medium Risk", "Low Risk"))</f>
        <v>Low Risk</v>
      </c>
      <c r="R2395">
        <f>IF(Table1[[#This Row],[Seconds of Use]]=0,0,Table1[[#This Row],[Customer Value]]/Table1[[#This Row],[Seconds of Use]]*100)</f>
        <v>4.5296833773087073</v>
      </c>
    </row>
    <row r="2396" spans="1:18" x14ac:dyDescent="0.35">
      <c r="A2396" s="3" t="s">
        <v>2417</v>
      </c>
      <c r="B2396">
        <v>12</v>
      </c>
      <c r="C2396">
        <v>0</v>
      </c>
      <c r="D2396">
        <v>26</v>
      </c>
      <c r="E2396">
        <v>2</v>
      </c>
      <c r="F2396">
        <v>2260</v>
      </c>
      <c r="G2396">
        <v>42</v>
      </c>
      <c r="H2396">
        <v>50</v>
      </c>
      <c r="I2396">
        <v>22</v>
      </c>
      <c r="J2396">
        <v>3</v>
      </c>
      <c r="K2396">
        <v>1</v>
      </c>
      <c r="L2396">
        <v>1</v>
      </c>
      <c r="M2396">
        <v>30</v>
      </c>
      <c r="N2396">
        <v>292.08</v>
      </c>
      <c r="O2396">
        <v>0</v>
      </c>
      <c r="P23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96" t="str">
        <f>IF(Table1[[#This Row],[Fraud_Score]]&gt;=6, "High Risk",IF(Table1[[#This Row],[Fraud_Score]]&gt;=3, "Medium Risk", "Low Risk"))</f>
        <v>Low Risk</v>
      </c>
      <c r="R2396">
        <f>IF(Table1[[#This Row],[Seconds of Use]]=0,0,Table1[[#This Row],[Customer Value]]/Table1[[#This Row],[Seconds of Use]]*100)</f>
        <v>12.923893805309733</v>
      </c>
    </row>
    <row r="2397" spans="1:18" x14ac:dyDescent="0.35">
      <c r="A2397" s="3" t="s">
        <v>2418</v>
      </c>
      <c r="B2397">
        <v>26</v>
      </c>
      <c r="C2397">
        <v>0</v>
      </c>
      <c r="D2397">
        <v>25</v>
      </c>
      <c r="E2397">
        <v>3</v>
      </c>
      <c r="F2397">
        <v>6958</v>
      </c>
      <c r="G2397">
        <v>157</v>
      </c>
      <c r="H2397">
        <v>107</v>
      </c>
      <c r="I2397">
        <v>50</v>
      </c>
      <c r="J2397">
        <v>2</v>
      </c>
      <c r="K2397">
        <v>2</v>
      </c>
      <c r="L2397">
        <v>1</v>
      </c>
      <c r="M2397">
        <v>25</v>
      </c>
      <c r="N2397">
        <v>801.67499999999995</v>
      </c>
      <c r="O2397">
        <v>0</v>
      </c>
      <c r="P23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97" t="str">
        <f>IF(Table1[[#This Row],[Fraud_Score]]&gt;=6, "High Risk",IF(Table1[[#This Row],[Fraud_Score]]&gt;=3, "Medium Risk", "Low Risk"))</f>
        <v>Medium Risk</v>
      </c>
      <c r="R2397">
        <f>IF(Table1[[#This Row],[Seconds of Use]]=0,0,Table1[[#This Row],[Customer Value]]/Table1[[#This Row],[Seconds of Use]]*100)</f>
        <v>11.521629778672031</v>
      </c>
    </row>
    <row r="2398" spans="1:18" x14ac:dyDescent="0.35">
      <c r="A2398" s="3" t="s">
        <v>2419</v>
      </c>
      <c r="B2398">
        <v>22</v>
      </c>
      <c r="C2398">
        <v>0</v>
      </c>
      <c r="D2398">
        <v>23</v>
      </c>
      <c r="E2398">
        <v>2</v>
      </c>
      <c r="F2398">
        <v>9498</v>
      </c>
      <c r="G2398">
        <v>187</v>
      </c>
      <c r="H2398">
        <v>95</v>
      </c>
      <c r="I2398">
        <v>48</v>
      </c>
      <c r="J2398">
        <v>5</v>
      </c>
      <c r="K2398">
        <v>1</v>
      </c>
      <c r="L2398">
        <v>1</v>
      </c>
      <c r="M2398">
        <v>55</v>
      </c>
      <c r="N2398">
        <v>287.77499999999998</v>
      </c>
      <c r="O2398">
        <v>0</v>
      </c>
      <c r="P23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398" t="str">
        <f>IF(Table1[[#This Row],[Fraud_Score]]&gt;=6, "High Risk",IF(Table1[[#This Row],[Fraud_Score]]&gt;=3, "Medium Risk", "Low Risk"))</f>
        <v>Medium Risk</v>
      </c>
      <c r="R2398">
        <f>IF(Table1[[#This Row],[Seconds of Use]]=0,0,Table1[[#This Row],[Customer Value]]/Table1[[#This Row],[Seconds of Use]]*100)</f>
        <v>3.0298483891345542</v>
      </c>
    </row>
    <row r="2399" spans="1:18" x14ac:dyDescent="0.35">
      <c r="A2399" s="3" t="s">
        <v>2420</v>
      </c>
      <c r="B2399">
        <v>18</v>
      </c>
      <c r="C2399">
        <v>0</v>
      </c>
      <c r="D2399">
        <v>24</v>
      </c>
      <c r="E2399">
        <v>5</v>
      </c>
      <c r="F2399">
        <v>3418</v>
      </c>
      <c r="G2399">
        <v>61</v>
      </c>
      <c r="H2399">
        <v>53</v>
      </c>
      <c r="I2399">
        <v>27</v>
      </c>
      <c r="J2399">
        <v>4</v>
      </c>
      <c r="K2399">
        <v>2</v>
      </c>
      <c r="L2399">
        <v>1</v>
      </c>
      <c r="M2399">
        <v>45</v>
      </c>
      <c r="N2399">
        <v>219.47499999999999</v>
      </c>
      <c r="O2399">
        <v>0</v>
      </c>
      <c r="P23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399" t="str">
        <f>IF(Table1[[#This Row],[Fraud_Score]]&gt;=6, "High Risk",IF(Table1[[#This Row],[Fraud_Score]]&gt;=3, "Medium Risk", "Low Risk"))</f>
        <v>Low Risk</v>
      </c>
      <c r="R2399">
        <f>IF(Table1[[#This Row],[Seconds of Use]]=0,0,Table1[[#This Row],[Customer Value]]/Table1[[#This Row],[Seconds of Use]]*100)</f>
        <v>6.4211527208894088</v>
      </c>
    </row>
    <row r="2400" spans="1:18" x14ac:dyDescent="0.35">
      <c r="A2400" s="3" t="s">
        <v>2421</v>
      </c>
      <c r="B2400">
        <v>12</v>
      </c>
      <c r="C2400">
        <v>0</v>
      </c>
      <c r="D2400">
        <v>17</v>
      </c>
      <c r="E2400">
        <v>3</v>
      </c>
      <c r="F2400">
        <v>4955</v>
      </c>
      <c r="G2400">
        <v>56</v>
      </c>
      <c r="H2400">
        <v>237</v>
      </c>
      <c r="I2400">
        <v>18</v>
      </c>
      <c r="J2400">
        <v>3</v>
      </c>
      <c r="K2400">
        <v>1</v>
      </c>
      <c r="L2400">
        <v>1</v>
      </c>
      <c r="M2400">
        <v>30</v>
      </c>
      <c r="N2400">
        <v>1148.44</v>
      </c>
      <c r="O2400">
        <v>0</v>
      </c>
      <c r="P24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00" t="str">
        <f>IF(Table1[[#This Row],[Fraud_Score]]&gt;=6, "High Risk",IF(Table1[[#This Row],[Fraud_Score]]&gt;=3, "Medium Risk", "Low Risk"))</f>
        <v>Low Risk</v>
      </c>
      <c r="R2400">
        <f>IF(Table1[[#This Row],[Seconds of Use]]=0,0,Table1[[#This Row],[Customer Value]]/Table1[[#This Row],[Seconds of Use]]*100)</f>
        <v>23.177396569122099</v>
      </c>
    </row>
    <row r="2401" spans="1:18" x14ac:dyDescent="0.35">
      <c r="A2401" s="3" t="s">
        <v>2422</v>
      </c>
      <c r="B2401">
        <v>13</v>
      </c>
      <c r="C2401">
        <v>0</v>
      </c>
      <c r="D2401">
        <v>17</v>
      </c>
      <c r="E2401">
        <v>3</v>
      </c>
      <c r="F2401">
        <v>2053</v>
      </c>
      <c r="G2401">
        <v>35</v>
      </c>
      <c r="H2401">
        <v>22</v>
      </c>
      <c r="I2401">
        <v>15</v>
      </c>
      <c r="J2401">
        <v>3</v>
      </c>
      <c r="K2401">
        <v>1</v>
      </c>
      <c r="L2401">
        <v>1</v>
      </c>
      <c r="M2401">
        <v>30</v>
      </c>
      <c r="N2401">
        <v>171.52</v>
      </c>
      <c r="O2401">
        <v>1</v>
      </c>
      <c r="P24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01" t="str">
        <f>IF(Table1[[#This Row],[Fraud_Score]]&gt;=6, "High Risk",IF(Table1[[#This Row],[Fraud_Score]]&gt;=3, "Medium Risk", "Low Risk"))</f>
        <v>Low Risk</v>
      </c>
      <c r="R2401">
        <f>IF(Table1[[#This Row],[Seconds of Use]]=0,0,Table1[[#This Row],[Customer Value]]/Table1[[#This Row],[Seconds of Use]]*100)</f>
        <v>8.3546030199707744</v>
      </c>
    </row>
    <row r="2402" spans="1:18" x14ac:dyDescent="0.35">
      <c r="A2402" s="3" t="s">
        <v>2423</v>
      </c>
      <c r="B2402">
        <v>8</v>
      </c>
      <c r="C2402">
        <v>0</v>
      </c>
      <c r="D2402">
        <v>34</v>
      </c>
      <c r="E2402">
        <v>1</v>
      </c>
      <c r="F2402">
        <v>4415</v>
      </c>
      <c r="G2402">
        <v>67</v>
      </c>
      <c r="H2402">
        <v>7</v>
      </c>
      <c r="I2402">
        <v>13</v>
      </c>
      <c r="J2402">
        <v>3</v>
      </c>
      <c r="K2402">
        <v>1</v>
      </c>
      <c r="L2402">
        <v>1</v>
      </c>
      <c r="M2402">
        <v>30</v>
      </c>
      <c r="N2402">
        <v>207.28</v>
      </c>
      <c r="O2402">
        <v>0</v>
      </c>
      <c r="P24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02" t="str">
        <f>IF(Table1[[#This Row],[Fraud_Score]]&gt;=6, "High Risk",IF(Table1[[#This Row],[Fraud_Score]]&gt;=3, "Medium Risk", "Low Risk"))</f>
        <v>Low Risk</v>
      </c>
      <c r="R2402">
        <f>IF(Table1[[#This Row],[Seconds of Use]]=0,0,Table1[[#This Row],[Customer Value]]/Table1[[#This Row],[Seconds of Use]]*100)</f>
        <v>4.6949037372593434</v>
      </c>
    </row>
    <row r="2403" spans="1:18" x14ac:dyDescent="0.35">
      <c r="A2403" s="3" t="s">
        <v>2424</v>
      </c>
      <c r="B2403">
        <v>5</v>
      </c>
      <c r="C2403">
        <v>0</v>
      </c>
      <c r="D2403">
        <v>35</v>
      </c>
      <c r="E2403">
        <v>0</v>
      </c>
      <c r="F2403">
        <v>305</v>
      </c>
      <c r="G2403">
        <v>6</v>
      </c>
      <c r="H2403">
        <v>7</v>
      </c>
      <c r="I2403">
        <v>2</v>
      </c>
      <c r="J2403">
        <v>2</v>
      </c>
      <c r="K2403">
        <v>1</v>
      </c>
      <c r="L2403">
        <v>2</v>
      </c>
      <c r="M2403">
        <v>25</v>
      </c>
      <c r="N2403">
        <v>45.494999999999997</v>
      </c>
      <c r="O2403">
        <v>0</v>
      </c>
      <c r="P24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03" t="str">
        <f>IF(Table1[[#This Row],[Fraud_Score]]&gt;=6, "High Risk",IF(Table1[[#This Row],[Fraud_Score]]&gt;=3, "Medium Risk", "Low Risk"))</f>
        <v>Low Risk</v>
      </c>
      <c r="R2403">
        <f>IF(Table1[[#This Row],[Seconds of Use]]=0,0,Table1[[#This Row],[Customer Value]]/Table1[[#This Row],[Seconds of Use]]*100)</f>
        <v>14.916393442622949</v>
      </c>
    </row>
    <row r="2404" spans="1:18" x14ac:dyDescent="0.35">
      <c r="A2404" s="3" t="s">
        <v>2425</v>
      </c>
      <c r="B2404">
        <v>10</v>
      </c>
      <c r="C2404">
        <v>0</v>
      </c>
      <c r="D2404">
        <v>33</v>
      </c>
      <c r="E2404">
        <v>1</v>
      </c>
      <c r="F2404">
        <v>2498</v>
      </c>
      <c r="G2404">
        <v>56</v>
      </c>
      <c r="H2404">
        <v>351</v>
      </c>
      <c r="I2404">
        <v>20</v>
      </c>
      <c r="J2404">
        <v>3</v>
      </c>
      <c r="K2404">
        <v>1</v>
      </c>
      <c r="L2404">
        <v>1</v>
      </c>
      <c r="M2404">
        <v>30</v>
      </c>
      <c r="N2404">
        <v>1506.16</v>
      </c>
      <c r="O2404">
        <v>0</v>
      </c>
      <c r="P24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04" t="str">
        <f>IF(Table1[[#This Row],[Fraud_Score]]&gt;=6, "High Risk",IF(Table1[[#This Row],[Fraud_Score]]&gt;=3, "Medium Risk", "Low Risk"))</f>
        <v>Low Risk</v>
      </c>
      <c r="R2404">
        <f>IF(Table1[[#This Row],[Seconds of Use]]=0,0,Table1[[#This Row],[Customer Value]]/Table1[[#This Row],[Seconds of Use]]*100)</f>
        <v>60.294635708566858</v>
      </c>
    </row>
    <row r="2405" spans="1:18" x14ac:dyDescent="0.35">
      <c r="A2405" s="3" t="s">
        <v>2426</v>
      </c>
      <c r="B2405">
        <v>10</v>
      </c>
      <c r="C2405">
        <v>0</v>
      </c>
      <c r="D2405">
        <v>34</v>
      </c>
      <c r="E2405">
        <v>1</v>
      </c>
      <c r="F2405">
        <v>4243</v>
      </c>
      <c r="G2405">
        <v>62</v>
      </c>
      <c r="H2405">
        <v>7</v>
      </c>
      <c r="I2405">
        <v>31</v>
      </c>
      <c r="J2405">
        <v>2</v>
      </c>
      <c r="K2405">
        <v>1</v>
      </c>
      <c r="L2405">
        <v>1</v>
      </c>
      <c r="M2405">
        <v>25</v>
      </c>
      <c r="N2405">
        <v>225.22499999999999</v>
      </c>
      <c r="O2405">
        <v>0</v>
      </c>
      <c r="P24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05" t="str">
        <f>IF(Table1[[#This Row],[Fraud_Score]]&gt;=6, "High Risk",IF(Table1[[#This Row],[Fraud_Score]]&gt;=3, "Medium Risk", "Low Risk"))</f>
        <v>Low Risk</v>
      </c>
      <c r="R2405">
        <f>IF(Table1[[#This Row],[Seconds of Use]]=0,0,Table1[[#This Row],[Customer Value]]/Table1[[#This Row],[Seconds of Use]]*100)</f>
        <v>5.3081546075889694</v>
      </c>
    </row>
    <row r="2406" spans="1:18" x14ac:dyDescent="0.35">
      <c r="A2406" s="3" t="s">
        <v>2427</v>
      </c>
      <c r="B2406">
        <v>5</v>
      </c>
      <c r="C2406">
        <v>0</v>
      </c>
      <c r="D2406">
        <v>34</v>
      </c>
      <c r="E2406">
        <v>1</v>
      </c>
      <c r="F2406">
        <v>2438</v>
      </c>
      <c r="G2406">
        <v>54</v>
      </c>
      <c r="H2406">
        <v>7</v>
      </c>
      <c r="I2406">
        <v>29</v>
      </c>
      <c r="J2406">
        <v>1</v>
      </c>
      <c r="K2406">
        <v>1</v>
      </c>
      <c r="L2406">
        <v>1</v>
      </c>
      <c r="M2406">
        <v>15</v>
      </c>
      <c r="N2406">
        <v>175.56</v>
      </c>
      <c r="O2406">
        <v>0</v>
      </c>
      <c r="P24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06" t="str">
        <f>IF(Table1[[#This Row],[Fraud_Score]]&gt;=6, "High Risk",IF(Table1[[#This Row],[Fraud_Score]]&gt;=3, "Medium Risk", "Low Risk"))</f>
        <v>Low Risk</v>
      </c>
      <c r="R2406">
        <f>IF(Table1[[#This Row],[Seconds of Use]]=0,0,Table1[[#This Row],[Customer Value]]/Table1[[#This Row],[Seconds of Use]]*100)</f>
        <v>7.2009844134536509</v>
      </c>
    </row>
    <row r="2407" spans="1:18" x14ac:dyDescent="0.35">
      <c r="A2407" s="3" t="s">
        <v>2428</v>
      </c>
      <c r="B2407">
        <v>11</v>
      </c>
      <c r="C2407">
        <v>0</v>
      </c>
      <c r="D2407">
        <v>34</v>
      </c>
      <c r="E2407">
        <v>1</v>
      </c>
      <c r="F2407">
        <v>3820</v>
      </c>
      <c r="G2407">
        <v>78</v>
      </c>
      <c r="H2407">
        <v>24</v>
      </c>
      <c r="I2407">
        <v>24</v>
      </c>
      <c r="J2407">
        <v>3</v>
      </c>
      <c r="K2407">
        <v>1</v>
      </c>
      <c r="L2407">
        <v>1</v>
      </c>
      <c r="M2407">
        <v>30</v>
      </c>
      <c r="N2407">
        <v>251.92</v>
      </c>
      <c r="O2407">
        <v>0</v>
      </c>
      <c r="P24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07" t="str">
        <f>IF(Table1[[#This Row],[Fraud_Score]]&gt;=6, "High Risk",IF(Table1[[#This Row],[Fraud_Score]]&gt;=3, "Medium Risk", "Low Risk"))</f>
        <v>Low Risk</v>
      </c>
      <c r="R2407">
        <f>IF(Table1[[#This Row],[Seconds of Use]]=0,0,Table1[[#This Row],[Customer Value]]/Table1[[#This Row],[Seconds of Use]]*100)</f>
        <v>6.5947643979057586</v>
      </c>
    </row>
    <row r="2408" spans="1:18" x14ac:dyDescent="0.35">
      <c r="A2408" s="3" t="s">
        <v>2429</v>
      </c>
      <c r="B2408">
        <v>5</v>
      </c>
      <c r="C2408">
        <v>0</v>
      </c>
      <c r="D2408">
        <v>34</v>
      </c>
      <c r="E2408">
        <v>1</v>
      </c>
      <c r="F2408">
        <v>2405</v>
      </c>
      <c r="G2408">
        <v>35</v>
      </c>
      <c r="H2408">
        <v>277</v>
      </c>
      <c r="I2408">
        <v>14</v>
      </c>
      <c r="J2408">
        <v>3</v>
      </c>
      <c r="K2408">
        <v>1</v>
      </c>
      <c r="L2408">
        <v>1</v>
      </c>
      <c r="M2408">
        <v>30</v>
      </c>
      <c r="N2408">
        <v>1205.5999999999999</v>
      </c>
      <c r="O2408">
        <v>0</v>
      </c>
      <c r="P24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08" t="str">
        <f>IF(Table1[[#This Row],[Fraud_Score]]&gt;=6, "High Risk",IF(Table1[[#This Row],[Fraud_Score]]&gt;=3, "Medium Risk", "Low Risk"))</f>
        <v>Low Risk</v>
      </c>
      <c r="R2408">
        <f>IF(Table1[[#This Row],[Seconds of Use]]=0,0,Table1[[#This Row],[Customer Value]]/Table1[[#This Row],[Seconds of Use]]*100)</f>
        <v>50.128898128898122</v>
      </c>
    </row>
    <row r="2409" spans="1:18" x14ac:dyDescent="0.35">
      <c r="A2409" s="3" t="s">
        <v>2430</v>
      </c>
      <c r="B2409">
        <v>13</v>
      </c>
      <c r="C2409">
        <v>0</v>
      </c>
      <c r="D2409">
        <v>33</v>
      </c>
      <c r="E2409">
        <v>2</v>
      </c>
      <c r="F2409">
        <v>9160</v>
      </c>
      <c r="G2409">
        <v>117</v>
      </c>
      <c r="H2409">
        <v>136</v>
      </c>
      <c r="I2409">
        <v>39</v>
      </c>
      <c r="J2409">
        <v>3</v>
      </c>
      <c r="K2409">
        <v>1</v>
      </c>
      <c r="L2409">
        <v>1</v>
      </c>
      <c r="M2409">
        <v>30</v>
      </c>
      <c r="N2409">
        <v>915.08</v>
      </c>
      <c r="O2409">
        <v>0</v>
      </c>
      <c r="P24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09" t="str">
        <f>IF(Table1[[#This Row],[Fraud_Score]]&gt;=6, "High Risk",IF(Table1[[#This Row],[Fraud_Score]]&gt;=3, "Medium Risk", "Low Risk"))</f>
        <v>Low Risk</v>
      </c>
      <c r="R2409">
        <f>IF(Table1[[#This Row],[Seconds of Use]]=0,0,Table1[[#This Row],[Customer Value]]/Table1[[#This Row],[Seconds of Use]]*100)</f>
        <v>9.98995633187773</v>
      </c>
    </row>
    <row r="2410" spans="1:18" x14ac:dyDescent="0.35">
      <c r="A2410" s="3" t="s">
        <v>2431</v>
      </c>
      <c r="B2410">
        <v>7</v>
      </c>
      <c r="C2410">
        <v>0</v>
      </c>
      <c r="D2410">
        <v>34</v>
      </c>
      <c r="E2410">
        <v>1</v>
      </c>
      <c r="F2410">
        <v>13818</v>
      </c>
      <c r="G2410">
        <v>165</v>
      </c>
      <c r="H2410">
        <v>7</v>
      </c>
      <c r="I2410">
        <v>40</v>
      </c>
      <c r="J2410">
        <v>3</v>
      </c>
      <c r="K2410">
        <v>1</v>
      </c>
      <c r="L2410">
        <v>1</v>
      </c>
      <c r="M2410">
        <v>30</v>
      </c>
      <c r="N2410">
        <v>587.32000000000005</v>
      </c>
      <c r="O2410">
        <v>0</v>
      </c>
      <c r="P24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10" t="str">
        <f>IF(Table1[[#This Row],[Fraud_Score]]&gt;=6, "High Risk",IF(Table1[[#This Row],[Fraud_Score]]&gt;=3, "Medium Risk", "Low Risk"))</f>
        <v>Low Risk</v>
      </c>
      <c r="R2410">
        <f>IF(Table1[[#This Row],[Seconds of Use]]=0,0,Table1[[#This Row],[Customer Value]]/Table1[[#This Row],[Seconds of Use]]*100)</f>
        <v>4.250398031553047</v>
      </c>
    </row>
    <row r="2411" spans="1:18" x14ac:dyDescent="0.35">
      <c r="A2411" s="3" t="s">
        <v>2432</v>
      </c>
      <c r="B2411">
        <v>7</v>
      </c>
      <c r="C2411">
        <v>0</v>
      </c>
      <c r="D2411">
        <v>34</v>
      </c>
      <c r="E2411">
        <v>1</v>
      </c>
      <c r="F2411">
        <v>4560</v>
      </c>
      <c r="G2411">
        <v>79</v>
      </c>
      <c r="H2411">
        <v>7</v>
      </c>
      <c r="I2411">
        <v>21</v>
      </c>
      <c r="J2411">
        <v>3</v>
      </c>
      <c r="K2411">
        <v>1</v>
      </c>
      <c r="L2411">
        <v>1</v>
      </c>
      <c r="M2411">
        <v>30</v>
      </c>
      <c r="N2411">
        <v>213.56</v>
      </c>
      <c r="O2411">
        <v>0</v>
      </c>
      <c r="P24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11" t="str">
        <f>IF(Table1[[#This Row],[Fraud_Score]]&gt;=6, "High Risk",IF(Table1[[#This Row],[Fraud_Score]]&gt;=3, "Medium Risk", "Low Risk"))</f>
        <v>Low Risk</v>
      </c>
      <c r="R2411">
        <f>IF(Table1[[#This Row],[Seconds of Use]]=0,0,Table1[[#This Row],[Customer Value]]/Table1[[#This Row],[Seconds of Use]]*100)</f>
        <v>4.6833333333333327</v>
      </c>
    </row>
    <row r="2412" spans="1:18" x14ac:dyDescent="0.35">
      <c r="A2412" s="3" t="s">
        <v>2433</v>
      </c>
      <c r="B2412">
        <v>6</v>
      </c>
      <c r="C2412">
        <v>0</v>
      </c>
      <c r="D2412">
        <v>34</v>
      </c>
      <c r="E2412">
        <v>1</v>
      </c>
      <c r="F2412">
        <v>5963</v>
      </c>
      <c r="G2412">
        <v>91</v>
      </c>
      <c r="H2412">
        <v>7</v>
      </c>
      <c r="I2412">
        <v>8</v>
      </c>
      <c r="J2412">
        <v>3</v>
      </c>
      <c r="K2412">
        <v>1</v>
      </c>
      <c r="L2412">
        <v>1</v>
      </c>
      <c r="M2412">
        <v>30</v>
      </c>
      <c r="N2412">
        <v>270.16000000000003</v>
      </c>
      <c r="O2412">
        <v>0</v>
      </c>
      <c r="P24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12" t="str">
        <f>IF(Table1[[#This Row],[Fraud_Score]]&gt;=6, "High Risk",IF(Table1[[#This Row],[Fraud_Score]]&gt;=3, "Medium Risk", "Low Risk"))</f>
        <v>Low Risk</v>
      </c>
      <c r="R2412">
        <f>IF(Table1[[#This Row],[Seconds of Use]]=0,0,Table1[[#This Row],[Customer Value]]/Table1[[#This Row],[Seconds of Use]]*100)</f>
        <v>4.5306053999664604</v>
      </c>
    </row>
    <row r="2413" spans="1:18" x14ac:dyDescent="0.35">
      <c r="A2413" s="3" t="s">
        <v>2434</v>
      </c>
      <c r="B2413">
        <v>9</v>
      </c>
      <c r="C2413">
        <v>0</v>
      </c>
      <c r="D2413">
        <v>34</v>
      </c>
      <c r="E2413">
        <v>0</v>
      </c>
      <c r="F2413">
        <v>2283</v>
      </c>
      <c r="G2413">
        <v>50</v>
      </c>
      <c r="H2413">
        <v>7</v>
      </c>
      <c r="I2413">
        <v>13</v>
      </c>
      <c r="J2413">
        <v>3</v>
      </c>
      <c r="K2413">
        <v>1</v>
      </c>
      <c r="L2413">
        <v>2</v>
      </c>
      <c r="M2413">
        <v>30</v>
      </c>
      <c r="N2413">
        <v>121.32</v>
      </c>
      <c r="O2413">
        <v>0</v>
      </c>
      <c r="P24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13" t="str">
        <f>IF(Table1[[#This Row],[Fraud_Score]]&gt;=6, "High Risk",IF(Table1[[#This Row],[Fraud_Score]]&gt;=3, "Medium Risk", "Low Risk"))</f>
        <v>Low Risk</v>
      </c>
      <c r="R2413">
        <f>IF(Table1[[#This Row],[Seconds of Use]]=0,0,Table1[[#This Row],[Customer Value]]/Table1[[#This Row],[Seconds of Use]]*100)</f>
        <v>5.3140604467805517</v>
      </c>
    </row>
    <row r="2414" spans="1:18" x14ac:dyDescent="0.35">
      <c r="A2414" s="3" t="s">
        <v>2435</v>
      </c>
      <c r="B2414">
        <v>25</v>
      </c>
      <c r="C2414">
        <v>0</v>
      </c>
      <c r="D2414">
        <v>34</v>
      </c>
      <c r="E2414">
        <v>3</v>
      </c>
      <c r="F2414">
        <v>15185</v>
      </c>
      <c r="G2414">
        <v>221</v>
      </c>
      <c r="H2414">
        <v>46</v>
      </c>
      <c r="I2414">
        <v>28</v>
      </c>
      <c r="J2414">
        <v>3</v>
      </c>
      <c r="K2414">
        <v>1</v>
      </c>
      <c r="L2414">
        <v>1</v>
      </c>
      <c r="M2414">
        <v>30</v>
      </c>
      <c r="N2414">
        <v>800.24</v>
      </c>
      <c r="O2414">
        <v>0</v>
      </c>
      <c r="P24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414" t="str">
        <f>IF(Table1[[#This Row],[Fraud_Score]]&gt;=6, "High Risk",IF(Table1[[#This Row],[Fraud_Score]]&gt;=3, "Medium Risk", "Low Risk"))</f>
        <v>Medium Risk</v>
      </c>
      <c r="R2414">
        <f>IF(Table1[[#This Row],[Seconds of Use]]=0,0,Table1[[#This Row],[Customer Value]]/Table1[[#This Row],[Seconds of Use]]*100)</f>
        <v>5.2699374382614419</v>
      </c>
    </row>
    <row r="2415" spans="1:18" x14ac:dyDescent="0.35">
      <c r="A2415" s="3" t="s">
        <v>2436</v>
      </c>
      <c r="B2415">
        <v>5</v>
      </c>
      <c r="C2415">
        <v>0</v>
      </c>
      <c r="D2415">
        <v>34</v>
      </c>
      <c r="E2415">
        <v>1</v>
      </c>
      <c r="F2415">
        <v>3140</v>
      </c>
      <c r="G2415">
        <v>23</v>
      </c>
      <c r="H2415">
        <v>475</v>
      </c>
      <c r="I2415">
        <v>4</v>
      </c>
      <c r="J2415">
        <v>3</v>
      </c>
      <c r="K2415">
        <v>1</v>
      </c>
      <c r="L2415">
        <v>1</v>
      </c>
      <c r="M2415">
        <v>30</v>
      </c>
      <c r="N2415">
        <v>2026.52</v>
      </c>
      <c r="O2415">
        <v>0</v>
      </c>
      <c r="P24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15" t="str">
        <f>IF(Table1[[#This Row],[Fraud_Score]]&gt;=6, "High Risk",IF(Table1[[#This Row],[Fraud_Score]]&gt;=3, "Medium Risk", "Low Risk"))</f>
        <v>Low Risk</v>
      </c>
      <c r="R2415">
        <f>IF(Table1[[#This Row],[Seconds of Use]]=0,0,Table1[[#This Row],[Customer Value]]/Table1[[#This Row],[Seconds of Use]]*100)</f>
        <v>64.538853503184711</v>
      </c>
    </row>
    <row r="2416" spans="1:18" x14ac:dyDescent="0.35">
      <c r="A2416" s="3" t="s">
        <v>2437</v>
      </c>
      <c r="B2416">
        <v>9</v>
      </c>
      <c r="C2416">
        <v>0</v>
      </c>
      <c r="D2416">
        <v>33</v>
      </c>
      <c r="E2416">
        <v>1</v>
      </c>
      <c r="F2416">
        <v>15530</v>
      </c>
      <c r="G2416">
        <v>178</v>
      </c>
      <c r="H2416">
        <v>142</v>
      </c>
      <c r="I2416">
        <v>26</v>
      </c>
      <c r="J2416">
        <v>2</v>
      </c>
      <c r="K2416">
        <v>1</v>
      </c>
      <c r="L2416">
        <v>1</v>
      </c>
      <c r="M2416">
        <v>25</v>
      </c>
      <c r="N2416">
        <v>1345.86</v>
      </c>
      <c r="O2416">
        <v>0</v>
      </c>
      <c r="P24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16" t="str">
        <f>IF(Table1[[#This Row],[Fraud_Score]]&gt;=6, "High Risk",IF(Table1[[#This Row],[Fraud_Score]]&gt;=3, "Medium Risk", "Low Risk"))</f>
        <v>Low Risk</v>
      </c>
      <c r="R2416">
        <f>IF(Table1[[#This Row],[Seconds of Use]]=0,0,Table1[[#This Row],[Customer Value]]/Table1[[#This Row],[Seconds of Use]]*100)</f>
        <v>8.6661944623309708</v>
      </c>
    </row>
    <row r="2417" spans="1:18" x14ac:dyDescent="0.35">
      <c r="A2417" s="3" t="s">
        <v>2438</v>
      </c>
      <c r="B2417">
        <v>5</v>
      </c>
      <c r="C2417">
        <v>0</v>
      </c>
      <c r="D2417">
        <v>33</v>
      </c>
      <c r="E2417">
        <v>1</v>
      </c>
      <c r="F2417">
        <v>6545</v>
      </c>
      <c r="G2417">
        <v>82</v>
      </c>
      <c r="H2417">
        <v>178</v>
      </c>
      <c r="I2417">
        <v>22</v>
      </c>
      <c r="J2417">
        <v>3</v>
      </c>
      <c r="K2417">
        <v>1</v>
      </c>
      <c r="L2417">
        <v>1</v>
      </c>
      <c r="M2417">
        <v>30</v>
      </c>
      <c r="N2417">
        <v>977.08</v>
      </c>
      <c r="O2417">
        <v>0</v>
      </c>
      <c r="P24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17" t="str">
        <f>IF(Table1[[#This Row],[Fraud_Score]]&gt;=6, "High Risk",IF(Table1[[#This Row],[Fraud_Score]]&gt;=3, "Medium Risk", "Low Risk"))</f>
        <v>Low Risk</v>
      </c>
      <c r="R2417">
        <f>IF(Table1[[#This Row],[Seconds of Use]]=0,0,Table1[[#This Row],[Customer Value]]/Table1[[#This Row],[Seconds of Use]]*100)</f>
        <v>14.92864782276547</v>
      </c>
    </row>
    <row r="2418" spans="1:18" x14ac:dyDescent="0.35">
      <c r="A2418" s="3" t="s">
        <v>2439</v>
      </c>
      <c r="B2418">
        <v>5</v>
      </c>
      <c r="C2418">
        <v>0</v>
      </c>
      <c r="D2418">
        <v>33</v>
      </c>
      <c r="E2418">
        <v>0</v>
      </c>
      <c r="F2418">
        <v>920</v>
      </c>
      <c r="G2418">
        <v>10</v>
      </c>
      <c r="H2418">
        <v>7</v>
      </c>
      <c r="I2418">
        <v>7</v>
      </c>
      <c r="J2418">
        <v>2</v>
      </c>
      <c r="K2418">
        <v>1</v>
      </c>
      <c r="L2418">
        <v>2</v>
      </c>
      <c r="M2418">
        <v>25</v>
      </c>
      <c r="N2418">
        <v>73.349999999999994</v>
      </c>
      <c r="O2418">
        <v>0</v>
      </c>
      <c r="P24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18" t="str">
        <f>IF(Table1[[#This Row],[Fraud_Score]]&gt;=6, "High Risk",IF(Table1[[#This Row],[Fraud_Score]]&gt;=3, "Medium Risk", "Low Risk"))</f>
        <v>Low Risk</v>
      </c>
      <c r="R2418">
        <f>IF(Table1[[#This Row],[Seconds of Use]]=0,0,Table1[[#This Row],[Customer Value]]/Table1[[#This Row],[Seconds of Use]]*100)</f>
        <v>7.9728260869565206</v>
      </c>
    </row>
    <row r="2419" spans="1:18" x14ac:dyDescent="0.35">
      <c r="A2419" s="3" t="s">
        <v>2440</v>
      </c>
      <c r="B2419">
        <v>5</v>
      </c>
      <c r="C2419">
        <v>0</v>
      </c>
      <c r="D2419">
        <v>34</v>
      </c>
      <c r="E2419">
        <v>0</v>
      </c>
      <c r="F2419">
        <v>755</v>
      </c>
      <c r="G2419">
        <v>10</v>
      </c>
      <c r="H2419">
        <v>7</v>
      </c>
      <c r="I2419">
        <v>4</v>
      </c>
      <c r="J2419">
        <v>3</v>
      </c>
      <c r="K2419">
        <v>1</v>
      </c>
      <c r="L2419">
        <v>2</v>
      </c>
      <c r="M2419">
        <v>30</v>
      </c>
      <c r="N2419">
        <v>58.6</v>
      </c>
      <c r="O2419">
        <v>0</v>
      </c>
      <c r="P24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19" t="str">
        <f>IF(Table1[[#This Row],[Fraud_Score]]&gt;=6, "High Risk",IF(Table1[[#This Row],[Fraud_Score]]&gt;=3, "Medium Risk", "Low Risk"))</f>
        <v>Low Risk</v>
      </c>
      <c r="R2419">
        <f>IF(Table1[[#This Row],[Seconds of Use]]=0,0,Table1[[#This Row],[Customer Value]]/Table1[[#This Row],[Seconds of Use]]*100)</f>
        <v>7.7615894039735096</v>
      </c>
    </row>
    <row r="2420" spans="1:18" x14ac:dyDescent="0.35">
      <c r="A2420" s="3" t="s">
        <v>2441</v>
      </c>
      <c r="B2420">
        <v>5</v>
      </c>
      <c r="C2420">
        <v>0</v>
      </c>
      <c r="D2420">
        <v>33</v>
      </c>
      <c r="E2420">
        <v>0</v>
      </c>
      <c r="F2420">
        <v>305</v>
      </c>
      <c r="G2420">
        <v>6</v>
      </c>
      <c r="H2420">
        <v>7</v>
      </c>
      <c r="I2420">
        <v>2</v>
      </c>
      <c r="J2420">
        <v>2</v>
      </c>
      <c r="K2420">
        <v>1</v>
      </c>
      <c r="L2420">
        <v>2</v>
      </c>
      <c r="M2420">
        <v>25</v>
      </c>
      <c r="N2420">
        <v>45.494999999999997</v>
      </c>
      <c r="O2420">
        <v>1</v>
      </c>
      <c r="P24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20" t="str">
        <f>IF(Table1[[#This Row],[Fraud_Score]]&gt;=6, "High Risk",IF(Table1[[#This Row],[Fraud_Score]]&gt;=3, "Medium Risk", "Low Risk"))</f>
        <v>Low Risk</v>
      </c>
      <c r="R2420">
        <f>IF(Table1[[#This Row],[Seconds of Use]]=0,0,Table1[[#This Row],[Customer Value]]/Table1[[#This Row],[Seconds of Use]]*100)</f>
        <v>14.916393442622949</v>
      </c>
    </row>
    <row r="2421" spans="1:18" x14ac:dyDescent="0.35">
      <c r="A2421" s="3" t="s">
        <v>2442</v>
      </c>
      <c r="B2421">
        <v>5</v>
      </c>
      <c r="C2421">
        <v>0</v>
      </c>
      <c r="D2421">
        <v>33</v>
      </c>
      <c r="E2421">
        <v>1</v>
      </c>
      <c r="F2421">
        <v>7553</v>
      </c>
      <c r="G2421">
        <v>123</v>
      </c>
      <c r="H2421">
        <v>376</v>
      </c>
      <c r="I2421">
        <v>39</v>
      </c>
      <c r="J2421">
        <v>2</v>
      </c>
      <c r="K2421">
        <v>1</v>
      </c>
      <c r="L2421">
        <v>1</v>
      </c>
      <c r="M2421">
        <v>25</v>
      </c>
      <c r="N2421">
        <v>2037.42</v>
      </c>
      <c r="O2421">
        <v>0</v>
      </c>
      <c r="P24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21" t="str">
        <f>IF(Table1[[#This Row],[Fraud_Score]]&gt;=6, "High Risk",IF(Table1[[#This Row],[Fraud_Score]]&gt;=3, "Medium Risk", "Low Risk"))</f>
        <v>Low Risk</v>
      </c>
      <c r="R2421">
        <f>IF(Table1[[#This Row],[Seconds of Use]]=0,0,Table1[[#This Row],[Customer Value]]/Table1[[#This Row],[Seconds of Use]]*100)</f>
        <v>26.974976830398518</v>
      </c>
    </row>
    <row r="2422" spans="1:18" x14ac:dyDescent="0.35">
      <c r="A2422" s="3" t="s">
        <v>2443</v>
      </c>
      <c r="B2422">
        <v>7</v>
      </c>
      <c r="C2422">
        <v>0</v>
      </c>
      <c r="D2422">
        <v>33</v>
      </c>
      <c r="E2422">
        <v>1</v>
      </c>
      <c r="F2422">
        <v>11510</v>
      </c>
      <c r="G2422">
        <v>150</v>
      </c>
      <c r="H2422">
        <v>7</v>
      </c>
      <c r="I2422">
        <v>43</v>
      </c>
      <c r="J2422">
        <v>4</v>
      </c>
      <c r="K2422">
        <v>1</v>
      </c>
      <c r="L2422">
        <v>1</v>
      </c>
      <c r="M2422">
        <v>45</v>
      </c>
      <c r="N2422">
        <v>309</v>
      </c>
      <c r="O2422">
        <v>0</v>
      </c>
      <c r="P24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22" t="str">
        <f>IF(Table1[[#This Row],[Fraud_Score]]&gt;=6, "High Risk",IF(Table1[[#This Row],[Fraud_Score]]&gt;=3, "Medium Risk", "Low Risk"))</f>
        <v>Low Risk</v>
      </c>
      <c r="R2422">
        <f>IF(Table1[[#This Row],[Seconds of Use]]=0,0,Table1[[#This Row],[Customer Value]]/Table1[[#This Row],[Seconds of Use]]*100)</f>
        <v>2.6846220677671591</v>
      </c>
    </row>
    <row r="2423" spans="1:18" x14ac:dyDescent="0.35">
      <c r="A2423" s="3" t="s">
        <v>2444</v>
      </c>
      <c r="B2423">
        <v>8</v>
      </c>
      <c r="C2423">
        <v>0</v>
      </c>
      <c r="D2423">
        <v>33</v>
      </c>
      <c r="E2423">
        <v>1</v>
      </c>
      <c r="F2423">
        <v>6763</v>
      </c>
      <c r="G2423">
        <v>71</v>
      </c>
      <c r="H2423">
        <v>100</v>
      </c>
      <c r="I2423">
        <v>33</v>
      </c>
      <c r="J2423">
        <v>2</v>
      </c>
      <c r="K2423">
        <v>1</v>
      </c>
      <c r="L2423">
        <v>1</v>
      </c>
      <c r="M2423">
        <v>25</v>
      </c>
      <c r="N2423">
        <v>757.53</v>
      </c>
      <c r="O2423">
        <v>0</v>
      </c>
      <c r="P24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23" t="str">
        <f>IF(Table1[[#This Row],[Fraud_Score]]&gt;=6, "High Risk",IF(Table1[[#This Row],[Fraud_Score]]&gt;=3, "Medium Risk", "Low Risk"))</f>
        <v>Low Risk</v>
      </c>
      <c r="R2423">
        <f>IF(Table1[[#This Row],[Seconds of Use]]=0,0,Table1[[#This Row],[Customer Value]]/Table1[[#This Row],[Seconds of Use]]*100)</f>
        <v>11.201094188969392</v>
      </c>
    </row>
    <row r="2424" spans="1:18" x14ac:dyDescent="0.35">
      <c r="A2424" s="3" t="s">
        <v>2445</v>
      </c>
      <c r="B2424">
        <v>23</v>
      </c>
      <c r="C2424">
        <v>0</v>
      </c>
      <c r="D2424">
        <v>29</v>
      </c>
      <c r="E2424">
        <v>0</v>
      </c>
      <c r="F2424">
        <v>1000</v>
      </c>
      <c r="G2424">
        <v>43</v>
      </c>
      <c r="H2424">
        <v>8</v>
      </c>
      <c r="I2424">
        <v>13</v>
      </c>
      <c r="J2424">
        <v>2</v>
      </c>
      <c r="K2424">
        <v>1</v>
      </c>
      <c r="L2424">
        <v>2</v>
      </c>
      <c r="M2424">
        <v>25</v>
      </c>
      <c r="N2424">
        <v>82.935000000000002</v>
      </c>
      <c r="O2424">
        <v>1</v>
      </c>
      <c r="P24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24" t="str">
        <f>IF(Table1[[#This Row],[Fraud_Score]]&gt;=6, "High Risk",IF(Table1[[#This Row],[Fraud_Score]]&gt;=3, "Medium Risk", "Low Risk"))</f>
        <v>Medium Risk</v>
      </c>
      <c r="R2424">
        <f>IF(Table1[[#This Row],[Seconds of Use]]=0,0,Table1[[#This Row],[Customer Value]]/Table1[[#This Row],[Seconds of Use]]*100)</f>
        <v>8.2935000000000016</v>
      </c>
    </row>
    <row r="2425" spans="1:18" x14ac:dyDescent="0.35">
      <c r="A2425" s="3" t="s">
        <v>2446</v>
      </c>
      <c r="B2425">
        <v>21</v>
      </c>
      <c r="C2425">
        <v>0</v>
      </c>
      <c r="D2425">
        <v>32</v>
      </c>
      <c r="E2425">
        <v>8</v>
      </c>
      <c r="F2425">
        <v>10480</v>
      </c>
      <c r="G2425">
        <v>89</v>
      </c>
      <c r="H2425">
        <v>7</v>
      </c>
      <c r="I2425">
        <v>38</v>
      </c>
      <c r="J2425">
        <v>5</v>
      </c>
      <c r="K2425">
        <v>1</v>
      </c>
      <c r="L2425">
        <v>1</v>
      </c>
      <c r="M2425">
        <v>55</v>
      </c>
      <c r="N2425">
        <v>169.035</v>
      </c>
      <c r="O2425">
        <v>0</v>
      </c>
      <c r="P24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25" t="str">
        <f>IF(Table1[[#This Row],[Fraud_Score]]&gt;=6, "High Risk",IF(Table1[[#This Row],[Fraud_Score]]&gt;=3, "Medium Risk", "Low Risk"))</f>
        <v>Low Risk</v>
      </c>
      <c r="R2425">
        <f>IF(Table1[[#This Row],[Seconds of Use]]=0,0,Table1[[#This Row],[Customer Value]]/Table1[[#This Row],[Seconds of Use]]*100)</f>
        <v>1.612929389312977</v>
      </c>
    </row>
    <row r="2426" spans="1:18" x14ac:dyDescent="0.35">
      <c r="A2426" s="3" t="s">
        <v>2447</v>
      </c>
      <c r="B2426">
        <v>13</v>
      </c>
      <c r="C2426">
        <v>0</v>
      </c>
      <c r="D2426">
        <v>32</v>
      </c>
      <c r="E2426">
        <v>1</v>
      </c>
      <c r="F2426">
        <v>5863</v>
      </c>
      <c r="G2426">
        <v>94</v>
      </c>
      <c r="H2426">
        <v>18</v>
      </c>
      <c r="I2426">
        <v>20</v>
      </c>
      <c r="J2426">
        <v>2</v>
      </c>
      <c r="K2426">
        <v>1</v>
      </c>
      <c r="L2426">
        <v>1</v>
      </c>
      <c r="M2426">
        <v>25</v>
      </c>
      <c r="N2426">
        <v>349.065</v>
      </c>
      <c r="O2426">
        <v>1</v>
      </c>
      <c r="P24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26" t="str">
        <f>IF(Table1[[#This Row],[Fraud_Score]]&gt;=6, "High Risk",IF(Table1[[#This Row],[Fraud_Score]]&gt;=3, "Medium Risk", "Low Risk"))</f>
        <v>Low Risk</v>
      </c>
      <c r="R2426">
        <f>IF(Table1[[#This Row],[Seconds of Use]]=0,0,Table1[[#This Row],[Customer Value]]/Table1[[#This Row],[Seconds of Use]]*100)</f>
        <v>5.9536926488145996</v>
      </c>
    </row>
    <row r="2427" spans="1:18" x14ac:dyDescent="0.35">
      <c r="A2427" s="3" t="s">
        <v>2448</v>
      </c>
      <c r="B2427">
        <v>5</v>
      </c>
      <c r="C2427">
        <v>0</v>
      </c>
      <c r="D2427">
        <v>30</v>
      </c>
      <c r="E2427">
        <v>1</v>
      </c>
      <c r="F2427">
        <v>2885</v>
      </c>
      <c r="G2427">
        <v>18</v>
      </c>
      <c r="H2427">
        <v>7</v>
      </c>
      <c r="I2427">
        <v>10</v>
      </c>
      <c r="J2427">
        <v>3</v>
      </c>
      <c r="K2427">
        <v>1</v>
      </c>
      <c r="L2427">
        <v>1</v>
      </c>
      <c r="M2427">
        <v>30</v>
      </c>
      <c r="N2427">
        <v>144.12</v>
      </c>
      <c r="O2427">
        <v>0</v>
      </c>
      <c r="P24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27" t="str">
        <f>IF(Table1[[#This Row],[Fraud_Score]]&gt;=6, "High Risk",IF(Table1[[#This Row],[Fraud_Score]]&gt;=3, "Medium Risk", "Low Risk"))</f>
        <v>Low Risk</v>
      </c>
      <c r="R2427">
        <f>IF(Table1[[#This Row],[Seconds of Use]]=0,0,Table1[[#This Row],[Customer Value]]/Table1[[#This Row],[Seconds of Use]]*100)</f>
        <v>4.9954939341421145</v>
      </c>
    </row>
    <row r="2428" spans="1:18" x14ac:dyDescent="0.35">
      <c r="A2428" s="3" t="s">
        <v>2449</v>
      </c>
      <c r="B2428">
        <v>9</v>
      </c>
      <c r="C2428">
        <v>0</v>
      </c>
      <c r="D2428">
        <v>31</v>
      </c>
      <c r="E2428">
        <v>0</v>
      </c>
      <c r="F2428">
        <v>3035</v>
      </c>
      <c r="G2428">
        <v>37</v>
      </c>
      <c r="H2428">
        <v>7</v>
      </c>
      <c r="I2428">
        <v>12</v>
      </c>
      <c r="J2428">
        <v>3</v>
      </c>
      <c r="K2428">
        <v>1</v>
      </c>
      <c r="L2428">
        <v>2</v>
      </c>
      <c r="M2428">
        <v>30</v>
      </c>
      <c r="N2428">
        <v>150.88</v>
      </c>
      <c r="O2428">
        <v>1</v>
      </c>
      <c r="P24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28" t="str">
        <f>IF(Table1[[#This Row],[Fraud_Score]]&gt;=6, "High Risk",IF(Table1[[#This Row],[Fraud_Score]]&gt;=3, "Medium Risk", "Low Risk"))</f>
        <v>Low Risk</v>
      </c>
      <c r="R2428">
        <f>IF(Table1[[#This Row],[Seconds of Use]]=0,0,Table1[[#This Row],[Customer Value]]/Table1[[#This Row],[Seconds of Use]]*100)</f>
        <v>4.9713344316309724</v>
      </c>
    </row>
    <row r="2429" spans="1:18" x14ac:dyDescent="0.35">
      <c r="A2429" s="3" t="s">
        <v>2450</v>
      </c>
      <c r="B2429">
        <v>9</v>
      </c>
      <c r="C2429">
        <v>1</v>
      </c>
      <c r="D2429">
        <v>32</v>
      </c>
      <c r="E2429">
        <v>0</v>
      </c>
      <c r="F2429">
        <v>2313</v>
      </c>
      <c r="G2429">
        <v>40</v>
      </c>
      <c r="H2429">
        <v>26</v>
      </c>
      <c r="I2429">
        <v>27</v>
      </c>
      <c r="J2429">
        <v>3</v>
      </c>
      <c r="K2429">
        <v>1</v>
      </c>
      <c r="L2429">
        <v>2</v>
      </c>
      <c r="M2429">
        <v>30</v>
      </c>
      <c r="N2429">
        <v>198.12</v>
      </c>
      <c r="O2429">
        <v>1</v>
      </c>
      <c r="P24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29" t="str">
        <f>IF(Table1[[#This Row],[Fraud_Score]]&gt;=6, "High Risk",IF(Table1[[#This Row],[Fraud_Score]]&gt;=3, "Medium Risk", "Low Risk"))</f>
        <v>Medium Risk</v>
      </c>
      <c r="R2429">
        <f>IF(Table1[[#This Row],[Seconds of Use]]=0,0,Table1[[#This Row],[Customer Value]]/Table1[[#This Row],[Seconds of Use]]*100)</f>
        <v>8.5654993514915692</v>
      </c>
    </row>
    <row r="2430" spans="1:18" x14ac:dyDescent="0.35">
      <c r="A2430" s="3" t="s">
        <v>2451</v>
      </c>
      <c r="B2430">
        <v>5</v>
      </c>
      <c r="C2430">
        <v>0</v>
      </c>
      <c r="D2430">
        <v>32</v>
      </c>
      <c r="E2430">
        <v>0</v>
      </c>
      <c r="F2430">
        <v>305</v>
      </c>
      <c r="G2430">
        <v>6</v>
      </c>
      <c r="H2430">
        <v>7</v>
      </c>
      <c r="I2430">
        <v>2</v>
      </c>
      <c r="J2430">
        <v>3</v>
      </c>
      <c r="K2430">
        <v>1</v>
      </c>
      <c r="L2430">
        <v>2</v>
      </c>
      <c r="M2430">
        <v>30</v>
      </c>
      <c r="N2430">
        <v>40.44</v>
      </c>
      <c r="O2430">
        <v>1</v>
      </c>
      <c r="P24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30" t="str">
        <f>IF(Table1[[#This Row],[Fraud_Score]]&gt;=6, "High Risk",IF(Table1[[#This Row],[Fraud_Score]]&gt;=3, "Medium Risk", "Low Risk"))</f>
        <v>Low Risk</v>
      </c>
      <c r="R2430">
        <f>IF(Table1[[#This Row],[Seconds of Use]]=0,0,Table1[[#This Row],[Customer Value]]/Table1[[#This Row],[Seconds of Use]]*100)</f>
        <v>13.259016393442622</v>
      </c>
    </row>
    <row r="2431" spans="1:18" x14ac:dyDescent="0.35">
      <c r="A2431" s="3" t="s">
        <v>2452</v>
      </c>
      <c r="B2431">
        <v>5</v>
      </c>
      <c r="C2431">
        <v>0</v>
      </c>
      <c r="D2431">
        <v>32</v>
      </c>
      <c r="E2431">
        <v>1</v>
      </c>
      <c r="F2431">
        <v>305</v>
      </c>
      <c r="G2431">
        <v>6</v>
      </c>
      <c r="H2431">
        <v>7</v>
      </c>
      <c r="I2431">
        <v>2</v>
      </c>
      <c r="J2431">
        <v>3</v>
      </c>
      <c r="K2431">
        <v>1</v>
      </c>
      <c r="L2431">
        <v>1</v>
      </c>
      <c r="M2431">
        <v>30</v>
      </c>
      <c r="N2431">
        <v>40.44</v>
      </c>
      <c r="O2431">
        <v>0</v>
      </c>
      <c r="P24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31" t="str">
        <f>IF(Table1[[#This Row],[Fraud_Score]]&gt;=6, "High Risk",IF(Table1[[#This Row],[Fraud_Score]]&gt;=3, "Medium Risk", "Low Risk"))</f>
        <v>Low Risk</v>
      </c>
      <c r="R2431">
        <f>IF(Table1[[#This Row],[Seconds of Use]]=0,0,Table1[[#This Row],[Customer Value]]/Table1[[#This Row],[Seconds of Use]]*100)</f>
        <v>13.259016393442622</v>
      </c>
    </row>
    <row r="2432" spans="1:18" x14ac:dyDescent="0.35">
      <c r="A2432" s="3" t="s">
        <v>2453</v>
      </c>
      <c r="B2432">
        <v>5</v>
      </c>
      <c r="C2432">
        <v>0</v>
      </c>
      <c r="D2432">
        <v>29</v>
      </c>
      <c r="E2432">
        <v>1</v>
      </c>
      <c r="F2432">
        <v>6830</v>
      </c>
      <c r="G2432">
        <v>93</v>
      </c>
      <c r="H2432">
        <v>7</v>
      </c>
      <c r="I2432">
        <v>18</v>
      </c>
      <c r="J2432">
        <v>5</v>
      </c>
      <c r="K2432">
        <v>1</v>
      </c>
      <c r="L2432">
        <v>1</v>
      </c>
      <c r="M2432">
        <v>55</v>
      </c>
      <c r="N2432">
        <v>114.345</v>
      </c>
      <c r="O2432">
        <v>0</v>
      </c>
      <c r="P24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32" t="str">
        <f>IF(Table1[[#This Row],[Fraud_Score]]&gt;=6, "High Risk",IF(Table1[[#This Row],[Fraud_Score]]&gt;=3, "Medium Risk", "Low Risk"))</f>
        <v>Low Risk</v>
      </c>
      <c r="R2432">
        <f>IF(Table1[[#This Row],[Seconds of Use]]=0,0,Table1[[#This Row],[Customer Value]]/Table1[[#This Row],[Seconds of Use]]*100)</f>
        <v>1.6741581259150804</v>
      </c>
    </row>
    <row r="2433" spans="1:18" x14ac:dyDescent="0.35">
      <c r="A2433" s="3" t="s">
        <v>2454</v>
      </c>
      <c r="B2433">
        <v>5</v>
      </c>
      <c r="C2433">
        <v>0</v>
      </c>
      <c r="D2433">
        <v>32</v>
      </c>
      <c r="E2433">
        <v>0</v>
      </c>
      <c r="F2433">
        <v>305</v>
      </c>
      <c r="G2433">
        <v>6</v>
      </c>
      <c r="H2433">
        <v>7</v>
      </c>
      <c r="I2433">
        <v>2</v>
      </c>
      <c r="J2433">
        <v>4</v>
      </c>
      <c r="K2433">
        <v>1</v>
      </c>
      <c r="L2433">
        <v>2</v>
      </c>
      <c r="M2433">
        <v>45</v>
      </c>
      <c r="N2433">
        <v>25.274999999999999</v>
      </c>
      <c r="O2433">
        <v>1</v>
      </c>
      <c r="P24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33" t="str">
        <f>IF(Table1[[#This Row],[Fraud_Score]]&gt;=6, "High Risk",IF(Table1[[#This Row],[Fraud_Score]]&gt;=3, "Medium Risk", "Low Risk"))</f>
        <v>Low Risk</v>
      </c>
      <c r="R2433">
        <f>IF(Table1[[#This Row],[Seconds of Use]]=0,0,Table1[[#This Row],[Customer Value]]/Table1[[#This Row],[Seconds of Use]]*100)</f>
        <v>8.2868852459016384</v>
      </c>
    </row>
    <row r="2434" spans="1:18" x14ac:dyDescent="0.35">
      <c r="A2434" s="3" t="s">
        <v>2455</v>
      </c>
      <c r="B2434">
        <v>5</v>
      </c>
      <c r="C2434">
        <v>0</v>
      </c>
      <c r="D2434">
        <v>32</v>
      </c>
      <c r="E2434">
        <v>1</v>
      </c>
      <c r="F2434">
        <v>305</v>
      </c>
      <c r="G2434">
        <v>6</v>
      </c>
      <c r="H2434">
        <v>7</v>
      </c>
      <c r="I2434">
        <v>2</v>
      </c>
      <c r="J2434">
        <v>5</v>
      </c>
      <c r="K2434">
        <v>1</v>
      </c>
      <c r="L2434">
        <v>1</v>
      </c>
      <c r="M2434">
        <v>55</v>
      </c>
      <c r="N2434">
        <v>15.164999999999999</v>
      </c>
      <c r="O2434">
        <v>1</v>
      </c>
      <c r="P24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34" t="str">
        <f>IF(Table1[[#This Row],[Fraud_Score]]&gt;=6, "High Risk",IF(Table1[[#This Row],[Fraud_Score]]&gt;=3, "Medium Risk", "Low Risk"))</f>
        <v>Low Risk</v>
      </c>
      <c r="R2434">
        <f>IF(Table1[[#This Row],[Seconds of Use]]=0,0,Table1[[#This Row],[Customer Value]]/Table1[[#This Row],[Seconds of Use]]*100)</f>
        <v>4.9721311475409831</v>
      </c>
    </row>
    <row r="2435" spans="1:18" x14ac:dyDescent="0.35">
      <c r="A2435" s="3" t="s">
        <v>2456</v>
      </c>
      <c r="B2435">
        <v>25</v>
      </c>
      <c r="C2435">
        <v>0</v>
      </c>
      <c r="D2435">
        <v>27</v>
      </c>
      <c r="E2435">
        <v>3</v>
      </c>
      <c r="F2435">
        <v>16120</v>
      </c>
      <c r="G2435">
        <v>234</v>
      </c>
      <c r="H2435">
        <v>7</v>
      </c>
      <c r="I2435">
        <v>76</v>
      </c>
      <c r="J2435">
        <v>2</v>
      </c>
      <c r="K2435">
        <v>1</v>
      </c>
      <c r="L2435">
        <v>1</v>
      </c>
      <c r="M2435">
        <v>25</v>
      </c>
      <c r="N2435">
        <v>767.43</v>
      </c>
      <c r="O2435">
        <v>0</v>
      </c>
      <c r="P24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35" t="str">
        <f>IF(Table1[[#This Row],[Fraud_Score]]&gt;=6, "High Risk",IF(Table1[[#This Row],[Fraud_Score]]&gt;=3, "Medium Risk", "Low Risk"))</f>
        <v>Medium Risk</v>
      </c>
      <c r="R2435">
        <f>IF(Table1[[#This Row],[Seconds of Use]]=0,0,Table1[[#This Row],[Customer Value]]/Table1[[#This Row],[Seconds of Use]]*100)</f>
        <v>4.7607320099255581</v>
      </c>
    </row>
    <row r="2436" spans="1:18" x14ac:dyDescent="0.35">
      <c r="A2436" s="3" t="s">
        <v>2457</v>
      </c>
      <c r="B2436">
        <v>6</v>
      </c>
      <c r="C2436">
        <v>0</v>
      </c>
      <c r="D2436">
        <v>30</v>
      </c>
      <c r="E2436">
        <v>3</v>
      </c>
      <c r="F2436">
        <v>7010</v>
      </c>
      <c r="G2436">
        <v>112</v>
      </c>
      <c r="H2436">
        <v>263</v>
      </c>
      <c r="I2436">
        <v>29</v>
      </c>
      <c r="J2436">
        <v>2</v>
      </c>
      <c r="K2436">
        <v>2</v>
      </c>
      <c r="L2436">
        <v>1</v>
      </c>
      <c r="M2436">
        <v>25</v>
      </c>
      <c r="N2436">
        <v>1503.99</v>
      </c>
      <c r="O2436">
        <v>0</v>
      </c>
      <c r="P24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36" t="str">
        <f>IF(Table1[[#This Row],[Fraud_Score]]&gt;=6, "High Risk",IF(Table1[[#This Row],[Fraud_Score]]&gt;=3, "Medium Risk", "Low Risk"))</f>
        <v>Low Risk</v>
      </c>
      <c r="R2436">
        <f>IF(Table1[[#This Row],[Seconds of Use]]=0,0,Table1[[#This Row],[Customer Value]]/Table1[[#This Row],[Seconds of Use]]*100)</f>
        <v>21.454921540656205</v>
      </c>
    </row>
    <row r="2437" spans="1:18" x14ac:dyDescent="0.35">
      <c r="A2437" s="3" t="s">
        <v>2458</v>
      </c>
      <c r="B2437">
        <v>5</v>
      </c>
      <c r="C2437">
        <v>0</v>
      </c>
      <c r="D2437">
        <v>32</v>
      </c>
      <c r="E2437">
        <v>1</v>
      </c>
      <c r="F2437">
        <v>3763</v>
      </c>
      <c r="G2437">
        <v>78</v>
      </c>
      <c r="H2437">
        <v>7</v>
      </c>
      <c r="I2437">
        <v>24</v>
      </c>
      <c r="J2437">
        <v>2</v>
      </c>
      <c r="K2437">
        <v>1</v>
      </c>
      <c r="L2437">
        <v>1</v>
      </c>
      <c r="M2437">
        <v>25</v>
      </c>
      <c r="N2437">
        <v>204.345</v>
      </c>
      <c r="O2437">
        <v>0</v>
      </c>
      <c r="P24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37" t="str">
        <f>IF(Table1[[#This Row],[Fraud_Score]]&gt;=6, "High Risk",IF(Table1[[#This Row],[Fraud_Score]]&gt;=3, "Medium Risk", "Low Risk"))</f>
        <v>Low Risk</v>
      </c>
      <c r="R2437">
        <f>IF(Table1[[#This Row],[Seconds of Use]]=0,0,Table1[[#This Row],[Customer Value]]/Table1[[#This Row],[Seconds of Use]]*100)</f>
        <v>5.4303747010364072</v>
      </c>
    </row>
    <row r="2438" spans="1:18" x14ac:dyDescent="0.35">
      <c r="A2438" s="3" t="s">
        <v>2459</v>
      </c>
      <c r="B2438">
        <v>5</v>
      </c>
      <c r="C2438">
        <v>0</v>
      </c>
      <c r="D2438">
        <v>31</v>
      </c>
      <c r="E2438">
        <v>0</v>
      </c>
      <c r="F2438">
        <v>1710</v>
      </c>
      <c r="G2438">
        <v>40</v>
      </c>
      <c r="H2438">
        <v>30</v>
      </c>
      <c r="I2438">
        <v>16</v>
      </c>
      <c r="J2438">
        <v>3</v>
      </c>
      <c r="K2438">
        <v>1</v>
      </c>
      <c r="L2438">
        <v>2</v>
      </c>
      <c r="M2438">
        <v>30</v>
      </c>
      <c r="N2438">
        <v>190</v>
      </c>
      <c r="O2438">
        <v>0</v>
      </c>
      <c r="P24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38" t="str">
        <f>IF(Table1[[#This Row],[Fraud_Score]]&gt;=6, "High Risk",IF(Table1[[#This Row],[Fraud_Score]]&gt;=3, "Medium Risk", "Low Risk"))</f>
        <v>Low Risk</v>
      </c>
      <c r="R2438">
        <f>IF(Table1[[#This Row],[Seconds of Use]]=0,0,Table1[[#This Row],[Customer Value]]/Table1[[#This Row],[Seconds of Use]]*100)</f>
        <v>11.111111111111111</v>
      </c>
    </row>
    <row r="2439" spans="1:18" x14ac:dyDescent="0.35">
      <c r="A2439" s="3" t="s">
        <v>2460</v>
      </c>
      <c r="B2439">
        <v>6</v>
      </c>
      <c r="C2439">
        <v>0</v>
      </c>
      <c r="D2439">
        <v>32</v>
      </c>
      <c r="E2439">
        <v>1</v>
      </c>
      <c r="F2439">
        <v>2825</v>
      </c>
      <c r="G2439">
        <v>49</v>
      </c>
      <c r="H2439">
        <v>167</v>
      </c>
      <c r="I2439">
        <v>19</v>
      </c>
      <c r="J2439">
        <v>2</v>
      </c>
      <c r="K2439">
        <v>1</v>
      </c>
      <c r="L2439">
        <v>1</v>
      </c>
      <c r="M2439">
        <v>25</v>
      </c>
      <c r="N2439">
        <v>880.83</v>
      </c>
      <c r="O2439">
        <v>0</v>
      </c>
      <c r="P24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39" t="str">
        <f>IF(Table1[[#This Row],[Fraud_Score]]&gt;=6, "High Risk",IF(Table1[[#This Row],[Fraud_Score]]&gt;=3, "Medium Risk", "Low Risk"))</f>
        <v>Low Risk</v>
      </c>
      <c r="R2439">
        <f>IF(Table1[[#This Row],[Seconds of Use]]=0,0,Table1[[#This Row],[Customer Value]]/Table1[[#This Row],[Seconds of Use]]*100)</f>
        <v>31.17982300884956</v>
      </c>
    </row>
    <row r="2440" spans="1:18" x14ac:dyDescent="0.35">
      <c r="A2440" s="3" t="s">
        <v>2461</v>
      </c>
      <c r="B2440">
        <v>5</v>
      </c>
      <c r="C2440">
        <v>0</v>
      </c>
      <c r="D2440">
        <v>23</v>
      </c>
      <c r="E2440">
        <v>1</v>
      </c>
      <c r="F2440">
        <v>1360</v>
      </c>
      <c r="G2440">
        <v>32</v>
      </c>
      <c r="H2440">
        <v>185</v>
      </c>
      <c r="I2440">
        <v>7</v>
      </c>
      <c r="J2440">
        <v>2</v>
      </c>
      <c r="K2440">
        <v>2</v>
      </c>
      <c r="L2440">
        <v>1</v>
      </c>
      <c r="M2440">
        <v>25</v>
      </c>
      <c r="N2440">
        <v>895.14</v>
      </c>
      <c r="O2440">
        <v>0</v>
      </c>
      <c r="P24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40" t="str">
        <f>IF(Table1[[#This Row],[Fraud_Score]]&gt;=6, "High Risk",IF(Table1[[#This Row],[Fraud_Score]]&gt;=3, "Medium Risk", "Low Risk"))</f>
        <v>Low Risk</v>
      </c>
      <c r="R2440">
        <f>IF(Table1[[#This Row],[Seconds of Use]]=0,0,Table1[[#This Row],[Customer Value]]/Table1[[#This Row],[Seconds of Use]]*100)</f>
        <v>65.819117647058818</v>
      </c>
    </row>
    <row r="2441" spans="1:18" x14ac:dyDescent="0.35">
      <c r="A2441" s="3" t="s">
        <v>2462</v>
      </c>
      <c r="B2441">
        <v>5</v>
      </c>
      <c r="C2441">
        <v>0</v>
      </c>
      <c r="D2441">
        <v>22</v>
      </c>
      <c r="E2441">
        <v>1</v>
      </c>
      <c r="F2441">
        <v>1613</v>
      </c>
      <c r="G2441">
        <v>35</v>
      </c>
      <c r="H2441">
        <v>22</v>
      </c>
      <c r="I2441">
        <v>64</v>
      </c>
      <c r="J2441">
        <v>4</v>
      </c>
      <c r="K2441">
        <v>1</v>
      </c>
      <c r="L2441">
        <v>1</v>
      </c>
      <c r="M2441">
        <v>45</v>
      </c>
      <c r="N2441">
        <v>96.2</v>
      </c>
      <c r="O2441">
        <v>0</v>
      </c>
      <c r="P24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41" t="str">
        <f>IF(Table1[[#This Row],[Fraud_Score]]&gt;=6, "High Risk",IF(Table1[[#This Row],[Fraud_Score]]&gt;=3, "Medium Risk", "Low Risk"))</f>
        <v>Low Risk</v>
      </c>
      <c r="R2441">
        <f>IF(Table1[[#This Row],[Seconds of Use]]=0,0,Table1[[#This Row],[Customer Value]]/Table1[[#This Row],[Seconds of Use]]*100)</f>
        <v>5.9640421574705522</v>
      </c>
    </row>
    <row r="2442" spans="1:18" x14ac:dyDescent="0.35">
      <c r="A2442" s="3" t="s">
        <v>2463</v>
      </c>
      <c r="B2442">
        <v>11</v>
      </c>
      <c r="C2442">
        <v>0</v>
      </c>
      <c r="D2442">
        <v>23</v>
      </c>
      <c r="E2442">
        <v>0</v>
      </c>
      <c r="F2442">
        <v>745</v>
      </c>
      <c r="G2442">
        <v>21</v>
      </c>
      <c r="H2442">
        <v>7</v>
      </c>
      <c r="I2442">
        <v>3</v>
      </c>
      <c r="J2442">
        <v>2</v>
      </c>
      <c r="K2442">
        <v>1</v>
      </c>
      <c r="L2442">
        <v>2</v>
      </c>
      <c r="M2442">
        <v>25</v>
      </c>
      <c r="N2442">
        <v>65.97</v>
      </c>
      <c r="O2442">
        <v>0</v>
      </c>
      <c r="P24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42" t="str">
        <f>IF(Table1[[#This Row],[Fraud_Score]]&gt;=6, "High Risk",IF(Table1[[#This Row],[Fraud_Score]]&gt;=3, "Medium Risk", "Low Risk"))</f>
        <v>Medium Risk</v>
      </c>
      <c r="R2442">
        <f>IF(Table1[[#This Row],[Seconds of Use]]=0,0,Table1[[#This Row],[Customer Value]]/Table1[[#This Row],[Seconds of Use]]*100)</f>
        <v>8.8550335570469798</v>
      </c>
    </row>
    <row r="2443" spans="1:18" x14ac:dyDescent="0.35">
      <c r="A2443" s="3" t="s">
        <v>2464</v>
      </c>
      <c r="B2443">
        <v>5</v>
      </c>
      <c r="C2443">
        <v>0</v>
      </c>
      <c r="D2443">
        <v>22</v>
      </c>
      <c r="E2443">
        <v>0</v>
      </c>
      <c r="F2443">
        <v>305</v>
      </c>
      <c r="G2443">
        <v>6</v>
      </c>
      <c r="H2443">
        <v>13</v>
      </c>
      <c r="I2443">
        <v>2</v>
      </c>
      <c r="J2443">
        <v>4</v>
      </c>
      <c r="K2443">
        <v>1</v>
      </c>
      <c r="L2443">
        <v>2</v>
      </c>
      <c r="M2443">
        <v>45</v>
      </c>
      <c r="N2443">
        <v>40.274999999999999</v>
      </c>
      <c r="O2443">
        <v>0</v>
      </c>
      <c r="P24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43" t="str">
        <f>IF(Table1[[#This Row],[Fraud_Score]]&gt;=6, "High Risk",IF(Table1[[#This Row],[Fraud_Score]]&gt;=3, "Medium Risk", "Low Risk"))</f>
        <v>Low Risk</v>
      </c>
      <c r="R2443">
        <f>IF(Table1[[#This Row],[Seconds of Use]]=0,0,Table1[[#This Row],[Customer Value]]/Table1[[#This Row],[Seconds of Use]]*100)</f>
        <v>13.204918032786885</v>
      </c>
    </row>
    <row r="2444" spans="1:18" x14ac:dyDescent="0.35">
      <c r="A2444" s="3" t="s">
        <v>2465</v>
      </c>
      <c r="B2444">
        <v>10</v>
      </c>
      <c r="C2444">
        <v>0</v>
      </c>
      <c r="D2444">
        <v>21</v>
      </c>
      <c r="E2444">
        <v>1</v>
      </c>
      <c r="F2444">
        <v>1270</v>
      </c>
      <c r="G2444">
        <v>28</v>
      </c>
      <c r="H2444">
        <v>11</v>
      </c>
      <c r="I2444">
        <v>9</v>
      </c>
      <c r="J2444">
        <v>2</v>
      </c>
      <c r="K2444">
        <v>1</v>
      </c>
      <c r="L2444">
        <v>1</v>
      </c>
      <c r="M2444">
        <v>25</v>
      </c>
      <c r="N2444">
        <v>107.91</v>
      </c>
      <c r="O2444">
        <v>0</v>
      </c>
      <c r="P24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44" t="str">
        <f>IF(Table1[[#This Row],[Fraud_Score]]&gt;=6, "High Risk",IF(Table1[[#This Row],[Fraud_Score]]&gt;=3, "Medium Risk", "Low Risk"))</f>
        <v>Low Risk</v>
      </c>
      <c r="R2444">
        <f>IF(Table1[[#This Row],[Seconds of Use]]=0,0,Table1[[#This Row],[Customer Value]]/Table1[[#This Row],[Seconds of Use]]*100)</f>
        <v>8.4968503937007878</v>
      </c>
    </row>
    <row r="2445" spans="1:18" x14ac:dyDescent="0.35">
      <c r="A2445" s="3" t="s">
        <v>2466</v>
      </c>
      <c r="B2445">
        <v>5</v>
      </c>
      <c r="C2445">
        <v>0</v>
      </c>
      <c r="D2445">
        <v>21</v>
      </c>
      <c r="E2445">
        <v>1</v>
      </c>
      <c r="F2445">
        <v>3270</v>
      </c>
      <c r="G2445">
        <v>57</v>
      </c>
      <c r="H2445">
        <v>7</v>
      </c>
      <c r="I2445">
        <v>19</v>
      </c>
      <c r="J2445">
        <v>3</v>
      </c>
      <c r="K2445">
        <v>1</v>
      </c>
      <c r="L2445">
        <v>1</v>
      </c>
      <c r="M2445">
        <v>30</v>
      </c>
      <c r="N2445">
        <v>161.08000000000001</v>
      </c>
      <c r="O2445">
        <v>0</v>
      </c>
      <c r="P24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45" t="str">
        <f>IF(Table1[[#This Row],[Fraud_Score]]&gt;=6, "High Risk",IF(Table1[[#This Row],[Fraud_Score]]&gt;=3, "Medium Risk", "Low Risk"))</f>
        <v>Low Risk</v>
      </c>
      <c r="R2445">
        <f>IF(Table1[[#This Row],[Seconds of Use]]=0,0,Table1[[#This Row],[Customer Value]]/Table1[[#This Row],[Seconds of Use]]*100)</f>
        <v>4.9259938837920494</v>
      </c>
    </row>
    <row r="2446" spans="1:18" x14ac:dyDescent="0.35">
      <c r="A2446" s="3" t="s">
        <v>2467</v>
      </c>
      <c r="B2446">
        <v>5</v>
      </c>
      <c r="C2446">
        <v>0</v>
      </c>
      <c r="D2446">
        <v>14</v>
      </c>
      <c r="E2446">
        <v>1</v>
      </c>
      <c r="F2446">
        <v>1740</v>
      </c>
      <c r="G2446">
        <v>22</v>
      </c>
      <c r="H2446">
        <v>20</v>
      </c>
      <c r="I2446">
        <v>10</v>
      </c>
      <c r="J2446">
        <v>2</v>
      </c>
      <c r="K2446">
        <v>1</v>
      </c>
      <c r="L2446">
        <v>1</v>
      </c>
      <c r="M2446">
        <v>25</v>
      </c>
      <c r="N2446">
        <v>169.29</v>
      </c>
      <c r="O2446">
        <v>0</v>
      </c>
      <c r="P24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46" t="str">
        <f>IF(Table1[[#This Row],[Fraud_Score]]&gt;=6, "High Risk",IF(Table1[[#This Row],[Fraud_Score]]&gt;=3, "Medium Risk", "Low Risk"))</f>
        <v>Low Risk</v>
      </c>
      <c r="R2446">
        <f>IF(Table1[[#This Row],[Seconds of Use]]=0,0,Table1[[#This Row],[Customer Value]]/Table1[[#This Row],[Seconds of Use]]*100)</f>
        <v>9.7293103448275851</v>
      </c>
    </row>
    <row r="2447" spans="1:18" x14ac:dyDescent="0.35">
      <c r="A2447" s="3" t="s">
        <v>2468</v>
      </c>
      <c r="B2447">
        <v>16</v>
      </c>
      <c r="C2447">
        <v>0</v>
      </c>
      <c r="D2447">
        <v>13</v>
      </c>
      <c r="E2447">
        <v>1</v>
      </c>
      <c r="F2447">
        <v>6438</v>
      </c>
      <c r="G2447">
        <v>137</v>
      </c>
      <c r="H2447">
        <v>77</v>
      </c>
      <c r="I2447">
        <v>38</v>
      </c>
      <c r="J2447">
        <v>2</v>
      </c>
      <c r="K2447">
        <v>2</v>
      </c>
      <c r="L2447">
        <v>1</v>
      </c>
      <c r="M2447">
        <v>25</v>
      </c>
      <c r="N2447">
        <v>642.375</v>
      </c>
      <c r="O2447">
        <v>0</v>
      </c>
      <c r="P24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47" t="str">
        <f>IF(Table1[[#This Row],[Fraud_Score]]&gt;=6, "High Risk",IF(Table1[[#This Row],[Fraud_Score]]&gt;=3, "Medium Risk", "Low Risk"))</f>
        <v>Low Risk</v>
      </c>
      <c r="R2447">
        <f>IF(Table1[[#This Row],[Seconds of Use]]=0,0,Table1[[#This Row],[Customer Value]]/Table1[[#This Row],[Seconds of Use]]*100)</f>
        <v>9.9778657968313151</v>
      </c>
    </row>
    <row r="2448" spans="1:18" x14ac:dyDescent="0.35">
      <c r="A2448" s="3" t="s">
        <v>2469</v>
      </c>
      <c r="B2448">
        <v>12</v>
      </c>
      <c r="C2448">
        <v>0</v>
      </c>
      <c r="D2448">
        <v>11</v>
      </c>
      <c r="E2448">
        <v>1</v>
      </c>
      <c r="F2448">
        <v>8978</v>
      </c>
      <c r="G2448">
        <v>167</v>
      </c>
      <c r="H2448">
        <v>65</v>
      </c>
      <c r="I2448">
        <v>36</v>
      </c>
      <c r="J2448">
        <v>4</v>
      </c>
      <c r="K2448">
        <v>1</v>
      </c>
      <c r="L2448">
        <v>1</v>
      </c>
      <c r="M2448">
        <v>45</v>
      </c>
      <c r="N2448">
        <v>391.125</v>
      </c>
      <c r="O2448">
        <v>0</v>
      </c>
      <c r="P24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448" t="str">
        <f>IF(Table1[[#This Row],[Fraud_Score]]&gt;=6, "High Risk",IF(Table1[[#This Row],[Fraud_Score]]&gt;=3, "Medium Risk", "Low Risk"))</f>
        <v>Medium Risk</v>
      </c>
      <c r="R2448">
        <f>IF(Table1[[#This Row],[Seconds of Use]]=0,0,Table1[[#This Row],[Customer Value]]/Table1[[#This Row],[Seconds of Use]]*100)</f>
        <v>4.3564825128090883</v>
      </c>
    </row>
    <row r="2449" spans="1:18" x14ac:dyDescent="0.35">
      <c r="A2449" s="3" t="s">
        <v>2470</v>
      </c>
      <c r="B2449">
        <v>8</v>
      </c>
      <c r="C2449">
        <v>0</v>
      </c>
      <c r="D2449">
        <v>12</v>
      </c>
      <c r="E2449">
        <v>3</v>
      </c>
      <c r="F2449">
        <v>2898</v>
      </c>
      <c r="G2449">
        <v>41</v>
      </c>
      <c r="H2449">
        <v>23</v>
      </c>
      <c r="I2449">
        <v>15</v>
      </c>
      <c r="J2449">
        <v>3</v>
      </c>
      <c r="K2449">
        <v>1</v>
      </c>
      <c r="L2449">
        <v>1</v>
      </c>
      <c r="M2449">
        <v>30</v>
      </c>
      <c r="N2449">
        <v>209.56</v>
      </c>
      <c r="O2449">
        <v>0</v>
      </c>
      <c r="P24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49" t="str">
        <f>IF(Table1[[#This Row],[Fraud_Score]]&gt;=6, "High Risk",IF(Table1[[#This Row],[Fraud_Score]]&gt;=3, "Medium Risk", "Low Risk"))</f>
        <v>Low Risk</v>
      </c>
      <c r="R2449">
        <f>IF(Table1[[#This Row],[Seconds of Use]]=0,0,Table1[[#This Row],[Customer Value]]/Table1[[#This Row],[Seconds of Use]]*100)</f>
        <v>7.2311939268461005</v>
      </c>
    </row>
    <row r="2450" spans="1:18" x14ac:dyDescent="0.35">
      <c r="A2450" s="3" t="s">
        <v>2471</v>
      </c>
      <c r="B2450">
        <v>5</v>
      </c>
      <c r="C2450">
        <v>0</v>
      </c>
      <c r="D2450">
        <v>5</v>
      </c>
      <c r="E2450">
        <v>1</v>
      </c>
      <c r="F2450">
        <v>4435</v>
      </c>
      <c r="G2450">
        <v>36</v>
      </c>
      <c r="H2450">
        <v>207</v>
      </c>
      <c r="I2450">
        <v>6</v>
      </c>
      <c r="J2450">
        <v>3</v>
      </c>
      <c r="K2450">
        <v>1</v>
      </c>
      <c r="L2450">
        <v>1</v>
      </c>
      <c r="M2450">
        <v>30</v>
      </c>
      <c r="N2450">
        <v>1006.84</v>
      </c>
      <c r="O2450">
        <v>0</v>
      </c>
      <c r="P24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50" t="str">
        <f>IF(Table1[[#This Row],[Fraud_Score]]&gt;=6, "High Risk",IF(Table1[[#This Row],[Fraud_Score]]&gt;=3, "Medium Risk", "Low Risk"))</f>
        <v>Low Risk</v>
      </c>
      <c r="R2450">
        <f>IF(Table1[[#This Row],[Seconds of Use]]=0,0,Table1[[#This Row],[Customer Value]]/Table1[[#This Row],[Seconds of Use]]*100)</f>
        <v>22.702142051860204</v>
      </c>
    </row>
    <row r="2451" spans="1:18" x14ac:dyDescent="0.35">
      <c r="A2451" s="3" t="s">
        <v>2472</v>
      </c>
      <c r="B2451">
        <v>5</v>
      </c>
      <c r="C2451">
        <v>1</v>
      </c>
      <c r="D2451">
        <v>5</v>
      </c>
      <c r="E2451">
        <v>0</v>
      </c>
      <c r="F2451">
        <v>1533</v>
      </c>
      <c r="G2451">
        <v>15</v>
      </c>
      <c r="H2451">
        <v>7</v>
      </c>
      <c r="I2451">
        <v>3</v>
      </c>
      <c r="J2451">
        <v>3</v>
      </c>
      <c r="K2451">
        <v>1</v>
      </c>
      <c r="L2451">
        <v>1</v>
      </c>
      <c r="M2451">
        <v>30</v>
      </c>
      <c r="N2451">
        <v>89.92</v>
      </c>
      <c r="O2451">
        <v>1</v>
      </c>
      <c r="P24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51" t="str">
        <f>IF(Table1[[#This Row],[Fraud_Score]]&gt;=6, "High Risk",IF(Table1[[#This Row],[Fraud_Score]]&gt;=3, "Medium Risk", "Low Risk"))</f>
        <v>Medium Risk</v>
      </c>
      <c r="R2451">
        <f>IF(Table1[[#This Row],[Seconds of Use]]=0,0,Table1[[#This Row],[Customer Value]]/Table1[[#This Row],[Seconds of Use]]*100)</f>
        <v>5.8656229615133721</v>
      </c>
    </row>
    <row r="2452" spans="1:18" x14ac:dyDescent="0.35">
      <c r="A2452" s="3" t="s">
        <v>2473</v>
      </c>
      <c r="B2452">
        <v>15</v>
      </c>
      <c r="C2452">
        <v>0</v>
      </c>
      <c r="D2452">
        <v>43</v>
      </c>
      <c r="E2452">
        <v>1</v>
      </c>
      <c r="F2452">
        <v>4855</v>
      </c>
      <c r="G2452">
        <v>85</v>
      </c>
      <c r="H2452">
        <v>23</v>
      </c>
      <c r="I2452">
        <v>24</v>
      </c>
      <c r="J2452">
        <v>3</v>
      </c>
      <c r="K2452">
        <v>1</v>
      </c>
      <c r="L2452">
        <v>1</v>
      </c>
      <c r="M2452">
        <v>30</v>
      </c>
      <c r="N2452">
        <v>289.60000000000002</v>
      </c>
      <c r="O2452">
        <v>0</v>
      </c>
      <c r="P24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52" t="str">
        <f>IF(Table1[[#This Row],[Fraud_Score]]&gt;=6, "High Risk",IF(Table1[[#This Row],[Fraud_Score]]&gt;=3, "Medium Risk", "Low Risk"))</f>
        <v>Low Risk</v>
      </c>
      <c r="R2452">
        <f>IF(Table1[[#This Row],[Seconds of Use]]=0,0,Table1[[#This Row],[Customer Value]]/Table1[[#This Row],[Seconds of Use]]*100)</f>
        <v>5.9649845520082394</v>
      </c>
    </row>
    <row r="2453" spans="1:18" x14ac:dyDescent="0.35">
      <c r="A2453" s="3" t="s">
        <v>2474</v>
      </c>
      <c r="B2453">
        <v>7</v>
      </c>
      <c r="C2453">
        <v>0</v>
      </c>
      <c r="D2453">
        <v>44</v>
      </c>
      <c r="E2453">
        <v>0</v>
      </c>
      <c r="F2453">
        <v>803</v>
      </c>
      <c r="G2453">
        <v>19</v>
      </c>
      <c r="H2453">
        <v>25</v>
      </c>
      <c r="I2453">
        <v>11</v>
      </c>
      <c r="J2453">
        <v>3</v>
      </c>
      <c r="K2453">
        <v>1</v>
      </c>
      <c r="L2453">
        <v>2</v>
      </c>
      <c r="M2453">
        <v>30</v>
      </c>
      <c r="N2453">
        <v>132.88</v>
      </c>
      <c r="O2453">
        <v>0</v>
      </c>
      <c r="P24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53" t="str">
        <f>IF(Table1[[#This Row],[Fraud_Score]]&gt;=6, "High Risk",IF(Table1[[#This Row],[Fraud_Score]]&gt;=3, "Medium Risk", "Low Risk"))</f>
        <v>Low Risk</v>
      </c>
      <c r="R2453">
        <f>IF(Table1[[#This Row],[Seconds of Use]]=0,0,Table1[[#This Row],[Customer Value]]/Table1[[#This Row],[Seconds of Use]]*100)</f>
        <v>16.547945205479451</v>
      </c>
    </row>
    <row r="2454" spans="1:18" x14ac:dyDescent="0.35">
      <c r="A2454" s="3" t="s">
        <v>2475</v>
      </c>
      <c r="B2454">
        <v>17</v>
      </c>
      <c r="C2454">
        <v>0</v>
      </c>
      <c r="D2454">
        <v>42</v>
      </c>
      <c r="E2454">
        <v>1</v>
      </c>
      <c r="F2454">
        <v>2938</v>
      </c>
      <c r="G2454">
        <v>74</v>
      </c>
      <c r="H2454">
        <v>377</v>
      </c>
      <c r="I2454">
        <v>31</v>
      </c>
      <c r="J2454">
        <v>3</v>
      </c>
      <c r="K2454">
        <v>1</v>
      </c>
      <c r="L2454">
        <v>1</v>
      </c>
      <c r="M2454">
        <v>30</v>
      </c>
      <c r="N2454">
        <v>1628.48</v>
      </c>
      <c r="O2454">
        <v>0</v>
      </c>
      <c r="P24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54" t="str">
        <f>IF(Table1[[#This Row],[Fraud_Score]]&gt;=6, "High Risk",IF(Table1[[#This Row],[Fraud_Score]]&gt;=3, "Medium Risk", "Low Risk"))</f>
        <v>Low Risk</v>
      </c>
      <c r="R2454">
        <f>IF(Table1[[#This Row],[Seconds of Use]]=0,0,Table1[[#This Row],[Customer Value]]/Table1[[#This Row],[Seconds of Use]]*100)</f>
        <v>55.428182437031992</v>
      </c>
    </row>
    <row r="2455" spans="1:18" x14ac:dyDescent="0.35">
      <c r="A2455" s="3" t="s">
        <v>2476</v>
      </c>
      <c r="B2455">
        <v>17</v>
      </c>
      <c r="C2455">
        <v>0</v>
      </c>
      <c r="D2455">
        <v>43</v>
      </c>
      <c r="E2455">
        <v>1</v>
      </c>
      <c r="F2455">
        <v>4683</v>
      </c>
      <c r="G2455">
        <v>80</v>
      </c>
      <c r="H2455">
        <v>19</v>
      </c>
      <c r="I2455">
        <v>42</v>
      </c>
      <c r="J2455">
        <v>1</v>
      </c>
      <c r="K2455">
        <v>1</v>
      </c>
      <c r="L2455">
        <v>1</v>
      </c>
      <c r="M2455">
        <v>15</v>
      </c>
      <c r="N2455">
        <v>366.46499999999997</v>
      </c>
      <c r="O2455">
        <v>0</v>
      </c>
      <c r="P24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55" t="str">
        <f>IF(Table1[[#This Row],[Fraud_Score]]&gt;=6, "High Risk",IF(Table1[[#This Row],[Fraud_Score]]&gt;=3, "Medium Risk", "Low Risk"))</f>
        <v>Low Risk</v>
      </c>
      <c r="R2455">
        <f>IF(Table1[[#This Row],[Seconds of Use]]=0,0,Table1[[#This Row],[Customer Value]]/Table1[[#This Row],[Seconds of Use]]*100)</f>
        <v>7.8254324151185131</v>
      </c>
    </row>
    <row r="2456" spans="1:18" x14ac:dyDescent="0.35">
      <c r="A2456" s="3" t="s">
        <v>2477</v>
      </c>
      <c r="B2456">
        <v>10</v>
      </c>
      <c r="C2456">
        <v>0</v>
      </c>
      <c r="D2456">
        <v>43</v>
      </c>
      <c r="E2456">
        <v>1</v>
      </c>
      <c r="F2456">
        <v>2878</v>
      </c>
      <c r="G2456">
        <v>72</v>
      </c>
      <c r="H2456">
        <v>20</v>
      </c>
      <c r="I2456">
        <v>40</v>
      </c>
      <c r="J2456">
        <v>2</v>
      </c>
      <c r="K2456">
        <v>1</v>
      </c>
      <c r="L2456">
        <v>1</v>
      </c>
      <c r="M2456">
        <v>25</v>
      </c>
      <c r="N2456">
        <v>222.75</v>
      </c>
      <c r="O2456">
        <v>0</v>
      </c>
      <c r="P24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56" t="str">
        <f>IF(Table1[[#This Row],[Fraud_Score]]&gt;=6, "High Risk",IF(Table1[[#This Row],[Fraud_Score]]&gt;=3, "Medium Risk", "Low Risk"))</f>
        <v>Low Risk</v>
      </c>
      <c r="R2456">
        <f>IF(Table1[[#This Row],[Seconds of Use]]=0,0,Table1[[#This Row],[Customer Value]]/Table1[[#This Row],[Seconds of Use]]*100)</f>
        <v>7.7397498262682412</v>
      </c>
    </row>
    <row r="2457" spans="1:18" x14ac:dyDescent="0.35">
      <c r="A2457" s="3" t="s">
        <v>2478</v>
      </c>
      <c r="B2457">
        <v>18</v>
      </c>
      <c r="C2457">
        <v>0</v>
      </c>
      <c r="D2457">
        <v>43</v>
      </c>
      <c r="E2457">
        <v>2</v>
      </c>
      <c r="F2457">
        <v>4260</v>
      </c>
      <c r="G2457">
        <v>96</v>
      </c>
      <c r="H2457">
        <v>50</v>
      </c>
      <c r="I2457">
        <v>35</v>
      </c>
      <c r="J2457">
        <v>3</v>
      </c>
      <c r="K2457">
        <v>1</v>
      </c>
      <c r="L2457">
        <v>1</v>
      </c>
      <c r="M2457">
        <v>30</v>
      </c>
      <c r="N2457">
        <v>374.24</v>
      </c>
      <c r="O2457">
        <v>0</v>
      </c>
      <c r="P24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57" t="str">
        <f>IF(Table1[[#This Row],[Fraud_Score]]&gt;=6, "High Risk",IF(Table1[[#This Row],[Fraud_Score]]&gt;=3, "Medium Risk", "Low Risk"))</f>
        <v>Low Risk</v>
      </c>
      <c r="R2457">
        <f>IF(Table1[[#This Row],[Seconds of Use]]=0,0,Table1[[#This Row],[Customer Value]]/Table1[[#This Row],[Seconds of Use]]*100)</f>
        <v>8.7849765258215964</v>
      </c>
    </row>
    <row r="2458" spans="1:18" x14ac:dyDescent="0.35">
      <c r="A2458" s="3" t="s">
        <v>2479</v>
      </c>
      <c r="B2458">
        <v>11</v>
      </c>
      <c r="C2458">
        <v>0</v>
      </c>
      <c r="D2458">
        <v>43</v>
      </c>
      <c r="E2458">
        <v>1</v>
      </c>
      <c r="F2458">
        <v>2845</v>
      </c>
      <c r="G2458">
        <v>53</v>
      </c>
      <c r="H2458">
        <v>303</v>
      </c>
      <c r="I2458">
        <v>25</v>
      </c>
      <c r="J2458">
        <v>3</v>
      </c>
      <c r="K2458">
        <v>1</v>
      </c>
      <c r="L2458">
        <v>1</v>
      </c>
      <c r="M2458">
        <v>30</v>
      </c>
      <c r="N2458">
        <v>1327.92</v>
      </c>
      <c r="O2458">
        <v>0</v>
      </c>
      <c r="P24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58" t="str">
        <f>IF(Table1[[#This Row],[Fraud_Score]]&gt;=6, "High Risk",IF(Table1[[#This Row],[Fraud_Score]]&gt;=3, "Medium Risk", "Low Risk"))</f>
        <v>Low Risk</v>
      </c>
      <c r="R2458">
        <f>IF(Table1[[#This Row],[Seconds of Use]]=0,0,Table1[[#This Row],[Customer Value]]/Table1[[#This Row],[Seconds of Use]]*100)</f>
        <v>46.675571177504395</v>
      </c>
    </row>
    <row r="2459" spans="1:18" x14ac:dyDescent="0.35">
      <c r="A2459" s="3" t="s">
        <v>2480</v>
      </c>
      <c r="B2459">
        <v>20</v>
      </c>
      <c r="C2459">
        <v>0</v>
      </c>
      <c r="D2459">
        <v>42</v>
      </c>
      <c r="E2459">
        <v>3</v>
      </c>
      <c r="F2459">
        <v>9600</v>
      </c>
      <c r="G2459">
        <v>135</v>
      </c>
      <c r="H2459">
        <v>162</v>
      </c>
      <c r="I2459">
        <v>50</v>
      </c>
      <c r="J2459">
        <v>3</v>
      </c>
      <c r="K2459">
        <v>1</v>
      </c>
      <c r="L2459">
        <v>1</v>
      </c>
      <c r="M2459">
        <v>30</v>
      </c>
      <c r="N2459">
        <v>1037.4000000000001</v>
      </c>
      <c r="O2459">
        <v>0</v>
      </c>
      <c r="P24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59" t="str">
        <f>IF(Table1[[#This Row],[Fraud_Score]]&gt;=6, "High Risk",IF(Table1[[#This Row],[Fraud_Score]]&gt;=3, "Medium Risk", "Low Risk"))</f>
        <v>Medium Risk</v>
      </c>
      <c r="R2459">
        <f>IF(Table1[[#This Row],[Seconds of Use]]=0,0,Table1[[#This Row],[Customer Value]]/Table1[[#This Row],[Seconds of Use]]*100)</f>
        <v>10.80625</v>
      </c>
    </row>
    <row r="2460" spans="1:18" x14ac:dyDescent="0.35">
      <c r="A2460" s="3" t="s">
        <v>2481</v>
      </c>
      <c r="B2460">
        <v>14</v>
      </c>
      <c r="C2460">
        <v>0</v>
      </c>
      <c r="D2460">
        <v>43</v>
      </c>
      <c r="E2460">
        <v>1</v>
      </c>
      <c r="F2460">
        <v>14258</v>
      </c>
      <c r="G2460">
        <v>183</v>
      </c>
      <c r="H2460">
        <v>18</v>
      </c>
      <c r="I2460">
        <v>51</v>
      </c>
      <c r="J2460">
        <v>3</v>
      </c>
      <c r="K2460">
        <v>1</v>
      </c>
      <c r="L2460">
        <v>1</v>
      </c>
      <c r="M2460">
        <v>30</v>
      </c>
      <c r="N2460">
        <v>649.64</v>
      </c>
      <c r="O2460">
        <v>0</v>
      </c>
      <c r="P24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60" t="str">
        <f>IF(Table1[[#This Row],[Fraud_Score]]&gt;=6, "High Risk",IF(Table1[[#This Row],[Fraud_Score]]&gt;=3, "Medium Risk", "Low Risk"))</f>
        <v>Medium Risk</v>
      </c>
      <c r="R2460">
        <f>IF(Table1[[#This Row],[Seconds of Use]]=0,0,Table1[[#This Row],[Customer Value]]/Table1[[#This Row],[Seconds of Use]]*100)</f>
        <v>4.556319259363165</v>
      </c>
    </row>
    <row r="2461" spans="1:18" x14ac:dyDescent="0.35">
      <c r="A2461" s="3" t="s">
        <v>2482</v>
      </c>
      <c r="B2461">
        <v>14</v>
      </c>
      <c r="C2461">
        <v>0</v>
      </c>
      <c r="D2461">
        <v>43</v>
      </c>
      <c r="E2461">
        <v>2</v>
      </c>
      <c r="F2461">
        <v>5000</v>
      </c>
      <c r="G2461">
        <v>97</v>
      </c>
      <c r="H2461">
        <v>20</v>
      </c>
      <c r="I2461">
        <v>32</v>
      </c>
      <c r="J2461">
        <v>3</v>
      </c>
      <c r="K2461">
        <v>1</v>
      </c>
      <c r="L2461">
        <v>1</v>
      </c>
      <c r="M2461">
        <v>30</v>
      </c>
      <c r="N2461">
        <v>283.88</v>
      </c>
      <c r="O2461">
        <v>0</v>
      </c>
      <c r="P24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61" t="str">
        <f>IF(Table1[[#This Row],[Fraud_Score]]&gt;=6, "High Risk",IF(Table1[[#This Row],[Fraud_Score]]&gt;=3, "Medium Risk", "Low Risk"))</f>
        <v>Low Risk</v>
      </c>
      <c r="R2461">
        <f>IF(Table1[[#This Row],[Seconds of Use]]=0,0,Table1[[#This Row],[Customer Value]]/Table1[[#This Row],[Seconds of Use]]*100)</f>
        <v>5.6776</v>
      </c>
    </row>
    <row r="2462" spans="1:18" x14ac:dyDescent="0.35">
      <c r="A2462" s="3" t="s">
        <v>2483</v>
      </c>
      <c r="B2462">
        <v>13</v>
      </c>
      <c r="C2462">
        <v>0</v>
      </c>
      <c r="D2462">
        <v>43</v>
      </c>
      <c r="E2462">
        <v>1</v>
      </c>
      <c r="F2462">
        <v>6403</v>
      </c>
      <c r="G2462">
        <v>109</v>
      </c>
      <c r="H2462">
        <v>25</v>
      </c>
      <c r="I2462">
        <v>19</v>
      </c>
      <c r="J2462">
        <v>3</v>
      </c>
      <c r="K2462">
        <v>1</v>
      </c>
      <c r="L2462">
        <v>1</v>
      </c>
      <c r="M2462">
        <v>30</v>
      </c>
      <c r="N2462">
        <v>360.48</v>
      </c>
      <c r="O2462">
        <v>0</v>
      </c>
      <c r="P24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62" t="str">
        <f>IF(Table1[[#This Row],[Fraud_Score]]&gt;=6, "High Risk",IF(Table1[[#This Row],[Fraud_Score]]&gt;=3, "Medium Risk", "Low Risk"))</f>
        <v>Low Risk</v>
      </c>
      <c r="R2462">
        <f>IF(Table1[[#This Row],[Seconds of Use]]=0,0,Table1[[#This Row],[Customer Value]]/Table1[[#This Row],[Seconds of Use]]*100)</f>
        <v>5.629861002655006</v>
      </c>
    </row>
    <row r="2463" spans="1:18" x14ac:dyDescent="0.35">
      <c r="A2463" s="3" t="s">
        <v>2484</v>
      </c>
      <c r="B2463">
        <v>16</v>
      </c>
      <c r="C2463">
        <v>1</v>
      </c>
      <c r="D2463">
        <v>43</v>
      </c>
      <c r="E2463">
        <v>0</v>
      </c>
      <c r="F2463">
        <v>2723</v>
      </c>
      <c r="G2463">
        <v>68</v>
      </c>
      <c r="H2463">
        <v>26</v>
      </c>
      <c r="I2463">
        <v>24</v>
      </c>
      <c r="J2463">
        <v>3</v>
      </c>
      <c r="K2463">
        <v>1</v>
      </c>
      <c r="L2463">
        <v>2</v>
      </c>
      <c r="M2463">
        <v>30</v>
      </c>
      <c r="N2463">
        <v>215.64</v>
      </c>
      <c r="O2463">
        <v>0</v>
      </c>
      <c r="P24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63" t="str">
        <f>IF(Table1[[#This Row],[Fraud_Score]]&gt;=6, "High Risk",IF(Table1[[#This Row],[Fraud_Score]]&gt;=3, "Medium Risk", "Low Risk"))</f>
        <v>Medium Risk</v>
      </c>
      <c r="R2463">
        <f>IF(Table1[[#This Row],[Seconds of Use]]=0,0,Table1[[#This Row],[Customer Value]]/Table1[[#This Row],[Seconds of Use]]*100)</f>
        <v>7.9192067572530291</v>
      </c>
    </row>
    <row r="2464" spans="1:18" x14ac:dyDescent="0.35">
      <c r="A2464" s="3" t="s">
        <v>2485</v>
      </c>
      <c r="B2464">
        <v>32</v>
      </c>
      <c r="C2464">
        <v>0</v>
      </c>
      <c r="D2464">
        <v>43</v>
      </c>
      <c r="E2464">
        <v>4</v>
      </c>
      <c r="F2464">
        <v>15625</v>
      </c>
      <c r="G2464">
        <v>239</v>
      </c>
      <c r="H2464">
        <v>72</v>
      </c>
      <c r="I2464">
        <v>39</v>
      </c>
      <c r="J2464">
        <v>3</v>
      </c>
      <c r="K2464">
        <v>1</v>
      </c>
      <c r="L2464">
        <v>1</v>
      </c>
      <c r="M2464">
        <v>30</v>
      </c>
      <c r="N2464">
        <v>922.56</v>
      </c>
      <c r="O2464">
        <v>0</v>
      </c>
      <c r="P24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464" t="str">
        <f>IF(Table1[[#This Row],[Fraud_Score]]&gt;=6, "High Risk",IF(Table1[[#This Row],[Fraud_Score]]&gt;=3, "Medium Risk", "Low Risk"))</f>
        <v>Medium Risk</v>
      </c>
      <c r="R2464">
        <f>IF(Table1[[#This Row],[Seconds of Use]]=0,0,Table1[[#This Row],[Customer Value]]/Table1[[#This Row],[Seconds of Use]]*100)</f>
        <v>5.9043839999999994</v>
      </c>
    </row>
    <row r="2465" spans="1:18" x14ac:dyDescent="0.35">
      <c r="A2465" s="3" t="s">
        <v>2486</v>
      </c>
      <c r="B2465">
        <v>11</v>
      </c>
      <c r="C2465">
        <v>0</v>
      </c>
      <c r="D2465">
        <v>43</v>
      </c>
      <c r="E2465">
        <v>2</v>
      </c>
      <c r="F2465">
        <v>3580</v>
      </c>
      <c r="G2465">
        <v>41</v>
      </c>
      <c r="H2465">
        <v>501</v>
      </c>
      <c r="I2465">
        <v>15</v>
      </c>
      <c r="J2465">
        <v>3</v>
      </c>
      <c r="K2465">
        <v>1</v>
      </c>
      <c r="L2465">
        <v>1</v>
      </c>
      <c r="M2465">
        <v>30</v>
      </c>
      <c r="N2465">
        <v>2148.84</v>
      </c>
      <c r="O2465">
        <v>0</v>
      </c>
      <c r="P24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65" t="str">
        <f>IF(Table1[[#This Row],[Fraud_Score]]&gt;=6, "High Risk",IF(Table1[[#This Row],[Fraud_Score]]&gt;=3, "Medium Risk", "Low Risk"))</f>
        <v>Low Risk</v>
      </c>
      <c r="R2465">
        <f>IF(Table1[[#This Row],[Seconds of Use]]=0,0,Table1[[#This Row],[Customer Value]]/Table1[[#This Row],[Seconds of Use]]*100)</f>
        <v>60.023463687150844</v>
      </c>
    </row>
    <row r="2466" spans="1:18" x14ac:dyDescent="0.35">
      <c r="A2466" s="3" t="s">
        <v>2487</v>
      </c>
      <c r="B2466">
        <v>16</v>
      </c>
      <c r="C2466">
        <v>0</v>
      </c>
      <c r="D2466">
        <v>42</v>
      </c>
      <c r="E2466">
        <v>1</v>
      </c>
      <c r="F2466">
        <v>15970</v>
      </c>
      <c r="G2466">
        <v>196</v>
      </c>
      <c r="H2466">
        <v>168</v>
      </c>
      <c r="I2466">
        <v>37</v>
      </c>
      <c r="J2466">
        <v>2</v>
      </c>
      <c r="K2466">
        <v>1</v>
      </c>
      <c r="L2466">
        <v>1</v>
      </c>
      <c r="M2466">
        <v>25</v>
      </c>
      <c r="N2466">
        <v>1483.47</v>
      </c>
      <c r="O2466">
        <v>0</v>
      </c>
      <c r="P24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466" t="str">
        <f>IF(Table1[[#This Row],[Fraud_Score]]&gt;=6, "High Risk",IF(Table1[[#This Row],[Fraud_Score]]&gt;=3, "Medium Risk", "Low Risk"))</f>
        <v>Medium Risk</v>
      </c>
      <c r="R2466">
        <f>IF(Table1[[#This Row],[Seconds of Use]]=0,0,Table1[[#This Row],[Customer Value]]/Table1[[#This Row],[Seconds of Use]]*100)</f>
        <v>9.2891045710707587</v>
      </c>
    </row>
    <row r="2467" spans="1:18" x14ac:dyDescent="0.35">
      <c r="A2467" s="3" t="s">
        <v>2488</v>
      </c>
      <c r="B2467">
        <v>10</v>
      </c>
      <c r="C2467">
        <v>0</v>
      </c>
      <c r="D2467">
        <v>42</v>
      </c>
      <c r="E2467">
        <v>2</v>
      </c>
      <c r="F2467">
        <v>6985</v>
      </c>
      <c r="G2467">
        <v>100</v>
      </c>
      <c r="H2467">
        <v>204</v>
      </c>
      <c r="I2467">
        <v>33</v>
      </c>
      <c r="J2467">
        <v>3</v>
      </c>
      <c r="K2467">
        <v>1</v>
      </c>
      <c r="L2467">
        <v>1</v>
      </c>
      <c r="M2467">
        <v>30</v>
      </c>
      <c r="N2467">
        <v>1099.4000000000001</v>
      </c>
      <c r="O2467">
        <v>0</v>
      </c>
      <c r="P24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67" t="str">
        <f>IF(Table1[[#This Row],[Fraud_Score]]&gt;=6, "High Risk",IF(Table1[[#This Row],[Fraud_Score]]&gt;=3, "Medium Risk", "Low Risk"))</f>
        <v>Low Risk</v>
      </c>
      <c r="R2467">
        <f>IF(Table1[[#This Row],[Seconds of Use]]=0,0,Table1[[#This Row],[Customer Value]]/Table1[[#This Row],[Seconds of Use]]*100)</f>
        <v>15.739441660701505</v>
      </c>
    </row>
    <row r="2468" spans="1:18" x14ac:dyDescent="0.35">
      <c r="A2468" s="3" t="s">
        <v>2489</v>
      </c>
      <c r="B2468">
        <v>7</v>
      </c>
      <c r="C2468">
        <v>0</v>
      </c>
      <c r="D2468">
        <v>42</v>
      </c>
      <c r="E2468">
        <v>0</v>
      </c>
      <c r="F2468">
        <v>1360</v>
      </c>
      <c r="G2468">
        <v>28</v>
      </c>
      <c r="H2468">
        <v>18</v>
      </c>
      <c r="I2468">
        <v>18</v>
      </c>
      <c r="J2468">
        <v>2</v>
      </c>
      <c r="K2468">
        <v>1</v>
      </c>
      <c r="L2468">
        <v>2</v>
      </c>
      <c r="M2468">
        <v>25</v>
      </c>
      <c r="N2468">
        <v>143.46</v>
      </c>
      <c r="O2468">
        <v>0</v>
      </c>
      <c r="P24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68" t="str">
        <f>IF(Table1[[#This Row],[Fraud_Score]]&gt;=6, "High Risk",IF(Table1[[#This Row],[Fraud_Score]]&gt;=3, "Medium Risk", "Low Risk"))</f>
        <v>Low Risk</v>
      </c>
      <c r="R2468">
        <f>IF(Table1[[#This Row],[Seconds of Use]]=0,0,Table1[[#This Row],[Customer Value]]/Table1[[#This Row],[Seconds of Use]]*100)</f>
        <v>10.548529411764706</v>
      </c>
    </row>
    <row r="2469" spans="1:18" x14ac:dyDescent="0.35">
      <c r="A2469" s="3" t="s">
        <v>2490</v>
      </c>
      <c r="B2469">
        <v>9</v>
      </c>
      <c r="C2469">
        <v>0</v>
      </c>
      <c r="D2469">
        <v>43</v>
      </c>
      <c r="E2469">
        <v>0</v>
      </c>
      <c r="F2469">
        <v>1195</v>
      </c>
      <c r="G2469">
        <v>28</v>
      </c>
      <c r="H2469">
        <v>31</v>
      </c>
      <c r="I2469">
        <v>15</v>
      </c>
      <c r="J2469">
        <v>3</v>
      </c>
      <c r="K2469">
        <v>1</v>
      </c>
      <c r="L2469">
        <v>2</v>
      </c>
      <c r="M2469">
        <v>30</v>
      </c>
      <c r="N2469">
        <v>172.92</v>
      </c>
      <c r="O2469">
        <v>0</v>
      </c>
      <c r="P24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69" t="str">
        <f>IF(Table1[[#This Row],[Fraud_Score]]&gt;=6, "High Risk",IF(Table1[[#This Row],[Fraud_Score]]&gt;=3, "Medium Risk", "Low Risk"))</f>
        <v>Low Risk</v>
      </c>
      <c r="R2469">
        <f>IF(Table1[[#This Row],[Seconds of Use]]=0,0,Table1[[#This Row],[Customer Value]]/Table1[[#This Row],[Seconds of Use]]*100)</f>
        <v>14.470292887029288</v>
      </c>
    </row>
    <row r="2470" spans="1:18" x14ac:dyDescent="0.35">
      <c r="A2470" s="3" t="s">
        <v>2491</v>
      </c>
      <c r="B2470">
        <v>7</v>
      </c>
      <c r="C2470">
        <v>0</v>
      </c>
      <c r="D2470">
        <v>42</v>
      </c>
      <c r="E2470">
        <v>0</v>
      </c>
      <c r="F2470">
        <v>485</v>
      </c>
      <c r="G2470">
        <v>14</v>
      </c>
      <c r="H2470">
        <v>18</v>
      </c>
      <c r="I2470">
        <v>7</v>
      </c>
      <c r="J2470">
        <v>2</v>
      </c>
      <c r="K2470">
        <v>1</v>
      </c>
      <c r="L2470">
        <v>2</v>
      </c>
      <c r="M2470">
        <v>25</v>
      </c>
      <c r="N2470">
        <v>103.455</v>
      </c>
      <c r="O2470">
        <v>1</v>
      </c>
      <c r="P24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70" t="str">
        <f>IF(Table1[[#This Row],[Fraud_Score]]&gt;=6, "High Risk",IF(Table1[[#This Row],[Fraud_Score]]&gt;=3, "Medium Risk", "Low Risk"))</f>
        <v>Low Risk</v>
      </c>
      <c r="R2470">
        <f>IF(Table1[[#This Row],[Seconds of Use]]=0,0,Table1[[#This Row],[Customer Value]]/Table1[[#This Row],[Seconds of Use]]*100)</f>
        <v>21.330927835051547</v>
      </c>
    </row>
    <row r="2471" spans="1:18" x14ac:dyDescent="0.35">
      <c r="A2471" s="3" t="s">
        <v>2492</v>
      </c>
      <c r="B2471">
        <v>10</v>
      </c>
      <c r="C2471">
        <v>0</v>
      </c>
      <c r="D2471">
        <v>42</v>
      </c>
      <c r="E2471">
        <v>1</v>
      </c>
      <c r="F2471">
        <v>7993</v>
      </c>
      <c r="G2471">
        <v>141</v>
      </c>
      <c r="H2471">
        <v>402</v>
      </c>
      <c r="I2471">
        <v>50</v>
      </c>
      <c r="J2471">
        <v>3</v>
      </c>
      <c r="K2471">
        <v>1</v>
      </c>
      <c r="L2471">
        <v>1</v>
      </c>
      <c r="M2471">
        <v>30</v>
      </c>
      <c r="N2471">
        <v>1933.36</v>
      </c>
      <c r="O2471">
        <v>0</v>
      </c>
      <c r="P24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71" t="str">
        <f>IF(Table1[[#This Row],[Fraud_Score]]&gt;=6, "High Risk",IF(Table1[[#This Row],[Fraud_Score]]&gt;=3, "Medium Risk", "Low Risk"))</f>
        <v>Medium Risk</v>
      </c>
      <c r="R2471">
        <f>IF(Table1[[#This Row],[Seconds of Use]]=0,0,Table1[[#This Row],[Customer Value]]/Table1[[#This Row],[Seconds of Use]]*100)</f>
        <v>24.188164644063555</v>
      </c>
    </row>
    <row r="2472" spans="1:18" x14ac:dyDescent="0.35">
      <c r="A2472" s="3" t="s">
        <v>2493</v>
      </c>
      <c r="B2472">
        <v>14</v>
      </c>
      <c r="C2472">
        <v>0</v>
      </c>
      <c r="D2472">
        <v>42</v>
      </c>
      <c r="E2472">
        <v>2</v>
      </c>
      <c r="F2472">
        <v>11950</v>
      </c>
      <c r="G2472">
        <v>168</v>
      </c>
      <c r="H2472">
        <v>29</v>
      </c>
      <c r="I2472">
        <v>54</v>
      </c>
      <c r="J2472">
        <v>4</v>
      </c>
      <c r="K2472">
        <v>1</v>
      </c>
      <c r="L2472">
        <v>1</v>
      </c>
      <c r="M2472">
        <v>45</v>
      </c>
      <c r="N2472">
        <v>375.45</v>
      </c>
      <c r="O2472">
        <v>0</v>
      </c>
      <c r="P24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72" t="str">
        <f>IF(Table1[[#This Row],[Fraud_Score]]&gt;=6, "High Risk",IF(Table1[[#This Row],[Fraud_Score]]&gt;=3, "Medium Risk", "Low Risk"))</f>
        <v>Medium Risk</v>
      </c>
      <c r="R2472">
        <f>IF(Table1[[#This Row],[Seconds of Use]]=0,0,Table1[[#This Row],[Customer Value]]/Table1[[#This Row],[Seconds of Use]]*100)</f>
        <v>3.1418410041841005</v>
      </c>
    </row>
    <row r="2473" spans="1:18" x14ac:dyDescent="0.35">
      <c r="A2473" s="3" t="s">
        <v>2494</v>
      </c>
      <c r="B2473">
        <v>15</v>
      </c>
      <c r="C2473">
        <v>0</v>
      </c>
      <c r="D2473">
        <v>42</v>
      </c>
      <c r="E2473">
        <v>2</v>
      </c>
      <c r="F2473">
        <v>7203</v>
      </c>
      <c r="G2473">
        <v>89</v>
      </c>
      <c r="H2473">
        <v>126</v>
      </c>
      <c r="I2473">
        <v>44</v>
      </c>
      <c r="J2473">
        <v>2</v>
      </c>
      <c r="K2473">
        <v>1</v>
      </c>
      <c r="L2473">
        <v>1</v>
      </c>
      <c r="M2473">
        <v>25</v>
      </c>
      <c r="N2473">
        <v>895.14</v>
      </c>
      <c r="O2473">
        <v>0</v>
      </c>
      <c r="P24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73" t="str">
        <f>IF(Table1[[#This Row],[Fraud_Score]]&gt;=6, "High Risk",IF(Table1[[#This Row],[Fraud_Score]]&gt;=3, "Medium Risk", "Low Risk"))</f>
        <v>Low Risk</v>
      </c>
      <c r="R2473">
        <f>IF(Table1[[#This Row],[Seconds of Use]]=0,0,Table1[[#This Row],[Customer Value]]/Table1[[#This Row],[Seconds of Use]]*100)</f>
        <v>12.427321949187837</v>
      </c>
    </row>
    <row r="2474" spans="1:18" x14ac:dyDescent="0.35">
      <c r="A2474" s="3" t="s">
        <v>2495</v>
      </c>
      <c r="B2474">
        <v>30</v>
      </c>
      <c r="C2474">
        <v>0</v>
      </c>
      <c r="D2474">
        <v>38</v>
      </c>
      <c r="E2474">
        <v>0</v>
      </c>
      <c r="F2474">
        <v>1440</v>
      </c>
      <c r="G2474">
        <v>61</v>
      </c>
      <c r="H2474">
        <v>34</v>
      </c>
      <c r="I2474">
        <v>24</v>
      </c>
      <c r="J2474">
        <v>3</v>
      </c>
      <c r="K2474">
        <v>1</v>
      </c>
      <c r="L2474">
        <v>2</v>
      </c>
      <c r="M2474">
        <v>30</v>
      </c>
      <c r="N2474">
        <v>196.04</v>
      </c>
      <c r="O2474">
        <v>1</v>
      </c>
      <c r="P24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74" t="str">
        <f>IF(Table1[[#This Row],[Fraud_Score]]&gt;=6, "High Risk",IF(Table1[[#This Row],[Fraud_Score]]&gt;=3, "Medium Risk", "Low Risk"))</f>
        <v>Medium Risk</v>
      </c>
      <c r="R2474">
        <f>IF(Table1[[#This Row],[Seconds of Use]]=0,0,Table1[[#This Row],[Customer Value]]/Table1[[#This Row],[Seconds of Use]]*100)</f>
        <v>13.613888888888889</v>
      </c>
    </row>
    <row r="2475" spans="1:18" x14ac:dyDescent="0.35">
      <c r="A2475" s="3" t="s">
        <v>2496</v>
      </c>
      <c r="B2475">
        <v>28</v>
      </c>
      <c r="C2475">
        <v>0</v>
      </c>
      <c r="D2475">
        <v>41</v>
      </c>
      <c r="E2475">
        <v>9</v>
      </c>
      <c r="F2475">
        <v>10920</v>
      </c>
      <c r="G2475">
        <v>107</v>
      </c>
      <c r="H2475">
        <v>19</v>
      </c>
      <c r="I2475">
        <v>49</v>
      </c>
      <c r="J2475">
        <v>5</v>
      </c>
      <c r="K2475">
        <v>2</v>
      </c>
      <c r="L2475">
        <v>1</v>
      </c>
      <c r="M2475">
        <v>55</v>
      </c>
      <c r="N2475">
        <v>193.905</v>
      </c>
      <c r="O2475">
        <v>0</v>
      </c>
      <c r="P24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75" t="str">
        <f>IF(Table1[[#This Row],[Fraud_Score]]&gt;=6, "High Risk",IF(Table1[[#This Row],[Fraud_Score]]&gt;=3, "Medium Risk", "Low Risk"))</f>
        <v>Medium Risk</v>
      </c>
      <c r="R2475">
        <f>IF(Table1[[#This Row],[Seconds of Use]]=0,0,Table1[[#This Row],[Customer Value]]/Table1[[#This Row],[Seconds of Use]]*100)</f>
        <v>1.7756868131868133</v>
      </c>
    </row>
    <row r="2476" spans="1:18" x14ac:dyDescent="0.35">
      <c r="A2476" s="3" t="s">
        <v>2497</v>
      </c>
      <c r="B2476">
        <v>20</v>
      </c>
      <c r="C2476">
        <v>0</v>
      </c>
      <c r="D2476">
        <v>41</v>
      </c>
      <c r="E2476">
        <v>2</v>
      </c>
      <c r="F2476">
        <v>6303</v>
      </c>
      <c r="G2476">
        <v>112</v>
      </c>
      <c r="H2476">
        <v>44</v>
      </c>
      <c r="I2476">
        <v>31</v>
      </c>
      <c r="J2476">
        <v>2</v>
      </c>
      <c r="K2476">
        <v>1</v>
      </c>
      <c r="L2476">
        <v>1</v>
      </c>
      <c r="M2476">
        <v>25</v>
      </c>
      <c r="N2476">
        <v>486.67500000000001</v>
      </c>
      <c r="O2476">
        <v>0</v>
      </c>
      <c r="P24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76" t="str">
        <f>IF(Table1[[#This Row],[Fraud_Score]]&gt;=6, "High Risk",IF(Table1[[#This Row],[Fraud_Score]]&gt;=3, "Medium Risk", "Low Risk"))</f>
        <v>Low Risk</v>
      </c>
      <c r="R2476">
        <f>IF(Table1[[#This Row],[Seconds of Use]]=0,0,Table1[[#This Row],[Customer Value]]/Table1[[#This Row],[Seconds of Use]]*100)</f>
        <v>7.7213231794383637</v>
      </c>
    </row>
    <row r="2477" spans="1:18" x14ac:dyDescent="0.35">
      <c r="A2477" s="3" t="s">
        <v>2498</v>
      </c>
      <c r="B2477">
        <v>8</v>
      </c>
      <c r="C2477">
        <v>0</v>
      </c>
      <c r="D2477">
        <v>39</v>
      </c>
      <c r="E2477">
        <v>1</v>
      </c>
      <c r="F2477">
        <v>3325</v>
      </c>
      <c r="G2477">
        <v>36</v>
      </c>
      <c r="H2477">
        <v>18</v>
      </c>
      <c r="I2477">
        <v>21</v>
      </c>
      <c r="J2477">
        <v>3</v>
      </c>
      <c r="K2477">
        <v>1</v>
      </c>
      <c r="L2477">
        <v>1</v>
      </c>
      <c r="M2477">
        <v>30</v>
      </c>
      <c r="N2477">
        <v>206.44</v>
      </c>
      <c r="O2477">
        <v>0</v>
      </c>
      <c r="P24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77" t="str">
        <f>IF(Table1[[#This Row],[Fraud_Score]]&gt;=6, "High Risk",IF(Table1[[#This Row],[Fraud_Score]]&gt;=3, "Medium Risk", "Low Risk"))</f>
        <v>Low Risk</v>
      </c>
      <c r="R2477">
        <f>IF(Table1[[#This Row],[Seconds of Use]]=0,0,Table1[[#This Row],[Customer Value]]/Table1[[#This Row],[Seconds of Use]]*100)</f>
        <v>6.2087218045112778</v>
      </c>
    </row>
    <row r="2478" spans="1:18" x14ac:dyDescent="0.35">
      <c r="A2478" s="3" t="s">
        <v>2499</v>
      </c>
      <c r="B2478">
        <v>16</v>
      </c>
      <c r="C2478">
        <v>1</v>
      </c>
      <c r="D2478">
        <v>40</v>
      </c>
      <c r="E2478">
        <v>0</v>
      </c>
      <c r="F2478">
        <v>3475</v>
      </c>
      <c r="G2478">
        <v>55</v>
      </c>
      <c r="H2478">
        <v>27</v>
      </c>
      <c r="I2478">
        <v>23</v>
      </c>
      <c r="J2478">
        <v>3</v>
      </c>
      <c r="K2478">
        <v>1</v>
      </c>
      <c r="L2478">
        <v>2</v>
      </c>
      <c r="M2478">
        <v>30</v>
      </c>
      <c r="N2478">
        <v>249.2</v>
      </c>
      <c r="O2478">
        <v>1</v>
      </c>
      <c r="P24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78" t="str">
        <f>IF(Table1[[#This Row],[Fraud_Score]]&gt;=6, "High Risk",IF(Table1[[#This Row],[Fraud_Score]]&gt;=3, "Medium Risk", "Low Risk"))</f>
        <v>Medium Risk</v>
      </c>
      <c r="R2478">
        <f>IF(Table1[[#This Row],[Seconds of Use]]=0,0,Table1[[#This Row],[Customer Value]]/Table1[[#This Row],[Seconds of Use]]*100)</f>
        <v>7.1712230215827333</v>
      </c>
    </row>
    <row r="2479" spans="1:18" x14ac:dyDescent="0.35">
      <c r="A2479" s="3" t="s">
        <v>2500</v>
      </c>
      <c r="B2479">
        <v>16</v>
      </c>
      <c r="C2479">
        <v>1</v>
      </c>
      <c r="D2479">
        <v>41</v>
      </c>
      <c r="E2479">
        <v>0</v>
      </c>
      <c r="F2479">
        <v>2753</v>
      </c>
      <c r="G2479">
        <v>58</v>
      </c>
      <c r="H2479">
        <v>52</v>
      </c>
      <c r="I2479">
        <v>38</v>
      </c>
      <c r="J2479">
        <v>4</v>
      </c>
      <c r="K2479">
        <v>1</v>
      </c>
      <c r="L2479">
        <v>2</v>
      </c>
      <c r="M2479">
        <v>45</v>
      </c>
      <c r="N2479">
        <v>200.27500000000001</v>
      </c>
      <c r="O2479">
        <v>1</v>
      </c>
      <c r="P24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79" t="str">
        <f>IF(Table1[[#This Row],[Fraud_Score]]&gt;=6, "High Risk",IF(Table1[[#This Row],[Fraud_Score]]&gt;=3, "Medium Risk", "Low Risk"))</f>
        <v>Medium Risk</v>
      </c>
      <c r="R2479">
        <f>IF(Table1[[#This Row],[Seconds of Use]]=0,0,Table1[[#This Row],[Customer Value]]/Table1[[#This Row],[Seconds of Use]]*100)</f>
        <v>7.274791136941519</v>
      </c>
    </row>
    <row r="2480" spans="1:18" x14ac:dyDescent="0.35">
      <c r="A2480" s="3" t="s">
        <v>2501</v>
      </c>
      <c r="B2480">
        <v>7</v>
      </c>
      <c r="C2480">
        <v>1</v>
      </c>
      <c r="D2480">
        <v>41</v>
      </c>
      <c r="E2480">
        <v>0</v>
      </c>
      <c r="F2480">
        <v>618</v>
      </c>
      <c r="G2480">
        <v>16</v>
      </c>
      <c r="H2480">
        <v>18</v>
      </c>
      <c r="I2480">
        <v>9</v>
      </c>
      <c r="J2480">
        <v>3</v>
      </c>
      <c r="K2480">
        <v>1</v>
      </c>
      <c r="L2480">
        <v>2</v>
      </c>
      <c r="M2480">
        <v>30</v>
      </c>
      <c r="N2480">
        <v>97.36</v>
      </c>
      <c r="O2480">
        <v>1</v>
      </c>
      <c r="P24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80" t="str">
        <f>IF(Table1[[#This Row],[Fraud_Score]]&gt;=6, "High Risk",IF(Table1[[#This Row],[Fraud_Score]]&gt;=3, "Medium Risk", "Low Risk"))</f>
        <v>Medium Risk</v>
      </c>
      <c r="R2480">
        <f>IF(Table1[[#This Row],[Seconds of Use]]=0,0,Table1[[#This Row],[Customer Value]]/Table1[[#This Row],[Seconds of Use]]*100)</f>
        <v>15.754045307443365</v>
      </c>
    </row>
    <row r="2481" spans="1:18" x14ac:dyDescent="0.35">
      <c r="A2481" s="3" t="s">
        <v>2502</v>
      </c>
      <c r="B2481">
        <v>8</v>
      </c>
      <c r="C2481">
        <v>0</v>
      </c>
      <c r="D2481">
        <v>41</v>
      </c>
      <c r="E2481">
        <v>1</v>
      </c>
      <c r="F2481">
        <v>2153</v>
      </c>
      <c r="G2481">
        <v>39</v>
      </c>
      <c r="H2481">
        <v>18</v>
      </c>
      <c r="I2481">
        <v>13</v>
      </c>
      <c r="J2481">
        <v>4</v>
      </c>
      <c r="K2481">
        <v>1</v>
      </c>
      <c r="L2481">
        <v>1</v>
      </c>
      <c r="M2481">
        <v>45</v>
      </c>
      <c r="N2481">
        <v>99.8</v>
      </c>
      <c r="O2481">
        <v>0</v>
      </c>
      <c r="P24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81" t="str">
        <f>IF(Table1[[#This Row],[Fraud_Score]]&gt;=6, "High Risk",IF(Table1[[#This Row],[Fraud_Score]]&gt;=3, "Medium Risk", "Low Risk"))</f>
        <v>Low Risk</v>
      </c>
      <c r="R2481">
        <f>IF(Table1[[#This Row],[Seconds of Use]]=0,0,Table1[[#This Row],[Customer Value]]/Table1[[#This Row],[Seconds of Use]]*100)</f>
        <v>4.6353924756154203</v>
      </c>
    </row>
    <row r="2482" spans="1:18" x14ac:dyDescent="0.35">
      <c r="A2482" s="3" t="s">
        <v>2503</v>
      </c>
      <c r="B2482">
        <v>10</v>
      </c>
      <c r="C2482">
        <v>0</v>
      </c>
      <c r="D2482">
        <v>38</v>
      </c>
      <c r="E2482">
        <v>2</v>
      </c>
      <c r="F2482">
        <v>7270</v>
      </c>
      <c r="G2482">
        <v>111</v>
      </c>
      <c r="H2482">
        <v>32</v>
      </c>
      <c r="I2482">
        <v>29</v>
      </c>
      <c r="J2482">
        <v>5</v>
      </c>
      <c r="K2482">
        <v>1</v>
      </c>
      <c r="L2482">
        <v>1</v>
      </c>
      <c r="M2482">
        <v>55</v>
      </c>
      <c r="N2482">
        <v>158.715</v>
      </c>
      <c r="O2482">
        <v>0</v>
      </c>
      <c r="P24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82" t="str">
        <f>IF(Table1[[#This Row],[Fraud_Score]]&gt;=6, "High Risk",IF(Table1[[#This Row],[Fraud_Score]]&gt;=3, "Medium Risk", "Low Risk"))</f>
        <v>Low Risk</v>
      </c>
      <c r="R2482">
        <f>IF(Table1[[#This Row],[Seconds of Use]]=0,0,Table1[[#This Row],[Customer Value]]/Table1[[#This Row],[Seconds of Use]]*100)</f>
        <v>2.1831499312242091</v>
      </c>
    </row>
    <row r="2483" spans="1:18" x14ac:dyDescent="0.35">
      <c r="A2483" s="3" t="s">
        <v>2504</v>
      </c>
      <c r="B2483">
        <v>7</v>
      </c>
      <c r="C2483">
        <v>0</v>
      </c>
      <c r="D2483">
        <v>41</v>
      </c>
      <c r="E2483">
        <v>0</v>
      </c>
      <c r="F2483">
        <v>1113</v>
      </c>
      <c r="G2483">
        <v>21</v>
      </c>
      <c r="H2483">
        <v>27</v>
      </c>
      <c r="I2483">
        <v>11</v>
      </c>
      <c r="J2483">
        <v>4</v>
      </c>
      <c r="K2483">
        <v>1</v>
      </c>
      <c r="L2483">
        <v>2</v>
      </c>
      <c r="M2483">
        <v>45</v>
      </c>
      <c r="N2483">
        <v>95.85</v>
      </c>
      <c r="O2483">
        <v>1</v>
      </c>
      <c r="P24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83" t="str">
        <f>IF(Table1[[#This Row],[Fraud_Score]]&gt;=6, "High Risk",IF(Table1[[#This Row],[Fraud_Score]]&gt;=3, "Medium Risk", "Low Risk"))</f>
        <v>Low Risk</v>
      </c>
      <c r="R2483">
        <f>IF(Table1[[#This Row],[Seconds of Use]]=0,0,Table1[[#This Row],[Customer Value]]/Table1[[#This Row],[Seconds of Use]]*100)</f>
        <v>8.611859838274933</v>
      </c>
    </row>
    <row r="2484" spans="1:18" x14ac:dyDescent="0.35">
      <c r="A2484" s="3" t="s">
        <v>2505</v>
      </c>
      <c r="B2484">
        <v>7</v>
      </c>
      <c r="C2484">
        <v>0</v>
      </c>
      <c r="D2484">
        <v>41</v>
      </c>
      <c r="E2484">
        <v>2</v>
      </c>
      <c r="F2484">
        <v>823</v>
      </c>
      <c r="G2484">
        <v>18</v>
      </c>
      <c r="H2484">
        <v>22</v>
      </c>
      <c r="I2484">
        <v>9</v>
      </c>
      <c r="J2484">
        <v>5</v>
      </c>
      <c r="K2484">
        <v>1</v>
      </c>
      <c r="L2484">
        <v>1</v>
      </c>
      <c r="M2484">
        <v>55</v>
      </c>
      <c r="N2484">
        <v>45.615000000000002</v>
      </c>
      <c r="O2484">
        <v>0</v>
      </c>
      <c r="P24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84" t="str">
        <f>IF(Table1[[#This Row],[Fraud_Score]]&gt;=6, "High Risk",IF(Table1[[#This Row],[Fraud_Score]]&gt;=3, "Medium Risk", "Low Risk"))</f>
        <v>Low Risk</v>
      </c>
      <c r="R2484">
        <f>IF(Table1[[#This Row],[Seconds of Use]]=0,0,Table1[[#This Row],[Customer Value]]/Table1[[#This Row],[Seconds of Use]]*100)</f>
        <v>5.5425273390036454</v>
      </c>
    </row>
    <row r="2485" spans="1:18" x14ac:dyDescent="0.35">
      <c r="A2485" s="3" t="s">
        <v>2506</v>
      </c>
      <c r="B2485">
        <v>32</v>
      </c>
      <c r="C2485">
        <v>1</v>
      </c>
      <c r="D2485">
        <v>36</v>
      </c>
      <c r="E2485">
        <v>4</v>
      </c>
      <c r="F2485">
        <v>16560</v>
      </c>
      <c r="G2485">
        <v>252</v>
      </c>
      <c r="H2485">
        <v>18</v>
      </c>
      <c r="I2485">
        <v>87</v>
      </c>
      <c r="J2485">
        <v>2</v>
      </c>
      <c r="K2485">
        <v>2</v>
      </c>
      <c r="L2485">
        <v>1</v>
      </c>
      <c r="M2485">
        <v>25</v>
      </c>
      <c r="N2485">
        <v>837.54</v>
      </c>
      <c r="O2485">
        <v>0</v>
      </c>
      <c r="P24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7</v>
      </c>
      <c r="Q2485" t="str">
        <f>IF(Table1[[#This Row],[Fraud_Score]]&gt;=6, "High Risk",IF(Table1[[#This Row],[Fraud_Score]]&gt;=3, "Medium Risk", "Low Risk"))</f>
        <v>High Risk</v>
      </c>
      <c r="R2485">
        <f>IF(Table1[[#This Row],[Seconds of Use]]=0,0,Table1[[#This Row],[Customer Value]]/Table1[[#This Row],[Seconds of Use]]*100)</f>
        <v>5.0576086956521733</v>
      </c>
    </row>
    <row r="2486" spans="1:18" x14ac:dyDescent="0.35">
      <c r="A2486" s="3" t="s">
        <v>2507</v>
      </c>
      <c r="B2486">
        <v>13</v>
      </c>
      <c r="C2486">
        <v>0</v>
      </c>
      <c r="D2486">
        <v>39</v>
      </c>
      <c r="E2486">
        <v>4</v>
      </c>
      <c r="F2486">
        <v>7450</v>
      </c>
      <c r="G2486">
        <v>130</v>
      </c>
      <c r="H2486">
        <v>289</v>
      </c>
      <c r="I2486">
        <v>40</v>
      </c>
      <c r="J2486">
        <v>3</v>
      </c>
      <c r="K2486">
        <v>2</v>
      </c>
      <c r="L2486">
        <v>1</v>
      </c>
      <c r="M2486">
        <v>30</v>
      </c>
      <c r="N2486">
        <v>1459.2</v>
      </c>
      <c r="O2486">
        <v>0</v>
      </c>
      <c r="P24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86" t="str">
        <f>IF(Table1[[#This Row],[Fraud_Score]]&gt;=6, "High Risk",IF(Table1[[#This Row],[Fraud_Score]]&gt;=3, "Medium Risk", "Low Risk"))</f>
        <v>Low Risk</v>
      </c>
      <c r="R2486">
        <f>IF(Table1[[#This Row],[Seconds of Use]]=0,0,Table1[[#This Row],[Customer Value]]/Table1[[#This Row],[Seconds of Use]]*100)</f>
        <v>19.586577181208053</v>
      </c>
    </row>
    <row r="2487" spans="1:18" x14ac:dyDescent="0.35">
      <c r="A2487" s="3" t="s">
        <v>2508</v>
      </c>
      <c r="B2487">
        <v>9</v>
      </c>
      <c r="C2487">
        <v>0</v>
      </c>
      <c r="D2487">
        <v>41</v>
      </c>
      <c r="E2487">
        <v>1</v>
      </c>
      <c r="F2487">
        <v>4203</v>
      </c>
      <c r="G2487">
        <v>96</v>
      </c>
      <c r="H2487">
        <v>20</v>
      </c>
      <c r="I2487">
        <v>35</v>
      </c>
      <c r="J2487">
        <v>3</v>
      </c>
      <c r="K2487">
        <v>1</v>
      </c>
      <c r="L2487">
        <v>1</v>
      </c>
      <c r="M2487">
        <v>30</v>
      </c>
      <c r="N2487">
        <v>251.96</v>
      </c>
      <c r="O2487">
        <v>0</v>
      </c>
      <c r="P24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87" t="str">
        <f>IF(Table1[[#This Row],[Fraud_Score]]&gt;=6, "High Risk",IF(Table1[[#This Row],[Fraud_Score]]&gt;=3, "Medium Risk", "Low Risk"))</f>
        <v>Low Risk</v>
      </c>
      <c r="R2487">
        <f>IF(Table1[[#This Row],[Seconds of Use]]=0,0,Table1[[#This Row],[Customer Value]]/Table1[[#This Row],[Seconds of Use]]*100)</f>
        <v>5.9947656435879138</v>
      </c>
    </row>
    <row r="2488" spans="1:18" x14ac:dyDescent="0.35">
      <c r="A2488" s="3" t="s">
        <v>2509</v>
      </c>
      <c r="B2488">
        <v>10</v>
      </c>
      <c r="C2488">
        <v>0</v>
      </c>
      <c r="D2488">
        <v>40</v>
      </c>
      <c r="E2488">
        <v>0</v>
      </c>
      <c r="F2488">
        <v>2150</v>
      </c>
      <c r="G2488">
        <v>58</v>
      </c>
      <c r="H2488">
        <v>56</v>
      </c>
      <c r="I2488">
        <v>27</v>
      </c>
      <c r="J2488">
        <v>3</v>
      </c>
      <c r="K2488">
        <v>1</v>
      </c>
      <c r="L2488">
        <v>2</v>
      </c>
      <c r="M2488">
        <v>30</v>
      </c>
      <c r="N2488">
        <v>312.32</v>
      </c>
      <c r="O2488">
        <v>0</v>
      </c>
      <c r="P24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88" t="str">
        <f>IF(Table1[[#This Row],[Fraud_Score]]&gt;=6, "High Risk",IF(Table1[[#This Row],[Fraud_Score]]&gt;=3, "Medium Risk", "Low Risk"))</f>
        <v>Low Risk</v>
      </c>
      <c r="R2488">
        <f>IF(Table1[[#This Row],[Seconds of Use]]=0,0,Table1[[#This Row],[Customer Value]]/Table1[[#This Row],[Seconds of Use]]*100)</f>
        <v>14.526511627906977</v>
      </c>
    </row>
    <row r="2489" spans="1:18" x14ac:dyDescent="0.35">
      <c r="A2489" s="3" t="s">
        <v>2510</v>
      </c>
      <c r="B2489">
        <v>13</v>
      </c>
      <c r="C2489">
        <v>0</v>
      </c>
      <c r="D2489">
        <v>41</v>
      </c>
      <c r="E2489">
        <v>1</v>
      </c>
      <c r="F2489">
        <v>3265</v>
      </c>
      <c r="G2489">
        <v>67</v>
      </c>
      <c r="H2489">
        <v>193</v>
      </c>
      <c r="I2489">
        <v>30</v>
      </c>
      <c r="J2489">
        <v>2</v>
      </c>
      <c r="K2489">
        <v>1</v>
      </c>
      <c r="L2489">
        <v>1</v>
      </c>
      <c r="M2489">
        <v>25</v>
      </c>
      <c r="N2489">
        <v>1018.44</v>
      </c>
      <c r="O2489">
        <v>0</v>
      </c>
      <c r="P24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89" t="str">
        <f>IF(Table1[[#This Row],[Fraud_Score]]&gt;=6, "High Risk",IF(Table1[[#This Row],[Fraud_Score]]&gt;=3, "Medium Risk", "Low Risk"))</f>
        <v>Low Risk</v>
      </c>
      <c r="R2489">
        <f>IF(Table1[[#This Row],[Seconds of Use]]=0,0,Table1[[#This Row],[Customer Value]]/Table1[[#This Row],[Seconds of Use]]*100)</f>
        <v>31.192649310872895</v>
      </c>
    </row>
    <row r="2490" spans="1:18" x14ac:dyDescent="0.35">
      <c r="A2490" s="3" t="s">
        <v>2511</v>
      </c>
      <c r="B2490">
        <v>11</v>
      </c>
      <c r="C2490">
        <v>0</v>
      </c>
      <c r="D2490">
        <v>32</v>
      </c>
      <c r="E2490">
        <v>2</v>
      </c>
      <c r="F2490">
        <v>1800</v>
      </c>
      <c r="G2490">
        <v>50</v>
      </c>
      <c r="H2490">
        <v>211</v>
      </c>
      <c r="I2490">
        <v>18</v>
      </c>
      <c r="J2490">
        <v>3</v>
      </c>
      <c r="K2490">
        <v>2</v>
      </c>
      <c r="L2490">
        <v>1</v>
      </c>
      <c r="M2490">
        <v>30</v>
      </c>
      <c r="N2490">
        <v>918</v>
      </c>
      <c r="O2490">
        <v>0</v>
      </c>
      <c r="P24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90" t="str">
        <f>IF(Table1[[#This Row],[Fraud_Score]]&gt;=6, "High Risk",IF(Table1[[#This Row],[Fraud_Score]]&gt;=3, "Medium Risk", "Low Risk"))</f>
        <v>Low Risk</v>
      </c>
      <c r="R2490">
        <f>IF(Table1[[#This Row],[Seconds of Use]]=0,0,Table1[[#This Row],[Customer Value]]/Table1[[#This Row],[Seconds of Use]]*100)</f>
        <v>51</v>
      </c>
    </row>
    <row r="2491" spans="1:18" x14ac:dyDescent="0.35">
      <c r="A2491" s="3" t="s">
        <v>2512</v>
      </c>
      <c r="B2491">
        <v>11</v>
      </c>
      <c r="C2491">
        <v>0</v>
      </c>
      <c r="D2491">
        <v>31</v>
      </c>
      <c r="E2491">
        <v>1</v>
      </c>
      <c r="F2491">
        <v>2053</v>
      </c>
      <c r="G2491">
        <v>53</v>
      </c>
      <c r="H2491">
        <v>48</v>
      </c>
      <c r="I2491">
        <v>75</v>
      </c>
      <c r="J2491">
        <v>5</v>
      </c>
      <c r="K2491">
        <v>1</v>
      </c>
      <c r="L2491">
        <v>1</v>
      </c>
      <c r="M2491">
        <v>55</v>
      </c>
      <c r="N2491">
        <v>103.59</v>
      </c>
      <c r="O2491">
        <v>0</v>
      </c>
      <c r="P24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91" t="str">
        <f>IF(Table1[[#This Row],[Fraud_Score]]&gt;=6, "High Risk",IF(Table1[[#This Row],[Fraud_Score]]&gt;=3, "Medium Risk", "Low Risk"))</f>
        <v>Medium Risk</v>
      </c>
      <c r="R2491">
        <f>IF(Table1[[#This Row],[Seconds of Use]]=0,0,Table1[[#This Row],[Customer Value]]/Table1[[#This Row],[Seconds of Use]]*100)</f>
        <v>5.0457866536775455</v>
      </c>
    </row>
    <row r="2492" spans="1:18" x14ac:dyDescent="0.35">
      <c r="A2492" s="3" t="s">
        <v>2513</v>
      </c>
      <c r="B2492">
        <v>18</v>
      </c>
      <c r="C2492">
        <v>0</v>
      </c>
      <c r="D2492">
        <v>32</v>
      </c>
      <c r="E2492">
        <v>0</v>
      </c>
      <c r="F2492">
        <v>1185</v>
      </c>
      <c r="G2492">
        <v>39</v>
      </c>
      <c r="H2492">
        <v>28</v>
      </c>
      <c r="I2492">
        <v>14</v>
      </c>
      <c r="J2492">
        <v>3</v>
      </c>
      <c r="K2492">
        <v>1</v>
      </c>
      <c r="L2492">
        <v>2</v>
      </c>
      <c r="M2492">
        <v>30</v>
      </c>
      <c r="N2492">
        <v>160.96</v>
      </c>
      <c r="O2492">
        <v>0</v>
      </c>
      <c r="P24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492" t="str">
        <f>IF(Table1[[#This Row],[Fraud_Score]]&gt;=6, "High Risk",IF(Table1[[#This Row],[Fraud_Score]]&gt;=3, "Medium Risk", "Low Risk"))</f>
        <v>Medium Risk</v>
      </c>
      <c r="R2492">
        <f>IF(Table1[[#This Row],[Seconds of Use]]=0,0,Table1[[#This Row],[Customer Value]]/Table1[[#This Row],[Seconds of Use]]*100)</f>
        <v>13.583122362869199</v>
      </c>
    </row>
    <row r="2493" spans="1:18" x14ac:dyDescent="0.35">
      <c r="A2493" s="3" t="s">
        <v>2514</v>
      </c>
      <c r="B2493">
        <v>7</v>
      </c>
      <c r="C2493">
        <v>0</v>
      </c>
      <c r="D2493">
        <v>31</v>
      </c>
      <c r="E2493">
        <v>0</v>
      </c>
      <c r="F2493">
        <v>1310</v>
      </c>
      <c r="G2493">
        <v>24</v>
      </c>
      <c r="H2493">
        <v>39</v>
      </c>
      <c r="I2493">
        <v>10</v>
      </c>
      <c r="J2493">
        <v>4</v>
      </c>
      <c r="K2493">
        <v>1</v>
      </c>
      <c r="L2493">
        <v>2</v>
      </c>
      <c r="M2493">
        <v>45</v>
      </c>
      <c r="N2493">
        <v>130.85</v>
      </c>
      <c r="O2493">
        <v>0</v>
      </c>
      <c r="P24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493" t="str">
        <f>IF(Table1[[#This Row],[Fraud_Score]]&gt;=6, "High Risk",IF(Table1[[#This Row],[Fraud_Score]]&gt;=3, "Medium Risk", "Low Risk"))</f>
        <v>Low Risk</v>
      </c>
      <c r="R2493">
        <f>IF(Table1[[#This Row],[Seconds of Use]]=0,0,Table1[[#This Row],[Customer Value]]/Table1[[#This Row],[Seconds of Use]]*100)</f>
        <v>9.9885496183206115</v>
      </c>
    </row>
    <row r="2494" spans="1:18" x14ac:dyDescent="0.35">
      <c r="A2494" s="3" t="s">
        <v>2515</v>
      </c>
      <c r="B2494">
        <v>17</v>
      </c>
      <c r="C2494">
        <v>0</v>
      </c>
      <c r="D2494">
        <v>30</v>
      </c>
      <c r="E2494">
        <v>1</v>
      </c>
      <c r="F2494">
        <v>1710</v>
      </c>
      <c r="G2494">
        <v>46</v>
      </c>
      <c r="H2494">
        <v>37</v>
      </c>
      <c r="I2494">
        <v>20</v>
      </c>
      <c r="J2494">
        <v>2</v>
      </c>
      <c r="K2494">
        <v>1</v>
      </c>
      <c r="L2494">
        <v>1</v>
      </c>
      <c r="M2494">
        <v>25</v>
      </c>
      <c r="N2494">
        <v>245.52</v>
      </c>
      <c r="O2494">
        <v>0</v>
      </c>
      <c r="P24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94" t="str">
        <f>IF(Table1[[#This Row],[Fraud_Score]]&gt;=6, "High Risk",IF(Table1[[#This Row],[Fraud_Score]]&gt;=3, "Medium Risk", "Low Risk"))</f>
        <v>Low Risk</v>
      </c>
      <c r="R2494">
        <f>IF(Table1[[#This Row],[Seconds of Use]]=0,0,Table1[[#This Row],[Customer Value]]/Table1[[#This Row],[Seconds of Use]]*100)</f>
        <v>14.357894736842105</v>
      </c>
    </row>
    <row r="2495" spans="1:18" x14ac:dyDescent="0.35">
      <c r="A2495" s="3" t="s">
        <v>2516</v>
      </c>
      <c r="B2495">
        <v>9</v>
      </c>
      <c r="C2495">
        <v>0</v>
      </c>
      <c r="D2495">
        <v>30</v>
      </c>
      <c r="E2495">
        <v>1</v>
      </c>
      <c r="F2495">
        <v>3710</v>
      </c>
      <c r="G2495">
        <v>75</v>
      </c>
      <c r="H2495">
        <v>26</v>
      </c>
      <c r="I2495">
        <v>30</v>
      </c>
      <c r="J2495">
        <v>3</v>
      </c>
      <c r="K2495">
        <v>1</v>
      </c>
      <c r="L2495">
        <v>1</v>
      </c>
      <c r="M2495">
        <v>30</v>
      </c>
      <c r="N2495">
        <v>255.4</v>
      </c>
      <c r="O2495">
        <v>0</v>
      </c>
      <c r="P24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95" t="str">
        <f>IF(Table1[[#This Row],[Fraud_Score]]&gt;=6, "High Risk",IF(Table1[[#This Row],[Fraud_Score]]&gt;=3, "Medium Risk", "Low Risk"))</f>
        <v>Low Risk</v>
      </c>
      <c r="R2495">
        <f>IF(Table1[[#This Row],[Seconds of Use]]=0,0,Table1[[#This Row],[Customer Value]]/Table1[[#This Row],[Seconds of Use]]*100)</f>
        <v>6.8840970350404316</v>
      </c>
    </row>
    <row r="2496" spans="1:18" x14ac:dyDescent="0.35">
      <c r="A2496" s="3" t="s">
        <v>2517</v>
      </c>
      <c r="B2496">
        <v>9</v>
      </c>
      <c r="C2496">
        <v>0</v>
      </c>
      <c r="D2496">
        <v>23</v>
      </c>
      <c r="E2496">
        <v>1</v>
      </c>
      <c r="F2496">
        <v>2180</v>
      </c>
      <c r="G2496">
        <v>40</v>
      </c>
      <c r="H2496">
        <v>46</v>
      </c>
      <c r="I2496">
        <v>21</v>
      </c>
      <c r="J2496">
        <v>3</v>
      </c>
      <c r="K2496">
        <v>1</v>
      </c>
      <c r="L2496">
        <v>1</v>
      </c>
      <c r="M2496">
        <v>30</v>
      </c>
      <c r="N2496">
        <v>272.8</v>
      </c>
      <c r="O2496">
        <v>0</v>
      </c>
      <c r="P24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496" t="str">
        <f>IF(Table1[[#This Row],[Fraud_Score]]&gt;=6, "High Risk",IF(Table1[[#This Row],[Fraud_Score]]&gt;=3, "Medium Risk", "Low Risk"))</f>
        <v>Low Risk</v>
      </c>
      <c r="R2496">
        <f>IF(Table1[[#This Row],[Seconds of Use]]=0,0,Table1[[#This Row],[Customer Value]]/Table1[[#This Row],[Seconds of Use]]*100)</f>
        <v>12.513761467889909</v>
      </c>
    </row>
    <row r="2497" spans="1:18" x14ac:dyDescent="0.35">
      <c r="A2497" s="3" t="s">
        <v>2518</v>
      </c>
      <c r="B2497">
        <v>23</v>
      </c>
      <c r="C2497">
        <v>0</v>
      </c>
      <c r="D2497">
        <v>22</v>
      </c>
      <c r="E2497">
        <v>2</v>
      </c>
      <c r="F2497">
        <v>6878</v>
      </c>
      <c r="G2497">
        <v>155</v>
      </c>
      <c r="H2497">
        <v>103</v>
      </c>
      <c r="I2497">
        <v>49</v>
      </c>
      <c r="J2497">
        <v>2</v>
      </c>
      <c r="K2497">
        <v>2</v>
      </c>
      <c r="L2497">
        <v>1</v>
      </c>
      <c r="M2497">
        <v>25</v>
      </c>
      <c r="N2497">
        <v>779.98500000000001</v>
      </c>
      <c r="O2497">
        <v>0</v>
      </c>
      <c r="P24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497" t="str">
        <f>IF(Table1[[#This Row],[Fraud_Score]]&gt;=6, "High Risk",IF(Table1[[#This Row],[Fraud_Score]]&gt;=3, "Medium Risk", "Low Risk"))</f>
        <v>Medium Risk</v>
      </c>
      <c r="R2497">
        <f>IF(Table1[[#This Row],[Seconds of Use]]=0,0,Table1[[#This Row],[Customer Value]]/Table1[[#This Row],[Seconds of Use]]*100)</f>
        <v>11.340287874382089</v>
      </c>
    </row>
    <row r="2498" spans="1:18" x14ac:dyDescent="0.35">
      <c r="A2498" s="3" t="s">
        <v>2519</v>
      </c>
      <c r="B2498">
        <v>19</v>
      </c>
      <c r="C2498">
        <v>0</v>
      </c>
      <c r="D2498">
        <v>20</v>
      </c>
      <c r="E2498">
        <v>1</v>
      </c>
      <c r="F2498">
        <v>9418</v>
      </c>
      <c r="G2498">
        <v>185</v>
      </c>
      <c r="H2498">
        <v>91</v>
      </c>
      <c r="I2498">
        <v>47</v>
      </c>
      <c r="J2498">
        <v>5</v>
      </c>
      <c r="K2498">
        <v>1</v>
      </c>
      <c r="L2498">
        <v>1</v>
      </c>
      <c r="M2498">
        <v>55</v>
      </c>
      <c r="N2498">
        <v>280.54500000000002</v>
      </c>
      <c r="O2498">
        <v>0</v>
      </c>
      <c r="P24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498" t="str">
        <f>IF(Table1[[#This Row],[Fraud_Score]]&gt;=6, "High Risk",IF(Table1[[#This Row],[Fraud_Score]]&gt;=3, "Medium Risk", "Low Risk"))</f>
        <v>Medium Risk</v>
      </c>
      <c r="R2498">
        <f>IF(Table1[[#This Row],[Seconds of Use]]=0,0,Table1[[#This Row],[Customer Value]]/Table1[[#This Row],[Seconds of Use]]*100)</f>
        <v>2.9788171586324061</v>
      </c>
    </row>
    <row r="2499" spans="1:18" x14ac:dyDescent="0.35">
      <c r="A2499" s="3" t="s">
        <v>2520</v>
      </c>
      <c r="B2499">
        <v>15</v>
      </c>
      <c r="C2499">
        <v>0</v>
      </c>
      <c r="D2499">
        <v>21</v>
      </c>
      <c r="E2499">
        <v>4</v>
      </c>
      <c r="F2499">
        <v>3338</v>
      </c>
      <c r="G2499">
        <v>59</v>
      </c>
      <c r="H2499">
        <v>49</v>
      </c>
      <c r="I2499">
        <v>26</v>
      </c>
      <c r="J2499">
        <v>3</v>
      </c>
      <c r="K2499">
        <v>1</v>
      </c>
      <c r="L2499">
        <v>1</v>
      </c>
      <c r="M2499">
        <v>30</v>
      </c>
      <c r="N2499">
        <v>331.88</v>
      </c>
      <c r="O2499">
        <v>0</v>
      </c>
      <c r="P24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499" t="str">
        <f>IF(Table1[[#This Row],[Fraud_Score]]&gt;=6, "High Risk",IF(Table1[[#This Row],[Fraud_Score]]&gt;=3, "Medium Risk", "Low Risk"))</f>
        <v>Low Risk</v>
      </c>
      <c r="R2499">
        <f>IF(Table1[[#This Row],[Seconds of Use]]=0,0,Table1[[#This Row],[Customer Value]]/Table1[[#This Row],[Seconds of Use]]*100)</f>
        <v>9.942480527261834</v>
      </c>
    </row>
    <row r="2500" spans="1:18" x14ac:dyDescent="0.35">
      <c r="A2500" s="3" t="s">
        <v>2521</v>
      </c>
      <c r="B2500">
        <v>9</v>
      </c>
      <c r="C2500">
        <v>0</v>
      </c>
      <c r="D2500">
        <v>14</v>
      </c>
      <c r="E2500">
        <v>2</v>
      </c>
      <c r="F2500">
        <v>4875</v>
      </c>
      <c r="G2500">
        <v>54</v>
      </c>
      <c r="H2500">
        <v>233</v>
      </c>
      <c r="I2500">
        <v>17</v>
      </c>
      <c r="J2500">
        <v>3</v>
      </c>
      <c r="K2500">
        <v>1</v>
      </c>
      <c r="L2500">
        <v>1</v>
      </c>
      <c r="M2500">
        <v>30</v>
      </c>
      <c r="N2500">
        <v>1129.1600000000001</v>
      </c>
      <c r="O2500">
        <v>0</v>
      </c>
      <c r="P25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00" t="str">
        <f>IF(Table1[[#This Row],[Fraud_Score]]&gt;=6, "High Risk",IF(Table1[[#This Row],[Fraud_Score]]&gt;=3, "Medium Risk", "Low Risk"))</f>
        <v>Low Risk</v>
      </c>
      <c r="R2500">
        <f>IF(Table1[[#This Row],[Seconds of Use]]=0,0,Table1[[#This Row],[Customer Value]]/Table1[[#This Row],[Seconds of Use]]*100)</f>
        <v>23.162256410256411</v>
      </c>
    </row>
    <row r="2501" spans="1:18" x14ac:dyDescent="0.35">
      <c r="A2501" s="3" t="s">
        <v>2522</v>
      </c>
      <c r="B2501">
        <v>10</v>
      </c>
      <c r="C2501">
        <v>0</v>
      </c>
      <c r="D2501">
        <v>14</v>
      </c>
      <c r="E2501">
        <v>2</v>
      </c>
      <c r="F2501">
        <v>1973</v>
      </c>
      <c r="G2501">
        <v>33</v>
      </c>
      <c r="H2501">
        <v>18</v>
      </c>
      <c r="I2501">
        <v>14</v>
      </c>
      <c r="J2501">
        <v>3</v>
      </c>
      <c r="K2501">
        <v>1</v>
      </c>
      <c r="L2501">
        <v>1</v>
      </c>
      <c r="M2501">
        <v>30</v>
      </c>
      <c r="N2501">
        <v>152.24</v>
      </c>
      <c r="O2501">
        <v>1</v>
      </c>
      <c r="P25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01" t="str">
        <f>IF(Table1[[#This Row],[Fraud_Score]]&gt;=6, "High Risk",IF(Table1[[#This Row],[Fraud_Score]]&gt;=3, "Medium Risk", "Low Risk"))</f>
        <v>Low Risk</v>
      </c>
      <c r="R2501">
        <f>IF(Table1[[#This Row],[Seconds of Use]]=0,0,Table1[[#This Row],[Customer Value]]/Table1[[#This Row],[Seconds of Use]]*100)</f>
        <v>7.7161682716675113</v>
      </c>
    </row>
    <row r="2502" spans="1:18" x14ac:dyDescent="0.35">
      <c r="A2502" s="3" t="s">
        <v>2523</v>
      </c>
      <c r="B2502">
        <v>11</v>
      </c>
      <c r="C2502">
        <v>0</v>
      </c>
      <c r="D2502">
        <v>37</v>
      </c>
      <c r="E2502">
        <v>1</v>
      </c>
      <c r="F2502">
        <v>4495</v>
      </c>
      <c r="G2502">
        <v>69</v>
      </c>
      <c r="H2502">
        <v>7</v>
      </c>
      <c r="I2502">
        <v>14</v>
      </c>
      <c r="J2502">
        <v>3</v>
      </c>
      <c r="K2502">
        <v>1</v>
      </c>
      <c r="L2502">
        <v>1</v>
      </c>
      <c r="M2502">
        <v>30</v>
      </c>
      <c r="N2502">
        <v>210.56</v>
      </c>
      <c r="O2502">
        <v>0</v>
      </c>
      <c r="P25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02" t="str">
        <f>IF(Table1[[#This Row],[Fraud_Score]]&gt;=6, "High Risk",IF(Table1[[#This Row],[Fraud_Score]]&gt;=3, "Medium Risk", "Low Risk"))</f>
        <v>Low Risk</v>
      </c>
      <c r="R2502">
        <f>IF(Table1[[#This Row],[Seconds of Use]]=0,0,Table1[[#This Row],[Customer Value]]/Table1[[#This Row],[Seconds of Use]]*100)</f>
        <v>4.6843159065628477</v>
      </c>
    </row>
    <row r="2503" spans="1:18" x14ac:dyDescent="0.35">
      <c r="A2503" s="3" t="s">
        <v>2524</v>
      </c>
      <c r="B2503">
        <v>5</v>
      </c>
      <c r="C2503">
        <v>0</v>
      </c>
      <c r="D2503">
        <v>38</v>
      </c>
      <c r="E2503">
        <v>0</v>
      </c>
      <c r="F2503">
        <v>305</v>
      </c>
      <c r="G2503">
        <v>6</v>
      </c>
      <c r="H2503">
        <v>7</v>
      </c>
      <c r="I2503">
        <v>2</v>
      </c>
      <c r="J2503">
        <v>3</v>
      </c>
      <c r="K2503">
        <v>1</v>
      </c>
      <c r="L2503">
        <v>2</v>
      </c>
      <c r="M2503">
        <v>30</v>
      </c>
      <c r="N2503">
        <v>40.44</v>
      </c>
      <c r="O2503">
        <v>0</v>
      </c>
      <c r="P25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03" t="str">
        <f>IF(Table1[[#This Row],[Fraud_Score]]&gt;=6, "High Risk",IF(Table1[[#This Row],[Fraud_Score]]&gt;=3, "Medium Risk", "Low Risk"))</f>
        <v>Low Risk</v>
      </c>
      <c r="R2503">
        <f>IF(Table1[[#This Row],[Seconds of Use]]=0,0,Table1[[#This Row],[Customer Value]]/Table1[[#This Row],[Seconds of Use]]*100)</f>
        <v>13.259016393442622</v>
      </c>
    </row>
    <row r="2504" spans="1:18" x14ac:dyDescent="0.35">
      <c r="A2504" s="3" t="s">
        <v>2525</v>
      </c>
      <c r="B2504">
        <v>13</v>
      </c>
      <c r="C2504">
        <v>0</v>
      </c>
      <c r="D2504">
        <v>36</v>
      </c>
      <c r="E2504">
        <v>1</v>
      </c>
      <c r="F2504">
        <v>2578</v>
      </c>
      <c r="G2504">
        <v>58</v>
      </c>
      <c r="H2504">
        <v>355</v>
      </c>
      <c r="I2504">
        <v>21</v>
      </c>
      <c r="J2504">
        <v>3</v>
      </c>
      <c r="K2504">
        <v>1</v>
      </c>
      <c r="L2504">
        <v>1</v>
      </c>
      <c r="M2504">
        <v>30</v>
      </c>
      <c r="N2504">
        <v>1525.44</v>
      </c>
      <c r="O2504">
        <v>0</v>
      </c>
      <c r="P25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04" t="str">
        <f>IF(Table1[[#This Row],[Fraud_Score]]&gt;=6, "High Risk",IF(Table1[[#This Row],[Fraud_Score]]&gt;=3, "Medium Risk", "Low Risk"))</f>
        <v>Low Risk</v>
      </c>
      <c r="R2504">
        <f>IF(Table1[[#This Row],[Seconds of Use]]=0,0,Table1[[#This Row],[Customer Value]]/Table1[[#This Row],[Seconds of Use]]*100)</f>
        <v>59.171450737005436</v>
      </c>
    </row>
    <row r="2505" spans="1:18" x14ac:dyDescent="0.35">
      <c r="A2505" s="3" t="s">
        <v>2526</v>
      </c>
      <c r="B2505">
        <v>13</v>
      </c>
      <c r="C2505">
        <v>0</v>
      </c>
      <c r="D2505">
        <v>37</v>
      </c>
      <c r="E2505">
        <v>1</v>
      </c>
      <c r="F2505">
        <v>4323</v>
      </c>
      <c r="G2505">
        <v>64</v>
      </c>
      <c r="H2505">
        <v>7</v>
      </c>
      <c r="I2505">
        <v>32</v>
      </c>
      <c r="J2505">
        <v>1</v>
      </c>
      <c r="K2505">
        <v>1</v>
      </c>
      <c r="L2505">
        <v>1</v>
      </c>
      <c r="M2505">
        <v>15</v>
      </c>
      <c r="N2505">
        <v>279.78500000000003</v>
      </c>
      <c r="O2505">
        <v>0</v>
      </c>
      <c r="P25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05" t="str">
        <f>IF(Table1[[#This Row],[Fraud_Score]]&gt;=6, "High Risk",IF(Table1[[#This Row],[Fraud_Score]]&gt;=3, "Medium Risk", "Low Risk"))</f>
        <v>Low Risk</v>
      </c>
      <c r="R2505">
        <f>IF(Table1[[#This Row],[Seconds of Use]]=0,0,Table1[[#This Row],[Customer Value]]/Table1[[#This Row],[Seconds of Use]]*100)</f>
        <v>6.4720101781170492</v>
      </c>
    </row>
    <row r="2506" spans="1:18" x14ac:dyDescent="0.35">
      <c r="A2506" s="3" t="s">
        <v>2527</v>
      </c>
      <c r="B2506">
        <v>6</v>
      </c>
      <c r="C2506">
        <v>0</v>
      </c>
      <c r="D2506">
        <v>37</v>
      </c>
      <c r="E2506">
        <v>1</v>
      </c>
      <c r="F2506">
        <v>2518</v>
      </c>
      <c r="G2506">
        <v>56</v>
      </c>
      <c r="H2506">
        <v>7</v>
      </c>
      <c r="I2506">
        <v>30</v>
      </c>
      <c r="J2506">
        <v>2</v>
      </c>
      <c r="K2506">
        <v>1</v>
      </c>
      <c r="L2506">
        <v>1</v>
      </c>
      <c r="M2506">
        <v>25</v>
      </c>
      <c r="N2506">
        <v>147.33000000000001</v>
      </c>
      <c r="O2506">
        <v>0</v>
      </c>
      <c r="P25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06" t="str">
        <f>IF(Table1[[#This Row],[Fraud_Score]]&gt;=6, "High Risk",IF(Table1[[#This Row],[Fraud_Score]]&gt;=3, "Medium Risk", "Low Risk"))</f>
        <v>Low Risk</v>
      </c>
      <c r="R2506">
        <f>IF(Table1[[#This Row],[Seconds of Use]]=0,0,Table1[[#This Row],[Customer Value]]/Table1[[#This Row],[Seconds of Use]]*100)</f>
        <v>5.8510722795869743</v>
      </c>
    </row>
    <row r="2507" spans="1:18" x14ac:dyDescent="0.35">
      <c r="A2507" s="3" t="s">
        <v>2528</v>
      </c>
      <c r="B2507">
        <v>14</v>
      </c>
      <c r="C2507">
        <v>0</v>
      </c>
      <c r="D2507">
        <v>37</v>
      </c>
      <c r="E2507">
        <v>2</v>
      </c>
      <c r="F2507">
        <v>3900</v>
      </c>
      <c r="G2507">
        <v>80</v>
      </c>
      <c r="H2507">
        <v>28</v>
      </c>
      <c r="I2507">
        <v>25</v>
      </c>
      <c r="J2507">
        <v>3</v>
      </c>
      <c r="K2507">
        <v>1</v>
      </c>
      <c r="L2507">
        <v>1</v>
      </c>
      <c r="M2507">
        <v>30</v>
      </c>
      <c r="N2507">
        <v>271.2</v>
      </c>
      <c r="O2507">
        <v>0</v>
      </c>
      <c r="P25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07" t="str">
        <f>IF(Table1[[#This Row],[Fraud_Score]]&gt;=6, "High Risk",IF(Table1[[#This Row],[Fraud_Score]]&gt;=3, "Medium Risk", "Low Risk"))</f>
        <v>Low Risk</v>
      </c>
      <c r="R2507">
        <f>IF(Table1[[#This Row],[Seconds of Use]]=0,0,Table1[[#This Row],[Customer Value]]/Table1[[#This Row],[Seconds of Use]]*100)</f>
        <v>6.9538461538461531</v>
      </c>
    </row>
    <row r="2508" spans="1:18" x14ac:dyDescent="0.35">
      <c r="A2508" s="3" t="s">
        <v>2529</v>
      </c>
      <c r="B2508">
        <v>7</v>
      </c>
      <c r="C2508">
        <v>0</v>
      </c>
      <c r="D2508">
        <v>37</v>
      </c>
      <c r="E2508">
        <v>1</v>
      </c>
      <c r="F2508">
        <v>2485</v>
      </c>
      <c r="G2508">
        <v>37</v>
      </c>
      <c r="H2508">
        <v>281</v>
      </c>
      <c r="I2508">
        <v>15</v>
      </c>
      <c r="J2508">
        <v>3</v>
      </c>
      <c r="K2508">
        <v>1</v>
      </c>
      <c r="L2508">
        <v>1</v>
      </c>
      <c r="M2508">
        <v>30</v>
      </c>
      <c r="N2508">
        <v>1224.8800000000001</v>
      </c>
      <c r="O2508">
        <v>0</v>
      </c>
      <c r="P25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08" t="str">
        <f>IF(Table1[[#This Row],[Fraud_Score]]&gt;=6, "High Risk",IF(Table1[[#This Row],[Fraud_Score]]&gt;=3, "Medium Risk", "Low Risk"))</f>
        <v>Low Risk</v>
      </c>
      <c r="R2508">
        <f>IF(Table1[[#This Row],[Seconds of Use]]=0,0,Table1[[#This Row],[Customer Value]]/Table1[[#This Row],[Seconds of Use]]*100)</f>
        <v>49.290945674044266</v>
      </c>
    </row>
    <row r="2509" spans="1:18" x14ac:dyDescent="0.35">
      <c r="A2509" s="3" t="s">
        <v>2530</v>
      </c>
      <c r="B2509">
        <v>16</v>
      </c>
      <c r="C2509">
        <v>0</v>
      </c>
      <c r="D2509">
        <v>36</v>
      </c>
      <c r="E2509">
        <v>3</v>
      </c>
      <c r="F2509">
        <v>9240</v>
      </c>
      <c r="G2509">
        <v>119</v>
      </c>
      <c r="H2509">
        <v>140</v>
      </c>
      <c r="I2509">
        <v>40</v>
      </c>
      <c r="J2509">
        <v>3</v>
      </c>
      <c r="K2509">
        <v>1</v>
      </c>
      <c r="L2509">
        <v>1</v>
      </c>
      <c r="M2509">
        <v>30</v>
      </c>
      <c r="N2509">
        <v>934.36</v>
      </c>
      <c r="O2509">
        <v>0</v>
      </c>
      <c r="P25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09" t="str">
        <f>IF(Table1[[#This Row],[Fraud_Score]]&gt;=6, "High Risk",IF(Table1[[#This Row],[Fraud_Score]]&gt;=3, "Medium Risk", "Low Risk"))</f>
        <v>Low Risk</v>
      </c>
      <c r="R2509">
        <f>IF(Table1[[#This Row],[Seconds of Use]]=0,0,Table1[[#This Row],[Customer Value]]/Table1[[#This Row],[Seconds of Use]]*100)</f>
        <v>10.112121212121213</v>
      </c>
    </row>
    <row r="2510" spans="1:18" x14ac:dyDescent="0.35">
      <c r="A2510" s="3" t="s">
        <v>2531</v>
      </c>
      <c r="B2510">
        <v>10</v>
      </c>
      <c r="C2510">
        <v>0</v>
      </c>
      <c r="D2510">
        <v>37</v>
      </c>
      <c r="E2510">
        <v>1</v>
      </c>
      <c r="F2510">
        <v>13898</v>
      </c>
      <c r="G2510">
        <v>167</v>
      </c>
      <c r="H2510">
        <v>7</v>
      </c>
      <c r="I2510">
        <v>41</v>
      </c>
      <c r="J2510">
        <v>3</v>
      </c>
      <c r="K2510">
        <v>1</v>
      </c>
      <c r="L2510">
        <v>1</v>
      </c>
      <c r="M2510">
        <v>30</v>
      </c>
      <c r="N2510">
        <v>590.6</v>
      </c>
      <c r="O2510">
        <v>0</v>
      </c>
      <c r="P25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10" t="str">
        <f>IF(Table1[[#This Row],[Fraud_Score]]&gt;=6, "High Risk",IF(Table1[[#This Row],[Fraud_Score]]&gt;=3, "Medium Risk", "Low Risk"))</f>
        <v>Low Risk</v>
      </c>
      <c r="R2510">
        <f>IF(Table1[[#This Row],[Seconds of Use]]=0,0,Table1[[#This Row],[Customer Value]]/Table1[[#This Row],[Seconds of Use]]*100)</f>
        <v>4.249532306806735</v>
      </c>
    </row>
    <row r="2511" spans="1:18" x14ac:dyDescent="0.35">
      <c r="A2511" s="3" t="s">
        <v>2532</v>
      </c>
      <c r="B2511">
        <v>10</v>
      </c>
      <c r="C2511">
        <v>0</v>
      </c>
      <c r="D2511">
        <v>37</v>
      </c>
      <c r="E2511">
        <v>2</v>
      </c>
      <c r="F2511">
        <v>4640</v>
      </c>
      <c r="G2511">
        <v>81</v>
      </c>
      <c r="H2511">
        <v>7</v>
      </c>
      <c r="I2511">
        <v>22</v>
      </c>
      <c r="J2511">
        <v>3</v>
      </c>
      <c r="K2511">
        <v>1</v>
      </c>
      <c r="L2511">
        <v>1</v>
      </c>
      <c r="M2511">
        <v>30</v>
      </c>
      <c r="N2511">
        <v>216.84</v>
      </c>
      <c r="O2511">
        <v>0</v>
      </c>
      <c r="P25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11" t="str">
        <f>IF(Table1[[#This Row],[Fraud_Score]]&gt;=6, "High Risk",IF(Table1[[#This Row],[Fraud_Score]]&gt;=3, "Medium Risk", "Low Risk"))</f>
        <v>Low Risk</v>
      </c>
      <c r="R2511">
        <f>IF(Table1[[#This Row],[Seconds of Use]]=0,0,Table1[[#This Row],[Customer Value]]/Table1[[#This Row],[Seconds of Use]]*100)</f>
        <v>4.6732758620689658</v>
      </c>
    </row>
    <row r="2512" spans="1:18" x14ac:dyDescent="0.35">
      <c r="A2512" s="3" t="s">
        <v>2533</v>
      </c>
      <c r="B2512">
        <v>9</v>
      </c>
      <c r="C2512">
        <v>0</v>
      </c>
      <c r="D2512">
        <v>37</v>
      </c>
      <c r="E2512">
        <v>1</v>
      </c>
      <c r="F2512">
        <v>6043</v>
      </c>
      <c r="G2512">
        <v>93</v>
      </c>
      <c r="H2512">
        <v>7</v>
      </c>
      <c r="I2512">
        <v>9</v>
      </c>
      <c r="J2512">
        <v>3</v>
      </c>
      <c r="K2512">
        <v>1</v>
      </c>
      <c r="L2512">
        <v>1</v>
      </c>
      <c r="M2512">
        <v>30</v>
      </c>
      <c r="N2512">
        <v>273.44</v>
      </c>
      <c r="O2512">
        <v>0</v>
      </c>
      <c r="P25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12" t="str">
        <f>IF(Table1[[#This Row],[Fraud_Score]]&gt;=6, "High Risk",IF(Table1[[#This Row],[Fraud_Score]]&gt;=3, "Medium Risk", "Low Risk"))</f>
        <v>Low Risk</v>
      </c>
      <c r="R2512">
        <f>IF(Table1[[#This Row],[Seconds of Use]]=0,0,Table1[[#This Row],[Customer Value]]/Table1[[#This Row],[Seconds of Use]]*100)</f>
        <v>4.5249048485851402</v>
      </c>
    </row>
    <row r="2513" spans="1:18" x14ac:dyDescent="0.35">
      <c r="A2513" s="3" t="s">
        <v>2534</v>
      </c>
      <c r="B2513">
        <v>12</v>
      </c>
      <c r="C2513">
        <v>0</v>
      </c>
      <c r="D2513">
        <v>37</v>
      </c>
      <c r="E2513">
        <v>0</v>
      </c>
      <c r="F2513">
        <v>2363</v>
      </c>
      <c r="G2513">
        <v>52</v>
      </c>
      <c r="H2513">
        <v>7</v>
      </c>
      <c r="I2513">
        <v>14</v>
      </c>
      <c r="J2513">
        <v>3</v>
      </c>
      <c r="K2513">
        <v>1</v>
      </c>
      <c r="L2513">
        <v>2</v>
      </c>
      <c r="M2513">
        <v>30</v>
      </c>
      <c r="N2513">
        <v>124.6</v>
      </c>
      <c r="O2513">
        <v>0</v>
      </c>
      <c r="P25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13" t="str">
        <f>IF(Table1[[#This Row],[Fraud_Score]]&gt;=6, "High Risk",IF(Table1[[#This Row],[Fraud_Score]]&gt;=3, "Medium Risk", "Low Risk"))</f>
        <v>Medium Risk</v>
      </c>
      <c r="R2513">
        <f>IF(Table1[[#This Row],[Seconds of Use]]=0,0,Table1[[#This Row],[Customer Value]]/Table1[[#This Row],[Seconds of Use]]*100)</f>
        <v>5.2729581041049505</v>
      </c>
    </row>
    <row r="2514" spans="1:18" x14ac:dyDescent="0.35">
      <c r="A2514" s="3" t="s">
        <v>2535</v>
      </c>
      <c r="B2514">
        <v>28</v>
      </c>
      <c r="C2514">
        <v>0</v>
      </c>
      <c r="D2514">
        <v>37</v>
      </c>
      <c r="E2514">
        <v>4</v>
      </c>
      <c r="F2514">
        <v>15265</v>
      </c>
      <c r="G2514">
        <v>223</v>
      </c>
      <c r="H2514">
        <v>50</v>
      </c>
      <c r="I2514">
        <v>29</v>
      </c>
      <c r="J2514">
        <v>3</v>
      </c>
      <c r="K2514">
        <v>2</v>
      </c>
      <c r="L2514">
        <v>1</v>
      </c>
      <c r="M2514">
        <v>30</v>
      </c>
      <c r="N2514">
        <v>819.52</v>
      </c>
      <c r="O2514">
        <v>0</v>
      </c>
      <c r="P25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514" t="str">
        <f>IF(Table1[[#This Row],[Fraud_Score]]&gt;=6, "High Risk",IF(Table1[[#This Row],[Fraud_Score]]&gt;=3, "Medium Risk", "Low Risk"))</f>
        <v>Medium Risk</v>
      </c>
      <c r="R2514">
        <f>IF(Table1[[#This Row],[Seconds of Use]]=0,0,Table1[[#This Row],[Customer Value]]/Table1[[#This Row],[Seconds of Use]]*100)</f>
        <v>5.3686210284965608</v>
      </c>
    </row>
    <row r="2515" spans="1:18" x14ac:dyDescent="0.35">
      <c r="A2515" s="3" t="s">
        <v>2536</v>
      </c>
      <c r="B2515">
        <v>7</v>
      </c>
      <c r="C2515">
        <v>0</v>
      </c>
      <c r="D2515">
        <v>37</v>
      </c>
      <c r="E2515">
        <v>2</v>
      </c>
      <c r="F2515">
        <v>3220</v>
      </c>
      <c r="G2515">
        <v>25</v>
      </c>
      <c r="H2515">
        <v>479</v>
      </c>
      <c r="I2515">
        <v>5</v>
      </c>
      <c r="J2515">
        <v>3</v>
      </c>
      <c r="K2515">
        <v>1</v>
      </c>
      <c r="L2515">
        <v>1</v>
      </c>
      <c r="M2515">
        <v>30</v>
      </c>
      <c r="N2515">
        <v>2045.8</v>
      </c>
      <c r="O2515">
        <v>0</v>
      </c>
      <c r="P25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15" t="str">
        <f>IF(Table1[[#This Row],[Fraud_Score]]&gt;=6, "High Risk",IF(Table1[[#This Row],[Fraud_Score]]&gt;=3, "Medium Risk", "Low Risk"))</f>
        <v>Low Risk</v>
      </c>
      <c r="R2515">
        <f>IF(Table1[[#This Row],[Seconds of Use]]=0,0,Table1[[#This Row],[Customer Value]]/Table1[[#This Row],[Seconds of Use]]*100)</f>
        <v>63.534161490683225</v>
      </c>
    </row>
    <row r="2516" spans="1:18" x14ac:dyDescent="0.35">
      <c r="A2516" s="3" t="s">
        <v>2537</v>
      </c>
      <c r="B2516">
        <v>12</v>
      </c>
      <c r="C2516">
        <v>0</v>
      </c>
      <c r="D2516">
        <v>36</v>
      </c>
      <c r="E2516">
        <v>1</v>
      </c>
      <c r="F2516">
        <v>15610</v>
      </c>
      <c r="G2516">
        <v>180</v>
      </c>
      <c r="H2516">
        <v>146</v>
      </c>
      <c r="I2516">
        <v>27</v>
      </c>
      <c r="J2516">
        <v>2</v>
      </c>
      <c r="K2516">
        <v>1</v>
      </c>
      <c r="L2516">
        <v>1</v>
      </c>
      <c r="M2516">
        <v>25</v>
      </c>
      <c r="N2516">
        <v>1367.55</v>
      </c>
      <c r="O2516">
        <v>0</v>
      </c>
      <c r="P25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516" t="str">
        <f>IF(Table1[[#This Row],[Fraud_Score]]&gt;=6, "High Risk",IF(Table1[[#This Row],[Fraud_Score]]&gt;=3, "Medium Risk", "Low Risk"))</f>
        <v>Medium Risk</v>
      </c>
      <c r="R2516">
        <f>IF(Table1[[#This Row],[Seconds of Use]]=0,0,Table1[[#This Row],[Customer Value]]/Table1[[#This Row],[Seconds of Use]]*100)</f>
        <v>8.7607303010890458</v>
      </c>
    </row>
    <row r="2517" spans="1:18" x14ac:dyDescent="0.35">
      <c r="A2517" s="3" t="s">
        <v>2538</v>
      </c>
      <c r="B2517">
        <v>6</v>
      </c>
      <c r="C2517">
        <v>0</v>
      </c>
      <c r="D2517">
        <v>36</v>
      </c>
      <c r="E2517">
        <v>2</v>
      </c>
      <c r="F2517">
        <v>6625</v>
      </c>
      <c r="G2517">
        <v>84</v>
      </c>
      <c r="H2517">
        <v>182</v>
      </c>
      <c r="I2517">
        <v>23</v>
      </c>
      <c r="J2517">
        <v>3</v>
      </c>
      <c r="K2517">
        <v>1</v>
      </c>
      <c r="L2517">
        <v>1</v>
      </c>
      <c r="M2517">
        <v>30</v>
      </c>
      <c r="N2517">
        <v>996.36</v>
      </c>
      <c r="O2517">
        <v>0</v>
      </c>
      <c r="P25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17" t="str">
        <f>IF(Table1[[#This Row],[Fraud_Score]]&gt;=6, "High Risk",IF(Table1[[#This Row],[Fraud_Score]]&gt;=3, "Medium Risk", "Low Risk"))</f>
        <v>Low Risk</v>
      </c>
      <c r="R2517">
        <f>IF(Table1[[#This Row],[Seconds of Use]]=0,0,Table1[[#This Row],[Customer Value]]/Table1[[#This Row],[Seconds of Use]]*100)</f>
        <v>15.039396226415095</v>
      </c>
    </row>
    <row r="2518" spans="1:18" x14ac:dyDescent="0.35">
      <c r="A2518" s="3" t="s">
        <v>2539</v>
      </c>
      <c r="B2518">
        <v>5</v>
      </c>
      <c r="C2518">
        <v>0</v>
      </c>
      <c r="D2518">
        <v>36</v>
      </c>
      <c r="E2518">
        <v>0</v>
      </c>
      <c r="F2518">
        <v>1000</v>
      </c>
      <c r="G2518">
        <v>12</v>
      </c>
      <c r="H2518">
        <v>7</v>
      </c>
      <c r="I2518">
        <v>8</v>
      </c>
      <c r="J2518">
        <v>2</v>
      </c>
      <c r="K2518">
        <v>1</v>
      </c>
      <c r="L2518">
        <v>2</v>
      </c>
      <c r="M2518">
        <v>25</v>
      </c>
      <c r="N2518">
        <v>77.040000000000006</v>
      </c>
      <c r="O2518">
        <v>0</v>
      </c>
      <c r="P25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18" t="str">
        <f>IF(Table1[[#This Row],[Fraud_Score]]&gt;=6, "High Risk",IF(Table1[[#This Row],[Fraud_Score]]&gt;=3, "Medium Risk", "Low Risk"))</f>
        <v>Low Risk</v>
      </c>
      <c r="R2518">
        <f>IF(Table1[[#This Row],[Seconds of Use]]=0,0,Table1[[#This Row],[Customer Value]]/Table1[[#This Row],[Seconds of Use]]*100)</f>
        <v>7.7040000000000015</v>
      </c>
    </row>
    <row r="2519" spans="1:18" x14ac:dyDescent="0.35">
      <c r="A2519" s="3" t="s">
        <v>2540</v>
      </c>
      <c r="B2519">
        <v>5</v>
      </c>
      <c r="C2519">
        <v>0</v>
      </c>
      <c r="D2519">
        <v>37</v>
      </c>
      <c r="E2519">
        <v>0</v>
      </c>
      <c r="F2519">
        <v>835</v>
      </c>
      <c r="G2519">
        <v>12</v>
      </c>
      <c r="H2519">
        <v>9</v>
      </c>
      <c r="I2519">
        <v>5</v>
      </c>
      <c r="J2519">
        <v>3</v>
      </c>
      <c r="K2519">
        <v>1</v>
      </c>
      <c r="L2519">
        <v>2</v>
      </c>
      <c r="M2519">
        <v>30</v>
      </c>
      <c r="N2519">
        <v>69.88</v>
      </c>
      <c r="O2519">
        <v>0</v>
      </c>
      <c r="P25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19" t="str">
        <f>IF(Table1[[#This Row],[Fraud_Score]]&gt;=6, "High Risk",IF(Table1[[#This Row],[Fraud_Score]]&gt;=3, "Medium Risk", "Low Risk"))</f>
        <v>Low Risk</v>
      </c>
      <c r="R2519">
        <f>IF(Table1[[#This Row],[Seconds of Use]]=0,0,Table1[[#This Row],[Customer Value]]/Table1[[#This Row],[Seconds of Use]]*100)</f>
        <v>8.3688622754491018</v>
      </c>
    </row>
    <row r="2520" spans="1:18" x14ac:dyDescent="0.35">
      <c r="A2520" s="3" t="s">
        <v>2541</v>
      </c>
      <c r="B2520">
        <v>5</v>
      </c>
      <c r="C2520">
        <v>0</v>
      </c>
      <c r="D2520">
        <v>36</v>
      </c>
      <c r="E2520">
        <v>0</v>
      </c>
      <c r="F2520">
        <v>305</v>
      </c>
      <c r="G2520">
        <v>6</v>
      </c>
      <c r="H2520">
        <v>7</v>
      </c>
      <c r="I2520">
        <v>2</v>
      </c>
      <c r="J2520">
        <v>2</v>
      </c>
      <c r="K2520">
        <v>1</v>
      </c>
      <c r="L2520">
        <v>2</v>
      </c>
      <c r="M2520">
        <v>25</v>
      </c>
      <c r="N2520">
        <v>45.494999999999997</v>
      </c>
      <c r="O2520">
        <v>1</v>
      </c>
      <c r="P25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20" t="str">
        <f>IF(Table1[[#This Row],[Fraud_Score]]&gt;=6, "High Risk",IF(Table1[[#This Row],[Fraud_Score]]&gt;=3, "Medium Risk", "Low Risk"))</f>
        <v>Low Risk</v>
      </c>
      <c r="R2520">
        <f>IF(Table1[[#This Row],[Seconds of Use]]=0,0,Table1[[#This Row],[Customer Value]]/Table1[[#This Row],[Seconds of Use]]*100)</f>
        <v>14.916393442622949</v>
      </c>
    </row>
    <row r="2521" spans="1:18" x14ac:dyDescent="0.35">
      <c r="A2521" s="3" t="s">
        <v>2542</v>
      </c>
      <c r="B2521">
        <v>6</v>
      </c>
      <c r="C2521">
        <v>0</v>
      </c>
      <c r="D2521">
        <v>36</v>
      </c>
      <c r="E2521">
        <v>1</v>
      </c>
      <c r="F2521">
        <v>7633</v>
      </c>
      <c r="G2521">
        <v>125</v>
      </c>
      <c r="H2521">
        <v>380</v>
      </c>
      <c r="I2521">
        <v>40</v>
      </c>
      <c r="J2521">
        <v>3</v>
      </c>
      <c r="K2521">
        <v>1</v>
      </c>
      <c r="L2521">
        <v>1</v>
      </c>
      <c r="M2521">
        <v>30</v>
      </c>
      <c r="N2521">
        <v>1830.32</v>
      </c>
      <c r="O2521">
        <v>0</v>
      </c>
      <c r="P25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21" t="str">
        <f>IF(Table1[[#This Row],[Fraud_Score]]&gt;=6, "High Risk",IF(Table1[[#This Row],[Fraud_Score]]&gt;=3, "Medium Risk", "Low Risk"))</f>
        <v>Low Risk</v>
      </c>
      <c r="R2521">
        <f>IF(Table1[[#This Row],[Seconds of Use]]=0,0,Table1[[#This Row],[Customer Value]]/Table1[[#This Row],[Seconds of Use]]*100)</f>
        <v>23.979038385955718</v>
      </c>
    </row>
    <row r="2522" spans="1:18" x14ac:dyDescent="0.35">
      <c r="A2522" s="3" t="s">
        <v>2543</v>
      </c>
      <c r="B2522">
        <v>10</v>
      </c>
      <c r="C2522">
        <v>0</v>
      </c>
      <c r="D2522">
        <v>36</v>
      </c>
      <c r="E2522">
        <v>2</v>
      </c>
      <c r="F2522">
        <v>11590</v>
      </c>
      <c r="G2522">
        <v>152</v>
      </c>
      <c r="H2522">
        <v>7</v>
      </c>
      <c r="I2522">
        <v>44</v>
      </c>
      <c r="J2522">
        <v>4</v>
      </c>
      <c r="K2522">
        <v>1</v>
      </c>
      <c r="L2522">
        <v>1</v>
      </c>
      <c r="M2522">
        <v>45</v>
      </c>
      <c r="N2522">
        <v>311.05</v>
      </c>
      <c r="O2522">
        <v>0</v>
      </c>
      <c r="P25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22" t="str">
        <f>IF(Table1[[#This Row],[Fraud_Score]]&gt;=6, "High Risk",IF(Table1[[#This Row],[Fraud_Score]]&gt;=3, "Medium Risk", "Low Risk"))</f>
        <v>Low Risk</v>
      </c>
      <c r="R2522">
        <f>IF(Table1[[#This Row],[Seconds of Use]]=0,0,Table1[[#This Row],[Customer Value]]/Table1[[#This Row],[Seconds of Use]]*100)</f>
        <v>2.6837791199309753</v>
      </c>
    </row>
    <row r="2523" spans="1:18" x14ac:dyDescent="0.35">
      <c r="A2523" s="3" t="s">
        <v>2544</v>
      </c>
      <c r="B2523">
        <v>11</v>
      </c>
      <c r="C2523">
        <v>0</v>
      </c>
      <c r="D2523">
        <v>36</v>
      </c>
      <c r="E2523">
        <v>2</v>
      </c>
      <c r="F2523">
        <v>6843</v>
      </c>
      <c r="G2523">
        <v>73</v>
      </c>
      <c r="H2523">
        <v>104</v>
      </c>
      <c r="I2523">
        <v>34</v>
      </c>
      <c r="J2523">
        <v>2</v>
      </c>
      <c r="K2523">
        <v>1</v>
      </c>
      <c r="L2523">
        <v>1</v>
      </c>
      <c r="M2523">
        <v>25</v>
      </c>
      <c r="N2523">
        <v>779.22</v>
      </c>
      <c r="O2523">
        <v>0</v>
      </c>
      <c r="P25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23" t="str">
        <f>IF(Table1[[#This Row],[Fraud_Score]]&gt;=6, "High Risk",IF(Table1[[#This Row],[Fraud_Score]]&gt;=3, "Medium Risk", "Low Risk"))</f>
        <v>Low Risk</v>
      </c>
      <c r="R2523">
        <f>IF(Table1[[#This Row],[Seconds of Use]]=0,0,Table1[[#This Row],[Customer Value]]/Table1[[#This Row],[Seconds of Use]]*100)</f>
        <v>11.387110916264795</v>
      </c>
    </row>
    <row r="2524" spans="1:18" x14ac:dyDescent="0.35">
      <c r="A2524" s="3" t="s">
        <v>2545</v>
      </c>
      <c r="B2524">
        <v>26</v>
      </c>
      <c r="C2524">
        <v>1</v>
      </c>
      <c r="D2524">
        <v>32</v>
      </c>
      <c r="E2524">
        <v>0</v>
      </c>
      <c r="F2524">
        <v>1080</v>
      </c>
      <c r="G2524">
        <v>45</v>
      </c>
      <c r="H2524">
        <v>12</v>
      </c>
      <c r="I2524">
        <v>14</v>
      </c>
      <c r="J2524">
        <v>3</v>
      </c>
      <c r="K2524">
        <v>1</v>
      </c>
      <c r="L2524">
        <v>2</v>
      </c>
      <c r="M2524">
        <v>30</v>
      </c>
      <c r="N2524">
        <v>93</v>
      </c>
      <c r="O2524">
        <v>1</v>
      </c>
      <c r="P25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24" t="str">
        <f>IF(Table1[[#This Row],[Fraud_Score]]&gt;=6, "High Risk",IF(Table1[[#This Row],[Fraud_Score]]&gt;=3, "Medium Risk", "Low Risk"))</f>
        <v>Medium Risk</v>
      </c>
      <c r="R2524">
        <f>IF(Table1[[#This Row],[Seconds of Use]]=0,0,Table1[[#This Row],[Customer Value]]/Table1[[#This Row],[Seconds of Use]]*100)</f>
        <v>8.6111111111111107</v>
      </c>
    </row>
    <row r="2525" spans="1:18" x14ac:dyDescent="0.35">
      <c r="A2525" s="3" t="s">
        <v>2546</v>
      </c>
      <c r="B2525">
        <v>24</v>
      </c>
      <c r="C2525">
        <v>0</v>
      </c>
      <c r="D2525">
        <v>35</v>
      </c>
      <c r="E2525">
        <v>9</v>
      </c>
      <c r="F2525">
        <v>10560</v>
      </c>
      <c r="G2525">
        <v>91</v>
      </c>
      <c r="H2525">
        <v>7</v>
      </c>
      <c r="I2525">
        <v>39</v>
      </c>
      <c r="J2525">
        <v>5</v>
      </c>
      <c r="K2525">
        <v>1</v>
      </c>
      <c r="L2525">
        <v>1</v>
      </c>
      <c r="M2525">
        <v>55</v>
      </c>
      <c r="N2525">
        <v>170.26499999999999</v>
      </c>
      <c r="O2525">
        <v>0</v>
      </c>
      <c r="P25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25" t="str">
        <f>IF(Table1[[#This Row],[Fraud_Score]]&gt;=6, "High Risk",IF(Table1[[#This Row],[Fraud_Score]]&gt;=3, "Medium Risk", "Low Risk"))</f>
        <v>Low Risk</v>
      </c>
      <c r="R2525">
        <f>IF(Table1[[#This Row],[Seconds of Use]]=0,0,Table1[[#This Row],[Customer Value]]/Table1[[#This Row],[Seconds of Use]]*100)</f>
        <v>1.6123579545454545</v>
      </c>
    </row>
    <row r="2526" spans="1:18" x14ac:dyDescent="0.35">
      <c r="A2526" s="3" t="s">
        <v>2547</v>
      </c>
      <c r="B2526">
        <v>16</v>
      </c>
      <c r="C2526">
        <v>0</v>
      </c>
      <c r="D2526">
        <v>35</v>
      </c>
      <c r="E2526">
        <v>2</v>
      </c>
      <c r="F2526">
        <v>5943</v>
      </c>
      <c r="G2526">
        <v>96</v>
      </c>
      <c r="H2526">
        <v>22</v>
      </c>
      <c r="I2526">
        <v>21</v>
      </c>
      <c r="J2526">
        <v>2</v>
      </c>
      <c r="K2526">
        <v>1</v>
      </c>
      <c r="L2526">
        <v>1</v>
      </c>
      <c r="M2526">
        <v>25</v>
      </c>
      <c r="N2526">
        <v>370.755</v>
      </c>
      <c r="O2526">
        <v>1</v>
      </c>
      <c r="P25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26" t="str">
        <f>IF(Table1[[#This Row],[Fraud_Score]]&gt;=6, "High Risk",IF(Table1[[#This Row],[Fraud_Score]]&gt;=3, "Medium Risk", "Low Risk"))</f>
        <v>Low Risk</v>
      </c>
      <c r="R2526">
        <f>IF(Table1[[#This Row],[Seconds of Use]]=0,0,Table1[[#This Row],[Customer Value]]/Table1[[#This Row],[Seconds of Use]]*100)</f>
        <v>6.2385159010600706</v>
      </c>
    </row>
    <row r="2527" spans="1:18" x14ac:dyDescent="0.35">
      <c r="A2527" s="3" t="s">
        <v>2548</v>
      </c>
      <c r="B2527">
        <v>5</v>
      </c>
      <c r="C2527">
        <v>0</v>
      </c>
      <c r="D2527">
        <v>33</v>
      </c>
      <c r="E2527">
        <v>1</v>
      </c>
      <c r="F2527">
        <v>2965</v>
      </c>
      <c r="G2527">
        <v>20</v>
      </c>
      <c r="H2527">
        <v>7</v>
      </c>
      <c r="I2527">
        <v>11</v>
      </c>
      <c r="J2527">
        <v>3</v>
      </c>
      <c r="K2527">
        <v>1</v>
      </c>
      <c r="L2527">
        <v>1</v>
      </c>
      <c r="M2527">
        <v>30</v>
      </c>
      <c r="N2527">
        <v>147.4</v>
      </c>
      <c r="O2527">
        <v>0</v>
      </c>
      <c r="P25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27" t="str">
        <f>IF(Table1[[#This Row],[Fraud_Score]]&gt;=6, "High Risk",IF(Table1[[#This Row],[Fraud_Score]]&gt;=3, "Medium Risk", "Low Risk"))</f>
        <v>Low Risk</v>
      </c>
      <c r="R2527">
        <f>IF(Table1[[#This Row],[Seconds of Use]]=0,0,Table1[[#This Row],[Customer Value]]/Table1[[#This Row],[Seconds of Use]]*100)</f>
        <v>4.9713322091062402</v>
      </c>
    </row>
    <row r="2528" spans="1:18" x14ac:dyDescent="0.35">
      <c r="A2528" s="3" t="s">
        <v>2549</v>
      </c>
      <c r="B2528">
        <v>12</v>
      </c>
      <c r="C2528">
        <v>1</v>
      </c>
      <c r="D2528">
        <v>34</v>
      </c>
      <c r="E2528">
        <v>0</v>
      </c>
      <c r="F2528">
        <v>3115</v>
      </c>
      <c r="G2528">
        <v>39</v>
      </c>
      <c r="H2528">
        <v>7</v>
      </c>
      <c r="I2528">
        <v>13</v>
      </c>
      <c r="J2528">
        <v>3</v>
      </c>
      <c r="K2528">
        <v>1</v>
      </c>
      <c r="L2528">
        <v>2</v>
      </c>
      <c r="M2528">
        <v>30</v>
      </c>
      <c r="N2528">
        <v>154.16</v>
      </c>
      <c r="O2528">
        <v>1</v>
      </c>
      <c r="P25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28" t="str">
        <f>IF(Table1[[#This Row],[Fraud_Score]]&gt;=6, "High Risk",IF(Table1[[#This Row],[Fraud_Score]]&gt;=3, "Medium Risk", "Low Risk"))</f>
        <v>Medium Risk</v>
      </c>
      <c r="R2528">
        <f>IF(Table1[[#This Row],[Seconds of Use]]=0,0,Table1[[#This Row],[Customer Value]]/Table1[[#This Row],[Seconds of Use]]*100)</f>
        <v>4.9489566613162115</v>
      </c>
    </row>
    <row r="2529" spans="1:18" x14ac:dyDescent="0.35">
      <c r="A2529" s="3" t="s">
        <v>2550</v>
      </c>
      <c r="B2529">
        <v>12</v>
      </c>
      <c r="C2529">
        <v>0</v>
      </c>
      <c r="D2529">
        <v>35</v>
      </c>
      <c r="E2529">
        <v>0</v>
      </c>
      <c r="F2529">
        <v>2393</v>
      </c>
      <c r="G2529">
        <v>42</v>
      </c>
      <c r="H2529">
        <v>30</v>
      </c>
      <c r="I2529">
        <v>28</v>
      </c>
      <c r="J2529">
        <v>4</v>
      </c>
      <c r="K2529">
        <v>1</v>
      </c>
      <c r="L2529">
        <v>2</v>
      </c>
      <c r="M2529">
        <v>45</v>
      </c>
      <c r="N2529">
        <v>135.875</v>
      </c>
      <c r="O2529">
        <v>1</v>
      </c>
      <c r="P25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29" t="str">
        <f>IF(Table1[[#This Row],[Fraud_Score]]&gt;=6, "High Risk",IF(Table1[[#This Row],[Fraud_Score]]&gt;=3, "Medium Risk", "Low Risk"))</f>
        <v>Medium Risk</v>
      </c>
      <c r="R2529">
        <f>IF(Table1[[#This Row],[Seconds of Use]]=0,0,Table1[[#This Row],[Customer Value]]/Table1[[#This Row],[Seconds of Use]]*100)</f>
        <v>5.6780192227329707</v>
      </c>
    </row>
    <row r="2530" spans="1:18" x14ac:dyDescent="0.35">
      <c r="A2530" s="3" t="s">
        <v>2551</v>
      </c>
      <c r="B2530">
        <v>5</v>
      </c>
      <c r="C2530">
        <v>1</v>
      </c>
      <c r="D2530">
        <v>35</v>
      </c>
      <c r="E2530">
        <v>0</v>
      </c>
      <c r="F2530">
        <v>305</v>
      </c>
      <c r="G2530">
        <v>6</v>
      </c>
      <c r="H2530">
        <v>7</v>
      </c>
      <c r="I2530">
        <v>2</v>
      </c>
      <c r="J2530">
        <v>3</v>
      </c>
      <c r="K2530">
        <v>1</v>
      </c>
      <c r="L2530">
        <v>2</v>
      </c>
      <c r="M2530">
        <v>30</v>
      </c>
      <c r="N2530">
        <v>40.44</v>
      </c>
      <c r="O2530">
        <v>1</v>
      </c>
      <c r="P25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30" t="str">
        <f>IF(Table1[[#This Row],[Fraud_Score]]&gt;=6, "High Risk",IF(Table1[[#This Row],[Fraud_Score]]&gt;=3, "Medium Risk", "Low Risk"))</f>
        <v>Medium Risk</v>
      </c>
      <c r="R2530">
        <f>IF(Table1[[#This Row],[Seconds of Use]]=0,0,Table1[[#This Row],[Customer Value]]/Table1[[#This Row],[Seconds of Use]]*100)</f>
        <v>13.259016393442622</v>
      </c>
    </row>
    <row r="2531" spans="1:18" x14ac:dyDescent="0.35">
      <c r="A2531" s="3" t="s">
        <v>2552</v>
      </c>
      <c r="B2531">
        <v>5</v>
      </c>
      <c r="C2531">
        <v>0</v>
      </c>
      <c r="D2531">
        <v>35</v>
      </c>
      <c r="E2531">
        <v>1</v>
      </c>
      <c r="F2531">
        <v>1793</v>
      </c>
      <c r="G2531">
        <v>23</v>
      </c>
      <c r="H2531">
        <v>7</v>
      </c>
      <c r="I2531">
        <v>3</v>
      </c>
      <c r="J2531">
        <v>4</v>
      </c>
      <c r="K2531">
        <v>1</v>
      </c>
      <c r="L2531">
        <v>1</v>
      </c>
      <c r="M2531">
        <v>45</v>
      </c>
      <c r="N2531">
        <v>62.9</v>
      </c>
      <c r="O2531">
        <v>0</v>
      </c>
      <c r="P25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31" t="str">
        <f>IF(Table1[[#This Row],[Fraud_Score]]&gt;=6, "High Risk",IF(Table1[[#This Row],[Fraud_Score]]&gt;=3, "Medium Risk", "Low Risk"))</f>
        <v>Low Risk</v>
      </c>
      <c r="R2531">
        <f>IF(Table1[[#This Row],[Seconds of Use]]=0,0,Table1[[#This Row],[Customer Value]]/Table1[[#This Row],[Seconds of Use]]*100)</f>
        <v>3.5080870050195201</v>
      </c>
    </row>
    <row r="2532" spans="1:18" x14ac:dyDescent="0.35">
      <c r="A2532" s="3" t="s">
        <v>2553</v>
      </c>
      <c r="B2532">
        <v>6</v>
      </c>
      <c r="C2532">
        <v>0</v>
      </c>
      <c r="D2532">
        <v>32</v>
      </c>
      <c r="E2532">
        <v>2</v>
      </c>
      <c r="F2532">
        <v>6910</v>
      </c>
      <c r="G2532">
        <v>95</v>
      </c>
      <c r="H2532">
        <v>10</v>
      </c>
      <c r="I2532">
        <v>19</v>
      </c>
      <c r="J2532">
        <v>5</v>
      </c>
      <c r="K2532">
        <v>1</v>
      </c>
      <c r="L2532">
        <v>1</v>
      </c>
      <c r="M2532">
        <v>55</v>
      </c>
      <c r="N2532">
        <v>120.075</v>
      </c>
      <c r="O2532">
        <v>0</v>
      </c>
      <c r="P25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32" t="str">
        <f>IF(Table1[[#This Row],[Fraud_Score]]&gt;=6, "High Risk",IF(Table1[[#This Row],[Fraud_Score]]&gt;=3, "Medium Risk", "Low Risk"))</f>
        <v>Low Risk</v>
      </c>
      <c r="R2532">
        <f>IF(Table1[[#This Row],[Seconds of Use]]=0,0,Table1[[#This Row],[Customer Value]]/Table1[[#This Row],[Seconds of Use]]*100)</f>
        <v>1.737698986975398</v>
      </c>
    </row>
    <row r="2533" spans="1:18" x14ac:dyDescent="0.35">
      <c r="A2533" s="3" t="s">
        <v>2554</v>
      </c>
      <c r="B2533">
        <v>5</v>
      </c>
      <c r="C2533">
        <v>0</v>
      </c>
      <c r="D2533">
        <v>35</v>
      </c>
      <c r="E2533">
        <v>0</v>
      </c>
      <c r="F2533">
        <v>305</v>
      </c>
      <c r="G2533">
        <v>6</v>
      </c>
      <c r="H2533">
        <v>7</v>
      </c>
      <c r="I2533">
        <v>2</v>
      </c>
      <c r="J2533">
        <v>4</v>
      </c>
      <c r="K2533">
        <v>1</v>
      </c>
      <c r="L2533">
        <v>2</v>
      </c>
      <c r="M2533">
        <v>45</v>
      </c>
      <c r="N2533">
        <v>25.274999999999999</v>
      </c>
      <c r="O2533">
        <v>1</v>
      </c>
      <c r="P25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33" t="str">
        <f>IF(Table1[[#This Row],[Fraud_Score]]&gt;=6, "High Risk",IF(Table1[[#This Row],[Fraud_Score]]&gt;=3, "Medium Risk", "Low Risk"))</f>
        <v>Low Risk</v>
      </c>
      <c r="R2533">
        <f>IF(Table1[[#This Row],[Seconds of Use]]=0,0,Table1[[#This Row],[Customer Value]]/Table1[[#This Row],[Seconds of Use]]*100)</f>
        <v>8.2868852459016384</v>
      </c>
    </row>
    <row r="2534" spans="1:18" x14ac:dyDescent="0.35">
      <c r="A2534" s="3" t="s">
        <v>2555</v>
      </c>
      <c r="B2534">
        <v>5</v>
      </c>
      <c r="C2534">
        <v>0</v>
      </c>
      <c r="D2534">
        <v>35</v>
      </c>
      <c r="E2534">
        <v>1</v>
      </c>
      <c r="F2534">
        <v>305</v>
      </c>
      <c r="G2534">
        <v>6</v>
      </c>
      <c r="H2534">
        <v>7</v>
      </c>
      <c r="I2534">
        <v>2</v>
      </c>
      <c r="J2534">
        <v>5</v>
      </c>
      <c r="K2534">
        <v>1</v>
      </c>
      <c r="L2534">
        <v>1</v>
      </c>
      <c r="M2534">
        <v>55</v>
      </c>
      <c r="N2534">
        <v>15.164999999999999</v>
      </c>
      <c r="O2534">
        <v>0</v>
      </c>
      <c r="P25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34" t="str">
        <f>IF(Table1[[#This Row],[Fraud_Score]]&gt;=6, "High Risk",IF(Table1[[#This Row],[Fraud_Score]]&gt;=3, "Medium Risk", "Low Risk"))</f>
        <v>Low Risk</v>
      </c>
      <c r="R2534">
        <f>IF(Table1[[#This Row],[Seconds of Use]]=0,0,Table1[[#This Row],[Customer Value]]/Table1[[#This Row],[Seconds of Use]]*100)</f>
        <v>4.9721311475409831</v>
      </c>
    </row>
    <row r="2535" spans="1:18" x14ac:dyDescent="0.35">
      <c r="A2535" s="3" t="s">
        <v>2556</v>
      </c>
      <c r="B2535">
        <v>28</v>
      </c>
      <c r="C2535">
        <v>0</v>
      </c>
      <c r="D2535">
        <v>30</v>
      </c>
      <c r="E2535">
        <v>4</v>
      </c>
      <c r="F2535">
        <v>16200</v>
      </c>
      <c r="G2535">
        <v>236</v>
      </c>
      <c r="H2535">
        <v>7</v>
      </c>
      <c r="I2535">
        <v>77</v>
      </c>
      <c r="J2535">
        <v>2</v>
      </c>
      <c r="K2535">
        <v>2</v>
      </c>
      <c r="L2535">
        <v>1</v>
      </c>
      <c r="M2535">
        <v>25</v>
      </c>
      <c r="N2535">
        <v>771.12</v>
      </c>
      <c r="O2535">
        <v>0</v>
      </c>
      <c r="P25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35" t="str">
        <f>IF(Table1[[#This Row],[Fraud_Score]]&gt;=6, "High Risk",IF(Table1[[#This Row],[Fraud_Score]]&gt;=3, "Medium Risk", "Low Risk"))</f>
        <v>Medium Risk</v>
      </c>
      <c r="R2535">
        <f>IF(Table1[[#This Row],[Seconds of Use]]=0,0,Table1[[#This Row],[Customer Value]]/Table1[[#This Row],[Seconds of Use]]*100)</f>
        <v>4.7600000000000007</v>
      </c>
    </row>
    <row r="2536" spans="1:18" x14ac:dyDescent="0.35">
      <c r="A2536" s="3" t="s">
        <v>2557</v>
      </c>
      <c r="B2536">
        <v>9</v>
      </c>
      <c r="C2536">
        <v>0</v>
      </c>
      <c r="D2536">
        <v>33</v>
      </c>
      <c r="E2536">
        <v>4</v>
      </c>
      <c r="F2536">
        <v>7090</v>
      </c>
      <c r="G2536">
        <v>114</v>
      </c>
      <c r="H2536">
        <v>267</v>
      </c>
      <c r="I2536">
        <v>30</v>
      </c>
      <c r="J2536">
        <v>3</v>
      </c>
      <c r="K2536">
        <v>2</v>
      </c>
      <c r="L2536">
        <v>1</v>
      </c>
      <c r="M2536">
        <v>30</v>
      </c>
      <c r="N2536">
        <v>1356.16</v>
      </c>
      <c r="O2536">
        <v>0</v>
      </c>
      <c r="P25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36" t="str">
        <f>IF(Table1[[#This Row],[Fraud_Score]]&gt;=6, "High Risk",IF(Table1[[#This Row],[Fraud_Score]]&gt;=3, "Medium Risk", "Low Risk"))</f>
        <v>Low Risk</v>
      </c>
      <c r="R2536">
        <f>IF(Table1[[#This Row],[Seconds of Use]]=0,0,Table1[[#This Row],[Customer Value]]/Table1[[#This Row],[Seconds of Use]]*100)</f>
        <v>19.127785613540198</v>
      </c>
    </row>
    <row r="2537" spans="1:18" x14ac:dyDescent="0.35">
      <c r="A2537" s="3" t="s">
        <v>2558</v>
      </c>
      <c r="B2537">
        <v>5</v>
      </c>
      <c r="C2537">
        <v>0</v>
      </c>
      <c r="D2537">
        <v>35</v>
      </c>
      <c r="E2537">
        <v>1</v>
      </c>
      <c r="F2537">
        <v>3843</v>
      </c>
      <c r="G2537">
        <v>80</v>
      </c>
      <c r="H2537">
        <v>7</v>
      </c>
      <c r="I2537">
        <v>25</v>
      </c>
      <c r="J2537">
        <v>3</v>
      </c>
      <c r="K2537">
        <v>1</v>
      </c>
      <c r="L2537">
        <v>1</v>
      </c>
      <c r="M2537">
        <v>30</v>
      </c>
      <c r="N2537">
        <v>184.92</v>
      </c>
      <c r="O2537">
        <v>0</v>
      </c>
      <c r="P25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37" t="str">
        <f>IF(Table1[[#This Row],[Fraud_Score]]&gt;=6, "High Risk",IF(Table1[[#This Row],[Fraud_Score]]&gt;=3, "Medium Risk", "Low Risk"))</f>
        <v>Low Risk</v>
      </c>
      <c r="R2537">
        <f>IF(Table1[[#This Row],[Seconds of Use]]=0,0,Table1[[#This Row],[Customer Value]]/Table1[[#This Row],[Seconds of Use]]*100)</f>
        <v>4.8118657298985168</v>
      </c>
    </row>
    <row r="2538" spans="1:18" x14ac:dyDescent="0.35">
      <c r="A2538" s="3" t="s">
        <v>2559</v>
      </c>
      <c r="B2538">
        <v>6</v>
      </c>
      <c r="C2538">
        <v>0</v>
      </c>
      <c r="D2538">
        <v>34</v>
      </c>
      <c r="E2538">
        <v>0</v>
      </c>
      <c r="F2538">
        <v>1790</v>
      </c>
      <c r="G2538">
        <v>42</v>
      </c>
      <c r="H2538">
        <v>34</v>
      </c>
      <c r="I2538">
        <v>17</v>
      </c>
      <c r="J2538">
        <v>3</v>
      </c>
      <c r="K2538">
        <v>1</v>
      </c>
      <c r="L2538">
        <v>2</v>
      </c>
      <c r="M2538">
        <v>30</v>
      </c>
      <c r="N2538">
        <v>209.28</v>
      </c>
      <c r="O2538">
        <v>0</v>
      </c>
      <c r="P25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38" t="str">
        <f>IF(Table1[[#This Row],[Fraud_Score]]&gt;=6, "High Risk",IF(Table1[[#This Row],[Fraud_Score]]&gt;=3, "Medium Risk", "Low Risk"))</f>
        <v>Low Risk</v>
      </c>
      <c r="R2538">
        <f>IF(Table1[[#This Row],[Seconds of Use]]=0,0,Table1[[#This Row],[Customer Value]]/Table1[[#This Row],[Seconds of Use]]*100)</f>
        <v>11.691620111731844</v>
      </c>
    </row>
    <row r="2539" spans="1:18" x14ac:dyDescent="0.35">
      <c r="A2539" s="3" t="s">
        <v>2560</v>
      </c>
      <c r="B2539">
        <v>9</v>
      </c>
      <c r="C2539">
        <v>0</v>
      </c>
      <c r="D2539">
        <v>35</v>
      </c>
      <c r="E2539">
        <v>1</v>
      </c>
      <c r="F2539">
        <v>2905</v>
      </c>
      <c r="G2539">
        <v>51</v>
      </c>
      <c r="H2539">
        <v>171</v>
      </c>
      <c r="I2539">
        <v>20</v>
      </c>
      <c r="J2539">
        <v>2</v>
      </c>
      <c r="K2539">
        <v>1</v>
      </c>
      <c r="L2539">
        <v>1</v>
      </c>
      <c r="M2539">
        <v>25</v>
      </c>
      <c r="N2539">
        <v>902.52</v>
      </c>
      <c r="O2539">
        <v>0</v>
      </c>
      <c r="P25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39" t="str">
        <f>IF(Table1[[#This Row],[Fraud_Score]]&gt;=6, "High Risk",IF(Table1[[#This Row],[Fraud_Score]]&gt;=3, "Medium Risk", "Low Risk"))</f>
        <v>Low Risk</v>
      </c>
      <c r="R2539">
        <f>IF(Table1[[#This Row],[Seconds of Use]]=0,0,Table1[[#This Row],[Customer Value]]/Table1[[#This Row],[Seconds of Use]]*100)</f>
        <v>31.067814113597247</v>
      </c>
    </row>
    <row r="2540" spans="1:18" x14ac:dyDescent="0.35">
      <c r="A2540" s="3" t="s">
        <v>2561</v>
      </c>
      <c r="B2540">
        <v>7</v>
      </c>
      <c r="C2540">
        <v>0</v>
      </c>
      <c r="D2540">
        <v>26</v>
      </c>
      <c r="E2540">
        <v>2</v>
      </c>
      <c r="F2540">
        <v>1440</v>
      </c>
      <c r="G2540">
        <v>34</v>
      </c>
      <c r="H2540">
        <v>189</v>
      </c>
      <c r="I2540">
        <v>8</v>
      </c>
      <c r="J2540">
        <v>3</v>
      </c>
      <c r="K2540">
        <v>2</v>
      </c>
      <c r="L2540">
        <v>1</v>
      </c>
      <c r="M2540">
        <v>30</v>
      </c>
      <c r="N2540">
        <v>814.96</v>
      </c>
      <c r="O2540">
        <v>0</v>
      </c>
      <c r="P25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40" t="str">
        <f>IF(Table1[[#This Row],[Fraud_Score]]&gt;=6, "High Risk",IF(Table1[[#This Row],[Fraud_Score]]&gt;=3, "Medium Risk", "Low Risk"))</f>
        <v>Low Risk</v>
      </c>
      <c r="R2540">
        <f>IF(Table1[[#This Row],[Seconds of Use]]=0,0,Table1[[#This Row],[Customer Value]]/Table1[[#This Row],[Seconds of Use]]*100)</f>
        <v>56.594444444444449</v>
      </c>
    </row>
    <row r="2541" spans="1:18" x14ac:dyDescent="0.35">
      <c r="A2541" s="3" t="s">
        <v>2562</v>
      </c>
      <c r="B2541">
        <v>7</v>
      </c>
      <c r="C2541">
        <v>0</v>
      </c>
      <c r="D2541">
        <v>25</v>
      </c>
      <c r="E2541">
        <v>1</v>
      </c>
      <c r="F2541">
        <v>1693</v>
      </c>
      <c r="G2541">
        <v>37</v>
      </c>
      <c r="H2541">
        <v>26</v>
      </c>
      <c r="I2541">
        <v>65</v>
      </c>
      <c r="J2541">
        <v>5</v>
      </c>
      <c r="K2541">
        <v>1</v>
      </c>
      <c r="L2541">
        <v>1</v>
      </c>
      <c r="M2541">
        <v>55</v>
      </c>
      <c r="N2541">
        <v>64.95</v>
      </c>
      <c r="O2541">
        <v>0</v>
      </c>
      <c r="P25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41" t="str">
        <f>IF(Table1[[#This Row],[Fraud_Score]]&gt;=6, "High Risk",IF(Table1[[#This Row],[Fraud_Score]]&gt;=3, "Medium Risk", "Low Risk"))</f>
        <v>Low Risk</v>
      </c>
      <c r="R2541">
        <f>IF(Table1[[#This Row],[Seconds of Use]]=0,0,Table1[[#This Row],[Customer Value]]/Table1[[#This Row],[Seconds of Use]]*100)</f>
        <v>3.8363851151801533</v>
      </c>
    </row>
    <row r="2542" spans="1:18" x14ac:dyDescent="0.35">
      <c r="A2542" s="3" t="s">
        <v>2563</v>
      </c>
      <c r="B2542">
        <v>14</v>
      </c>
      <c r="C2542">
        <v>0</v>
      </c>
      <c r="D2542">
        <v>26</v>
      </c>
      <c r="E2542">
        <v>0</v>
      </c>
      <c r="F2542">
        <v>825</v>
      </c>
      <c r="G2542">
        <v>23</v>
      </c>
      <c r="H2542">
        <v>7</v>
      </c>
      <c r="I2542">
        <v>4</v>
      </c>
      <c r="J2542">
        <v>3</v>
      </c>
      <c r="K2542">
        <v>1</v>
      </c>
      <c r="L2542">
        <v>2</v>
      </c>
      <c r="M2542">
        <v>30</v>
      </c>
      <c r="N2542">
        <v>61.92</v>
      </c>
      <c r="O2542">
        <v>0</v>
      </c>
      <c r="P25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42" t="str">
        <f>IF(Table1[[#This Row],[Fraud_Score]]&gt;=6, "High Risk",IF(Table1[[#This Row],[Fraud_Score]]&gt;=3, "Medium Risk", "Low Risk"))</f>
        <v>Medium Risk</v>
      </c>
      <c r="R2542">
        <f>IF(Table1[[#This Row],[Seconds of Use]]=0,0,Table1[[#This Row],[Customer Value]]/Table1[[#This Row],[Seconds of Use]]*100)</f>
        <v>7.5054545454545458</v>
      </c>
    </row>
    <row r="2543" spans="1:18" x14ac:dyDescent="0.35">
      <c r="A2543" s="3" t="s">
        <v>2564</v>
      </c>
      <c r="B2543">
        <v>5</v>
      </c>
      <c r="C2543">
        <v>0</v>
      </c>
      <c r="D2543">
        <v>25</v>
      </c>
      <c r="E2543">
        <v>0</v>
      </c>
      <c r="F2543">
        <v>305</v>
      </c>
      <c r="G2543">
        <v>6</v>
      </c>
      <c r="H2543">
        <v>17</v>
      </c>
      <c r="I2543">
        <v>2</v>
      </c>
      <c r="J2543">
        <v>4</v>
      </c>
      <c r="K2543">
        <v>1</v>
      </c>
      <c r="L2543">
        <v>2</v>
      </c>
      <c r="M2543">
        <v>45</v>
      </c>
      <c r="N2543">
        <v>50.274999999999999</v>
      </c>
      <c r="O2543">
        <v>0</v>
      </c>
      <c r="P25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43" t="str">
        <f>IF(Table1[[#This Row],[Fraud_Score]]&gt;=6, "High Risk",IF(Table1[[#This Row],[Fraud_Score]]&gt;=3, "Medium Risk", "Low Risk"))</f>
        <v>Low Risk</v>
      </c>
      <c r="R2543">
        <f>IF(Table1[[#This Row],[Seconds of Use]]=0,0,Table1[[#This Row],[Customer Value]]/Table1[[#This Row],[Seconds of Use]]*100)</f>
        <v>16.483606557377048</v>
      </c>
    </row>
    <row r="2544" spans="1:18" x14ac:dyDescent="0.35">
      <c r="A2544" s="3" t="s">
        <v>2565</v>
      </c>
      <c r="B2544">
        <v>13</v>
      </c>
      <c r="C2544">
        <v>0</v>
      </c>
      <c r="D2544">
        <v>24</v>
      </c>
      <c r="E2544">
        <v>1</v>
      </c>
      <c r="F2544">
        <v>1350</v>
      </c>
      <c r="G2544">
        <v>30</v>
      </c>
      <c r="H2544">
        <v>15</v>
      </c>
      <c r="I2544">
        <v>10</v>
      </c>
      <c r="J2544">
        <v>2</v>
      </c>
      <c r="K2544">
        <v>1</v>
      </c>
      <c r="L2544">
        <v>1</v>
      </c>
      <c r="M2544">
        <v>25</v>
      </c>
      <c r="N2544">
        <v>129.6</v>
      </c>
      <c r="O2544">
        <v>0</v>
      </c>
      <c r="P25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44" t="str">
        <f>IF(Table1[[#This Row],[Fraud_Score]]&gt;=6, "High Risk",IF(Table1[[#This Row],[Fraud_Score]]&gt;=3, "Medium Risk", "Low Risk"))</f>
        <v>Low Risk</v>
      </c>
      <c r="R2544">
        <f>IF(Table1[[#This Row],[Seconds of Use]]=0,0,Table1[[#This Row],[Customer Value]]/Table1[[#This Row],[Seconds of Use]]*100)</f>
        <v>9.6</v>
      </c>
    </row>
    <row r="2545" spans="1:18" x14ac:dyDescent="0.35">
      <c r="A2545" s="3" t="s">
        <v>2566</v>
      </c>
      <c r="B2545">
        <v>5</v>
      </c>
      <c r="C2545">
        <v>0</v>
      </c>
      <c r="D2545">
        <v>24</v>
      </c>
      <c r="E2545">
        <v>1</v>
      </c>
      <c r="F2545">
        <v>3350</v>
      </c>
      <c r="G2545">
        <v>59</v>
      </c>
      <c r="H2545">
        <v>7</v>
      </c>
      <c r="I2545">
        <v>20</v>
      </c>
      <c r="J2545">
        <v>3</v>
      </c>
      <c r="K2545">
        <v>1</v>
      </c>
      <c r="L2545">
        <v>1</v>
      </c>
      <c r="M2545">
        <v>30</v>
      </c>
      <c r="N2545">
        <v>164.36</v>
      </c>
      <c r="O2545">
        <v>0</v>
      </c>
      <c r="P25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45" t="str">
        <f>IF(Table1[[#This Row],[Fraud_Score]]&gt;=6, "High Risk",IF(Table1[[#This Row],[Fraud_Score]]&gt;=3, "Medium Risk", "Low Risk"))</f>
        <v>Low Risk</v>
      </c>
      <c r="R2545">
        <f>IF(Table1[[#This Row],[Seconds of Use]]=0,0,Table1[[#This Row],[Customer Value]]/Table1[[#This Row],[Seconds of Use]]*100)</f>
        <v>4.9062686567164189</v>
      </c>
    </row>
    <row r="2546" spans="1:18" x14ac:dyDescent="0.35">
      <c r="A2546" s="3" t="s">
        <v>2567</v>
      </c>
      <c r="B2546">
        <v>5</v>
      </c>
      <c r="C2546">
        <v>0</v>
      </c>
      <c r="D2546">
        <v>17</v>
      </c>
      <c r="E2546">
        <v>1</v>
      </c>
      <c r="F2546">
        <v>1820</v>
      </c>
      <c r="G2546">
        <v>24</v>
      </c>
      <c r="H2546">
        <v>24</v>
      </c>
      <c r="I2546">
        <v>11</v>
      </c>
      <c r="J2546">
        <v>3</v>
      </c>
      <c r="K2546">
        <v>1</v>
      </c>
      <c r="L2546">
        <v>1</v>
      </c>
      <c r="M2546">
        <v>30</v>
      </c>
      <c r="N2546">
        <v>169.76</v>
      </c>
      <c r="O2546">
        <v>0</v>
      </c>
      <c r="P25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46" t="str">
        <f>IF(Table1[[#This Row],[Fraud_Score]]&gt;=6, "High Risk",IF(Table1[[#This Row],[Fraud_Score]]&gt;=3, "Medium Risk", "Low Risk"))</f>
        <v>Low Risk</v>
      </c>
      <c r="R2546">
        <f>IF(Table1[[#This Row],[Seconds of Use]]=0,0,Table1[[#This Row],[Customer Value]]/Table1[[#This Row],[Seconds of Use]]*100)</f>
        <v>9.3274725274725281</v>
      </c>
    </row>
    <row r="2547" spans="1:18" x14ac:dyDescent="0.35">
      <c r="A2547" s="3" t="s">
        <v>2568</v>
      </c>
      <c r="B2547">
        <v>19</v>
      </c>
      <c r="C2547">
        <v>0</v>
      </c>
      <c r="D2547">
        <v>16</v>
      </c>
      <c r="E2547">
        <v>2</v>
      </c>
      <c r="F2547">
        <v>6518</v>
      </c>
      <c r="G2547">
        <v>139</v>
      </c>
      <c r="H2547">
        <v>81</v>
      </c>
      <c r="I2547">
        <v>39</v>
      </c>
      <c r="J2547">
        <v>2</v>
      </c>
      <c r="K2547">
        <v>2</v>
      </c>
      <c r="L2547">
        <v>1</v>
      </c>
      <c r="M2547">
        <v>25</v>
      </c>
      <c r="N2547">
        <v>664.06500000000005</v>
      </c>
      <c r="O2547">
        <v>0</v>
      </c>
      <c r="P25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547" t="str">
        <f>IF(Table1[[#This Row],[Fraud_Score]]&gt;=6, "High Risk",IF(Table1[[#This Row],[Fraud_Score]]&gt;=3, "Medium Risk", "Low Risk"))</f>
        <v>Medium Risk</v>
      </c>
      <c r="R2547">
        <f>IF(Table1[[#This Row],[Seconds of Use]]=0,0,Table1[[#This Row],[Customer Value]]/Table1[[#This Row],[Seconds of Use]]*100)</f>
        <v>10.188171218165081</v>
      </c>
    </row>
    <row r="2548" spans="1:18" x14ac:dyDescent="0.35">
      <c r="A2548" s="3" t="s">
        <v>2569</v>
      </c>
      <c r="B2548">
        <v>15</v>
      </c>
      <c r="C2548">
        <v>0</v>
      </c>
      <c r="D2548">
        <v>14</v>
      </c>
      <c r="E2548">
        <v>1</v>
      </c>
      <c r="F2548">
        <v>9058</v>
      </c>
      <c r="G2548">
        <v>169</v>
      </c>
      <c r="H2548">
        <v>69</v>
      </c>
      <c r="I2548">
        <v>37</v>
      </c>
      <c r="J2548">
        <v>5</v>
      </c>
      <c r="K2548">
        <v>1</v>
      </c>
      <c r="L2548">
        <v>1</v>
      </c>
      <c r="M2548">
        <v>55</v>
      </c>
      <c r="N2548">
        <v>241.905</v>
      </c>
      <c r="O2548">
        <v>0</v>
      </c>
      <c r="P25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548" t="str">
        <f>IF(Table1[[#This Row],[Fraud_Score]]&gt;=6, "High Risk",IF(Table1[[#This Row],[Fraud_Score]]&gt;=3, "Medium Risk", "Low Risk"))</f>
        <v>Medium Risk</v>
      </c>
      <c r="R2548">
        <f>IF(Table1[[#This Row],[Seconds of Use]]=0,0,Table1[[#This Row],[Customer Value]]/Table1[[#This Row],[Seconds of Use]]*100)</f>
        <v>2.6706226540075071</v>
      </c>
    </row>
    <row r="2549" spans="1:18" x14ac:dyDescent="0.35">
      <c r="A2549" s="3" t="s">
        <v>2570</v>
      </c>
      <c r="B2549">
        <v>11</v>
      </c>
      <c r="C2549">
        <v>0</v>
      </c>
      <c r="D2549">
        <v>15</v>
      </c>
      <c r="E2549">
        <v>4</v>
      </c>
      <c r="F2549">
        <v>2978</v>
      </c>
      <c r="G2549">
        <v>43</v>
      </c>
      <c r="H2549">
        <v>27</v>
      </c>
      <c r="I2549">
        <v>16</v>
      </c>
      <c r="J2549">
        <v>3</v>
      </c>
      <c r="K2549">
        <v>1</v>
      </c>
      <c r="L2549">
        <v>1</v>
      </c>
      <c r="M2549">
        <v>30</v>
      </c>
      <c r="N2549">
        <v>228.84</v>
      </c>
      <c r="O2549">
        <v>0</v>
      </c>
      <c r="P25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49" t="str">
        <f>IF(Table1[[#This Row],[Fraud_Score]]&gt;=6, "High Risk",IF(Table1[[#This Row],[Fraud_Score]]&gt;=3, "Medium Risk", "Low Risk"))</f>
        <v>Low Risk</v>
      </c>
      <c r="R2549">
        <f>IF(Table1[[#This Row],[Seconds of Use]]=0,0,Table1[[#This Row],[Customer Value]]/Table1[[#This Row],[Seconds of Use]]*100)</f>
        <v>7.6843519140362666</v>
      </c>
    </row>
    <row r="2550" spans="1:18" x14ac:dyDescent="0.35">
      <c r="A2550" s="3" t="s">
        <v>2571</v>
      </c>
      <c r="B2550">
        <v>5</v>
      </c>
      <c r="C2550">
        <v>0</v>
      </c>
      <c r="D2550">
        <v>8</v>
      </c>
      <c r="E2550">
        <v>2</v>
      </c>
      <c r="F2550">
        <v>4515</v>
      </c>
      <c r="G2550">
        <v>38</v>
      </c>
      <c r="H2550">
        <v>211</v>
      </c>
      <c r="I2550">
        <v>7</v>
      </c>
      <c r="J2550">
        <v>3</v>
      </c>
      <c r="K2550">
        <v>1</v>
      </c>
      <c r="L2550">
        <v>1</v>
      </c>
      <c r="M2550">
        <v>30</v>
      </c>
      <c r="N2550">
        <v>1026.1199999999999</v>
      </c>
      <c r="O2550">
        <v>0</v>
      </c>
      <c r="P25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50" t="str">
        <f>IF(Table1[[#This Row],[Fraud_Score]]&gt;=6, "High Risk",IF(Table1[[#This Row],[Fraud_Score]]&gt;=3, "Medium Risk", "Low Risk"))</f>
        <v>Low Risk</v>
      </c>
      <c r="R2550">
        <f>IF(Table1[[#This Row],[Seconds of Use]]=0,0,Table1[[#This Row],[Customer Value]]/Table1[[#This Row],[Seconds of Use]]*100)</f>
        <v>22.726910299003318</v>
      </c>
    </row>
    <row r="2551" spans="1:18" x14ac:dyDescent="0.35">
      <c r="A2551" s="3" t="s">
        <v>2572</v>
      </c>
      <c r="B2551">
        <v>6</v>
      </c>
      <c r="C2551">
        <v>1</v>
      </c>
      <c r="D2551">
        <v>8</v>
      </c>
      <c r="E2551">
        <v>2</v>
      </c>
      <c r="F2551">
        <v>1613</v>
      </c>
      <c r="G2551">
        <v>17</v>
      </c>
      <c r="H2551">
        <v>7</v>
      </c>
      <c r="I2551">
        <v>4</v>
      </c>
      <c r="J2551">
        <v>3</v>
      </c>
      <c r="K2551">
        <v>1</v>
      </c>
      <c r="L2551">
        <v>1</v>
      </c>
      <c r="M2551">
        <v>30</v>
      </c>
      <c r="N2551">
        <v>93.2</v>
      </c>
      <c r="O2551">
        <v>1</v>
      </c>
      <c r="P25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51" t="str">
        <f>IF(Table1[[#This Row],[Fraud_Score]]&gt;=6, "High Risk",IF(Table1[[#This Row],[Fraud_Score]]&gt;=3, "Medium Risk", "Low Risk"))</f>
        <v>Low Risk</v>
      </c>
      <c r="R2551">
        <f>IF(Table1[[#This Row],[Seconds of Use]]=0,0,Table1[[#This Row],[Customer Value]]/Table1[[#This Row],[Seconds of Use]]*100)</f>
        <v>5.7780533168009924</v>
      </c>
    </row>
    <row r="2552" spans="1:18" x14ac:dyDescent="0.35">
      <c r="A2552" s="3" t="s">
        <v>2573</v>
      </c>
      <c r="B2552">
        <v>17</v>
      </c>
      <c r="C2552">
        <v>0</v>
      </c>
      <c r="D2552">
        <v>40</v>
      </c>
      <c r="E2552">
        <v>3</v>
      </c>
      <c r="F2552">
        <v>5275</v>
      </c>
      <c r="G2552">
        <v>87</v>
      </c>
      <c r="H2552">
        <v>33</v>
      </c>
      <c r="I2552">
        <v>34</v>
      </c>
      <c r="J2552">
        <v>3</v>
      </c>
      <c r="K2552">
        <v>1</v>
      </c>
      <c r="L2552">
        <v>1</v>
      </c>
      <c r="M2552">
        <v>30</v>
      </c>
      <c r="N2552">
        <v>346.48</v>
      </c>
      <c r="O2552">
        <v>0</v>
      </c>
      <c r="P25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52" t="str">
        <f>IF(Table1[[#This Row],[Fraud_Score]]&gt;=6, "High Risk",IF(Table1[[#This Row],[Fraud_Score]]&gt;=3, "Medium Risk", "Low Risk"))</f>
        <v>Low Risk</v>
      </c>
      <c r="R2552">
        <f>IF(Table1[[#This Row],[Seconds of Use]]=0,0,Table1[[#This Row],[Customer Value]]/Table1[[#This Row],[Seconds of Use]]*100)</f>
        <v>6.5683412322274881</v>
      </c>
    </row>
    <row r="2553" spans="1:18" x14ac:dyDescent="0.35">
      <c r="A2553" s="3" t="s">
        <v>2574</v>
      </c>
      <c r="B2553">
        <v>9</v>
      </c>
      <c r="C2553">
        <v>0</v>
      </c>
      <c r="D2553">
        <v>41</v>
      </c>
      <c r="E2553">
        <v>0</v>
      </c>
      <c r="F2553">
        <v>1223</v>
      </c>
      <c r="G2553">
        <v>21</v>
      </c>
      <c r="H2553">
        <v>35</v>
      </c>
      <c r="I2553">
        <v>21</v>
      </c>
      <c r="J2553">
        <v>3</v>
      </c>
      <c r="K2553">
        <v>1</v>
      </c>
      <c r="L2553">
        <v>2</v>
      </c>
      <c r="M2553">
        <v>30</v>
      </c>
      <c r="N2553">
        <v>189.76</v>
      </c>
      <c r="O2553">
        <v>0</v>
      </c>
      <c r="P25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53" t="str">
        <f>IF(Table1[[#This Row],[Fraud_Score]]&gt;=6, "High Risk",IF(Table1[[#This Row],[Fraud_Score]]&gt;=3, "Medium Risk", "Low Risk"))</f>
        <v>Low Risk</v>
      </c>
      <c r="R2553">
        <f>IF(Table1[[#This Row],[Seconds of Use]]=0,0,Table1[[#This Row],[Customer Value]]/Table1[[#This Row],[Seconds of Use]]*100)</f>
        <v>15.515944399018805</v>
      </c>
    </row>
    <row r="2554" spans="1:18" x14ac:dyDescent="0.35">
      <c r="A2554" s="3" t="s">
        <v>2575</v>
      </c>
      <c r="B2554">
        <v>19</v>
      </c>
      <c r="C2554">
        <v>0</v>
      </c>
      <c r="D2554">
        <v>39</v>
      </c>
      <c r="E2554">
        <v>3</v>
      </c>
      <c r="F2554">
        <v>3358</v>
      </c>
      <c r="G2554">
        <v>76</v>
      </c>
      <c r="H2554">
        <v>387</v>
      </c>
      <c r="I2554">
        <v>41</v>
      </c>
      <c r="J2554">
        <v>3</v>
      </c>
      <c r="K2554">
        <v>1</v>
      </c>
      <c r="L2554">
        <v>1</v>
      </c>
      <c r="M2554">
        <v>30</v>
      </c>
      <c r="N2554">
        <v>1685.36</v>
      </c>
      <c r="O2554">
        <v>0</v>
      </c>
      <c r="P25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54" t="str">
        <f>IF(Table1[[#This Row],[Fraud_Score]]&gt;=6, "High Risk",IF(Table1[[#This Row],[Fraud_Score]]&gt;=3, "Medium Risk", "Low Risk"))</f>
        <v>Low Risk</v>
      </c>
      <c r="R2554">
        <f>IF(Table1[[#This Row],[Seconds of Use]]=0,0,Table1[[#This Row],[Customer Value]]/Table1[[#This Row],[Seconds of Use]]*100)</f>
        <v>50.189398451459198</v>
      </c>
    </row>
    <row r="2555" spans="1:18" x14ac:dyDescent="0.35">
      <c r="A2555" s="3" t="s">
        <v>2576</v>
      </c>
      <c r="B2555">
        <v>19</v>
      </c>
      <c r="C2555">
        <v>0</v>
      </c>
      <c r="D2555">
        <v>40</v>
      </c>
      <c r="E2555">
        <v>3</v>
      </c>
      <c r="F2555">
        <v>5103</v>
      </c>
      <c r="G2555">
        <v>82</v>
      </c>
      <c r="H2555">
        <v>29</v>
      </c>
      <c r="I2555">
        <v>52</v>
      </c>
      <c r="J2555">
        <v>1</v>
      </c>
      <c r="K2555">
        <v>1</v>
      </c>
      <c r="L2555">
        <v>1</v>
      </c>
      <c r="M2555">
        <v>15</v>
      </c>
      <c r="N2555">
        <v>444.67500000000001</v>
      </c>
      <c r="O2555">
        <v>0</v>
      </c>
      <c r="P25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55" t="str">
        <f>IF(Table1[[#This Row],[Fraud_Score]]&gt;=6, "High Risk",IF(Table1[[#This Row],[Fraud_Score]]&gt;=3, "Medium Risk", "Low Risk"))</f>
        <v>Medium Risk</v>
      </c>
      <c r="R2555">
        <f>IF(Table1[[#This Row],[Seconds of Use]]=0,0,Table1[[#This Row],[Customer Value]]/Table1[[#This Row],[Seconds of Use]]*100)</f>
        <v>8.7139917695473255</v>
      </c>
    </row>
    <row r="2556" spans="1:18" x14ac:dyDescent="0.35">
      <c r="A2556" s="3" t="s">
        <v>2577</v>
      </c>
      <c r="B2556">
        <v>12</v>
      </c>
      <c r="C2556">
        <v>0</v>
      </c>
      <c r="D2556">
        <v>40</v>
      </c>
      <c r="E2556">
        <v>3</v>
      </c>
      <c r="F2556">
        <v>3298</v>
      </c>
      <c r="G2556">
        <v>74</v>
      </c>
      <c r="H2556">
        <v>30</v>
      </c>
      <c r="I2556">
        <v>50</v>
      </c>
      <c r="J2556">
        <v>2</v>
      </c>
      <c r="K2556">
        <v>1</v>
      </c>
      <c r="L2556">
        <v>1</v>
      </c>
      <c r="M2556">
        <v>25</v>
      </c>
      <c r="N2556">
        <v>286.74</v>
      </c>
      <c r="O2556">
        <v>0</v>
      </c>
      <c r="P25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56" t="str">
        <f>IF(Table1[[#This Row],[Fraud_Score]]&gt;=6, "High Risk",IF(Table1[[#This Row],[Fraud_Score]]&gt;=3, "Medium Risk", "Low Risk"))</f>
        <v>Medium Risk</v>
      </c>
      <c r="R2556">
        <f>IF(Table1[[#This Row],[Seconds of Use]]=0,0,Table1[[#This Row],[Customer Value]]/Table1[[#This Row],[Seconds of Use]]*100)</f>
        <v>8.6943602183141309</v>
      </c>
    </row>
    <row r="2557" spans="1:18" x14ac:dyDescent="0.35">
      <c r="A2557" s="3" t="s">
        <v>2578</v>
      </c>
      <c r="B2557">
        <v>20</v>
      </c>
      <c r="C2557">
        <v>0</v>
      </c>
      <c r="D2557">
        <v>40</v>
      </c>
      <c r="E2557">
        <v>4</v>
      </c>
      <c r="F2557">
        <v>4680</v>
      </c>
      <c r="G2557">
        <v>98</v>
      </c>
      <c r="H2557">
        <v>60</v>
      </c>
      <c r="I2557">
        <v>45</v>
      </c>
      <c r="J2557">
        <v>3</v>
      </c>
      <c r="K2557">
        <v>1</v>
      </c>
      <c r="L2557">
        <v>1</v>
      </c>
      <c r="M2557">
        <v>30</v>
      </c>
      <c r="N2557">
        <v>431.12</v>
      </c>
      <c r="O2557">
        <v>0</v>
      </c>
      <c r="P25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57" t="str">
        <f>IF(Table1[[#This Row],[Fraud_Score]]&gt;=6, "High Risk",IF(Table1[[#This Row],[Fraud_Score]]&gt;=3, "Medium Risk", "Low Risk"))</f>
        <v>Low Risk</v>
      </c>
      <c r="R2557">
        <f>IF(Table1[[#This Row],[Seconds of Use]]=0,0,Table1[[#This Row],[Customer Value]]/Table1[[#This Row],[Seconds of Use]]*100)</f>
        <v>9.211965811965813</v>
      </c>
    </row>
    <row r="2558" spans="1:18" x14ac:dyDescent="0.35">
      <c r="A2558" s="3" t="s">
        <v>2579</v>
      </c>
      <c r="B2558">
        <v>13</v>
      </c>
      <c r="C2558">
        <v>0</v>
      </c>
      <c r="D2558">
        <v>40</v>
      </c>
      <c r="E2558">
        <v>3</v>
      </c>
      <c r="F2558">
        <v>3265</v>
      </c>
      <c r="G2558">
        <v>55</v>
      </c>
      <c r="H2558">
        <v>313</v>
      </c>
      <c r="I2558">
        <v>35</v>
      </c>
      <c r="J2558">
        <v>4</v>
      </c>
      <c r="K2558">
        <v>1</v>
      </c>
      <c r="L2558">
        <v>1</v>
      </c>
      <c r="M2558">
        <v>45</v>
      </c>
      <c r="N2558">
        <v>865.5</v>
      </c>
      <c r="O2558">
        <v>0</v>
      </c>
      <c r="P25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58" t="str">
        <f>IF(Table1[[#This Row],[Fraud_Score]]&gt;=6, "High Risk",IF(Table1[[#This Row],[Fraud_Score]]&gt;=3, "Medium Risk", "Low Risk"))</f>
        <v>Low Risk</v>
      </c>
      <c r="R2558">
        <f>IF(Table1[[#This Row],[Seconds of Use]]=0,0,Table1[[#This Row],[Customer Value]]/Table1[[#This Row],[Seconds of Use]]*100)</f>
        <v>26.50842266462481</v>
      </c>
    </row>
    <row r="2559" spans="1:18" x14ac:dyDescent="0.35">
      <c r="A2559" s="3" t="s">
        <v>2580</v>
      </c>
      <c r="B2559">
        <v>22</v>
      </c>
      <c r="C2559">
        <v>1</v>
      </c>
      <c r="D2559">
        <v>39</v>
      </c>
      <c r="E2559">
        <v>5</v>
      </c>
      <c r="F2559">
        <v>10020</v>
      </c>
      <c r="G2559">
        <v>137</v>
      </c>
      <c r="H2559">
        <v>172</v>
      </c>
      <c r="I2559">
        <v>60</v>
      </c>
      <c r="J2559">
        <v>3</v>
      </c>
      <c r="K2559">
        <v>1</v>
      </c>
      <c r="L2559">
        <v>1</v>
      </c>
      <c r="M2559">
        <v>30</v>
      </c>
      <c r="N2559">
        <v>1094.28</v>
      </c>
      <c r="O2559">
        <v>0</v>
      </c>
      <c r="P25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59" t="str">
        <f>IF(Table1[[#This Row],[Fraud_Score]]&gt;=6, "High Risk",IF(Table1[[#This Row],[Fraud_Score]]&gt;=3, "Medium Risk", "Low Risk"))</f>
        <v>Medium Risk</v>
      </c>
      <c r="R2559">
        <f>IF(Table1[[#This Row],[Seconds of Use]]=0,0,Table1[[#This Row],[Customer Value]]/Table1[[#This Row],[Seconds of Use]]*100)</f>
        <v>10.920958083832335</v>
      </c>
    </row>
    <row r="2560" spans="1:18" x14ac:dyDescent="0.35">
      <c r="A2560" s="3" t="s">
        <v>2581</v>
      </c>
      <c r="B2560">
        <v>16</v>
      </c>
      <c r="C2560">
        <v>0</v>
      </c>
      <c r="D2560">
        <v>40</v>
      </c>
      <c r="E2560">
        <v>3</v>
      </c>
      <c r="F2560">
        <v>14678</v>
      </c>
      <c r="G2560">
        <v>185</v>
      </c>
      <c r="H2560">
        <v>28</v>
      </c>
      <c r="I2560">
        <v>61</v>
      </c>
      <c r="J2560">
        <v>3</v>
      </c>
      <c r="K2560">
        <v>1</v>
      </c>
      <c r="L2560">
        <v>1</v>
      </c>
      <c r="M2560">
        <v>30</v>
      </c>
      <c r="N2560">
        <v>706.52</v>
      </c>
      <c r="O2560">
        <v>0</v>
      </c>
      <c r="P25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60" t="str">
        <f>IF(Table1[[#This Row],[Fraud_Score]]&gt;=6, "High Risk",IF(Table1[[#This Row],[Fraud_Score]]&gt;=3, "Medium Risk", "Low Risk"))</f>
        <v>Medium Risk</v>
      </c>
      <c r="R2560">
        <f>IF(Table1[[#This Row],[Seconds of Use]]=0,0,Table1[[#This Row],[Customer Value]]/Table1[[#This Row],[Seconds of Use]]*100)</f>
        <v>4.8134623245673795</v>
      </c>
    </row>
    <row r="2561" spans="1:18" x14ac:dyDescent="0.35">
      <c r="A2561" s="3" t="s">
        <v>2582</v>
      </c>
      <c r="B2561">
        <v>16</v>
      </c>
      <c r="C2561">
        <v>0</v>
      </c>
      <c r="D2561">
        <v>40</v>
      </c>
      <c r="E2561">
        <v>4</v>
      </c>
      <c r="F2561">
        <v>5420</v>
      </c>
      <c r="G2561">
        <v>99</v>
      </c>
      <c r="H2561">
        <v>30</v>
      </c>
      <c r="I2561">
        <v>42</v>
      </c>
      <c r="J2561">
        <v>3</v>
      </c>
      <c r="K2561">
        <v>1</v>
      </c>
      <c r="L2561">
        <v>1</v>
      </c>
      <c r="M2561">
        <v>30</v>
      </c>
      <c r="N2561">
        <v>340.76</v>
      </c>
      <c r="O2561">
        <v>0</v>
      </c>
      <c r="P25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61" t="str">
        <f>IF(Table1[[#This Row],[Fraud_Score]]&gt;=6, "High Risk",IF(Table1[[#This Row],[Fraud_Score]]&gt;=3, "Medium Risk", "Low Risk"))</f>
        <v>Low Risk</v>
      </c>
      <c r="R2561">
        <f>IF(Table1[[#This Row],[Seconds of Use]]=0,0,Table1[[#This Row],[Customer Value]]/Table1[[#This Row],[Seconds of Use]]*100)</f>
        <v>6.2870848708487079</v>
      </c>
    </row>
    <row r="2562" spans="1:18" x14ac:dyDescent="0.35">
      <c r="A2562" s="3" t="s">
        <v>2583</v>
      </c>
      <c r="B2562">
        <v>15</v>
      </c>
      <c r="C2562">
        <v>0</v>
      </c>
      <c r="D2562">
        <v>40</v>
      </c>
      <c r="E2562">
        <v>3</v>
      </c>
      <c r="F2562">
        <v>6823</v>
      </c>
      <c r="G2562">
        <v>111</v>
      </c>
      <c r="H2562">
        <v>35</v>
      </c>
      <c r="I2562">
        <v>29</v>
      </c>
      <c r="J2562">
        <v>3</v>
      </c>
      <c r="K2562">
        <v>1</v>
      </c>
      <c r="L2562">
        <v>1</v>
      </c>
      <c r="M2562">
        <v>30</v>
      </c>
      <c r="N2562">
        <v>417.36</v>
      </c>
      <c r="O2562">
        <v>0</v>
      </c>
      <c r="P25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62" t="str">
        <f>IF(Table1[[#This Row],[Fraud_Score]]&gt;=6, "High Risk",IF(Table1[[#This Row],[Fraud_Score]]&gt;=3, "Medium Risk", "Low Risk"))</f>
        <v>Low Risk</v>
      </c>
      <c r="R2562">
        <f>IF(Table1[[#This Row],[Seconds of Use]]=0,0,Table1[[#This Row],[Customer Value]]/Table1[[#This Row],[Seconds of Use]]*100)</f>
        <v>6.1169573501392351</v>
      </c>
    </row>
    <row r="2563" spans="1:18" x14ac:dyDescent="0.35">
      <c r="A2563" s="3" t="s">
        <v>2584</v>
      </c>
      <c r="B2563">
        <v>18</v>
      </c>
      <c r="C2563">
        <v>0</v>
      </c>
      <c r="D2563">
        <v>40</v>
      </c>
      <c r="E2563">
        <v>0</v>
      </c>
      <c r="F2563">
        <v>3143</v>
      </c>
      <c r="G2563">
        <v>70</v>
      </c>
      <c r="H2563">
        <v>36</v>
      </c>
      <c r="I2563">
        <v>34</v>
      </c>
      <c r="J2563">
        <v>3</v>
      </c>
      <c r="K2563">
        <v>1</v>
      </c>
      <c r="L2563">
        <v>2</v>
      </c>
      <c r="M2563">
        <v>30</v>
      </c>
      <c r="N2563">
        <v>272.52</v>
      </c>
      <c r="O2563">
        <v>0</v>
      </c>
      <c r="P25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63" t="str">
        <f>IF(Table1[[#This Row],[Fraud_Score]]&gt;=6, "High Risk",IF(Table1[[#This Row],[Fraud_Score]]&gt;=3, "Medium Risk", "Low Risk"))</f>
        <v>Medium Risk</v>
      </c>
      <c r="R2563">
        <f>IF(Table1[[#This Row],[Seconds of Use]]=0,0,Table1[[#This Row],[Customer Value]]/Table1[[#This Row],[Seconds of Use]]*100)</f>
        <v>8.6706967865097031</v>
      </c>
    </row>
    <row r="2564" spans="1:18" x14ac:dyDescent="0.35">
      <c r="A2564" s="3" t="s">
        <v>2585</v>
      </c>
      <c r="B2564">
        <v>34</v>
      </c>
      <c r="C2564">
        <v>1</v>
      </c>
      <c r="D2564">
        <v>40</v>
      </c>
      <c r="E2564">
        <v>6</v>
      </c>
      <c r="F2564">
        <v>16045</v>
      </c>
      <c r="G2564">
        <v>241</v>
      </c>
      <c r="H2564">
        <v>82</v>
      </c>
      <c r="I2564">
        <v>49</v>
      </c>
      <c r="J2564">
        <v>3</v>
      </c>
      <c r="K2564">
        <v>2</v>
      </c>
      <c r="L2564">
        <v>1</v>
      </c>
      <c r="M2564">
        <v>30</v>
      </c>
      <c r="N2564">
        <v>979.44</v>
      </c>
      <c r="O2564">
        <v>0</v>
      </c>
      <c r="P25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7</v>
      </c>
      <c r="Q2564" t="str">
        <f>IF(Table1[[#This Row],[Fraud_Score]]&gt;=6, "High Risk",IF(Table1[[#This Row],[Fraud_Score]]&gt;=3, "Medium Risk", "Low Risk"))</f>
        <v>High Risk</v>
      </c>
      <c r="R2564">
        <f>IF(Table1[[#This Row],[Seconds of Use]]=0,0,Table1[[#This Row],[Customer Value]]/Table1[[#This Row],[Seconds of Use]]*100)</f>
        <v>6.1043315674665006</v>
      </c>
    </row>
    <row r="2565" spans="1:18" x14ac:dyDescent="0.35">
      <c r="A2565" s="3" t="s">
        <v>2586</v>
      </c>
      <c r="B2565">
        <v>13</v>
      </c>
      <c r="C2565">
        <v>0</v>
      </c>
      <c r="D2565">
        <v>40</v>
      </c>
      <c r="E2565">
        <v>4</v>
      </c>
      <c r="F2565">
        <v>4000</v>
      </c>
      <c r="G2565">
        <v>43</v>
      </c>
      <c r="H2565">
        <v>511</v>
      </c>
      <c r="I2565">
        <v>25</v>
      </c>
      <c r="J2565">
        <v>4</v>
      </c>
      <c r="K2565">
        <v>1</v>
      </c>
      <c r="L2565">
        <v>1</v>
      </c>
      <c r="M2565">
        <v>45</v>
      </c>
      <c r="N2565">
        <v>1378.575</v>
      </c>
      <c r="O2565">
        <v>0</v>
      </c>
      <c r="P25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65" t="str">
        <f>IF(Table1[[#This Row],[Fraud_Score]]&gt;=6, "High Risk",IF(Table1[[#This Row],[Fraud_Score]]&gt;=3, "Medium Risk", "Low Risk"))</f>
        <v>Low Risk</v>
      </c>
      <c r="R2565">
        <f>IF(Table1[[#This Row],[Seconds of Use]]=0,0,Table1[[#This Row],[Customer Value]]/Table1[[#This Row],[Seconds of Use]]*100)</f>
        <v>34.464375000000004</v>
      </c>
    </row>
    <row r="2566" spans="1:18" x14ac:dyDescent="0.35">
      <c r="A2566" s="3" t="s">
        <v>2587</v>
      </c>
      <c r="B2566">
        <v>18</v>
      </c>
      <c r="C2566">
        <v>0</v>
      </c>
      <c r="D2566">
        <v>39</v>
      </c>
      <c r="E2566">
        <v>3</v>
      </c>
      <c r="F2566">
        <v>16390</v>
      </c>
      <c r="G2566">
        <v>198</v>
      </c>
      <c r="H2566">
        <v>178</v>
      </c>
      <c r="I2566">
        <v>47</v>
      </c>
      <c r="J2566">
        <v>2</v>
      </c>
      <c r="K2566">
        <v>1</v>
      </c>
      <c r="L2566">
        <v>1</v>
      </c>
      <c r="M2566">
        <v>25</v>
      </c>
      <c r="N2566">
        <v>1547.46</v>
      </c>
      <c r="O2566">
        <v>0</v>
      </c>
      <c r="P25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566" t="str">
        <f>IF(Table1[[#This Row],[Fraud_Score]]&gt;=6, "High Risk",IF(Table1[[#This Row],[Fraud_Score]]&gt;=3, "Medium Risk", "Low Risk"))</f>
        <v>Medium Risk</v>
      </c>
      <c r="R2566">
        <f>IF(Table1[[#This Row],[Seconds of Use]]=0,0,Table1[[#This Row],[Customer Value]]/Table1[[#This Row],[Seconds of Use]]*100)</f>
        <v>9.4414887126296509</v>
      </c>
    </row>
    <row r="2567" spans="1:18" x14ac:dyDescent="0.35">
      <c r="A2567" s="3" t="s">
        <v>2588</v>
      </c>
      <c r="B2567">
        <v>12</v>
      </c>
      <c r="C2567">
        <v>0</v>
      </c>
      <c r="D2567">
        <v>39</v>
      </c>
      <c r="E2567">
        <v>4</v>
      </c>
      <c r="F2567">
        <v>7405</v>
      </c>
      <c r="G2567">
        <v>102</v>
      </c>
      <c r="H2567">
        <v>214</v>
      </c>
      <c r="I2567">
        <v>43</v>
      </c>
      <c r="J2567">
        <v>3</v>
      </c>
      <c r="K2567">
        <v>1</v>
      </c>
      <c r="L2567">
        <v>1</v>
      </c>
      <c r="M2567">
        <v>30</v>
      </c>
      <c r="N2567">
        <v>1156.28</v>
      </c>
      <c r="O2567">
        <v>0</v>
      </c>
      <c r="P25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67" t="str">
        <f>IF(Table1[[#This Row],[Fraud_Score]]&gt;=6, "High Risk",IF(Table1[[#This Row],[Fraud_Score]]&gt;=3, "Medium Risk", "Low Risk"))</f>
        <v>Low Risk</v>
      </c>
      <c r="R2567">
        <f>IF(Table1[[#This Row],[Seconds of Use]]=0,0,Table1[[#This Row],[Customer Value]]/Table1[[#This Row],[Seconds of Use]]*100)</f>
        <v>15.614854827819041</v>
      </c>
    </row>
    <row r="2568" spans="1:18" x14ac:dyDescent="0.35">
      <c r="A2568" s="3" t="s">
        <v>2589</v>
      </c>
      <c r="B2568">
        <v>9</v>
      </c>
      <c r="C2568">
        <v>0</v>
      </c>
      <c r="D2568">
        <v>39</v>
      </c>
      <c r="E2568">
        <v>0</v>
      </c>
      <c r="F2568">
        <v>1780</v>
      </c>
      <c r="G2568">
        <v>30</v>
      </c>
      <c r="H2568">
        <v>28</v>
      </c>
      <c r="I2568">
        <v>28</v>
      </c>
      <c r="J2568">
        <v>2</v>
      </c>
      <c r="K2568">
        <v>1</v>
      </c>
      <c r="L2568">
        <v>2</v>
      </c>
      <c r="M2568">
        <v>25</v>
      </c>
      <c r="N2568">
        <v>207.45</v>
      </c>
      <c r="O2568">
        <v>0</v>
      </c>
      <c r="P25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68" t="str">
        <f>IF(Table1[[#This Row],[Fraud_Score]]&gt;=6, "High Risk",IF(Table1[[#This Row],[Fraud_Score]]&gt;=3, "Medium Risk", "Low Risk"))</f>
        <v>Low Risk</v>
      </c>
      <c r="R2568">
        <f>IF(Table1[[#This Row],[Seconds of Use]]=0,0,Table1[[#This Row],[Customer Value]]/Table1[[#This Row],[Seconds of Use]]*100)</f>
        <v>11.654494382022472</v>
      </c>
    </row>
    <row r="2569" spans="1:18" x14ac:dyDescent="0.35">
      <c r="A2569" s="3" t="s">
        <v>2590</v>
      </c>
      <c r="B2569">
        <v>11</v>
      </c>
      <c r="C2569">
        <v>0</v>
      </c>
      <c r="D2569">
        <v>40</v>
      </c>
      <c r="E2569">
        <v>0</v>
      </c>
      <c r="F2569">
        <v>1615</v>
      </c>
      <c r="G2569">
        <v>30</v>
      </c>
      <c r="H2569">
        <v>41</v>
      </c>
      <c r="I2569">
        <v>25</v>
      </c>
      <c r="J2569">
        <v>3</v>
      </c>
      <c r="K2569">
        <v>1</v>
      </c>
      <c r="L2569">
        <v>2</v>
      </c>
      <c r="M2569">
        <v>30</v>
      </c>
      <c r="N2569">
        <v>229.8</v>
      </c>
      <c r="O2569">
        <v>0</v>
      </c>
      <c r="P25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69" t="str">
        <f>IF(Table1[[#This Row],[Fraud_Score]]&gt;=6, "High Risk",IF(Table1[[#This Row],[Fraud_Score]]&gt;=3, "Medium Risk", "Low Risk"))</f>
        <v>Medium Risk</v>
      </c>
      <c r="R2569">
        <f>IF(Table1[[#This Row],[Seconds of Use]]=0,0,Table1[[#This Row],[Customer Value]]/Table1[[#This Row],[Seconds of Use]]*100)</f>
        <v>14.229102167182663</v>
      </c>
    </row>
    <row r="2570" spans="1:18" x14ac:dyDescent="0.35">
      <c r="A2570" s="3" t="s">
        <v>2591</v>
      </c>
      <c r="B2570">
        <v>9</v>
      </c>
      <c r="C2570">
        <v>1</v>
      </c>
      <c r="D2570">
        <v>39</v>
      </c>
      <c r="E2570">
        <v>0</v>
      </c>
      <c r="F2570">
        <v>905</v>
      </c>
      <c r="G2570">
        <v>16</v>
      </c>
      <c r="H2570">
        <v>28</v>
      </c>
      <c r="I2570">
        <v>17</v>
      </c>
      <c r="J2570">
        <v>2</v>
      </c>
      <c r="K2570">
        <v>1</v>
      </c>
      <c r="L2570">
        <v>2</v>
      </c>
      <c r="M2570">
        <v>25</v>
      </c>
      <c r="N2570">
        <v>167.44499999999999</v>
      </c>
      <c r="O2570">
        <v>1</v>
      </c>
      <c r="P25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70" t="str">
        <f>IF(Table1[[#This Row],[Fraud_Score]]&gt;=6, "High Risk",IF(Table1[[#This Row],[Fraud_Score]]&gt;=3, "Medium Risk", "Low Risk"))</f>
        <v>Medium Risk</v>
      </c>
      <c r="R2570">
        <f>IF(Table1[[#This Row],[Seconds of Use]]=0,0,Table1[[#This Row],[Customer Value]]/Table1[[#This Row],[Seconds of Use]]*100)</f>
        <v>18.502209944751378</v>
      </c>
    </row>
    <row r="2571" spans="1:18" x14ac:dyDescent="0.35">
      <c r="A2571" s="3" t="s">
        <v>2592</v>
      </c>
      <c r="B2571">
        <v>12</v>
      </c>
      <c r="C2571">
        <v>0</v>
      </c>
      <c r="D2571">
        <v>39</v>
      </c>
      <c r="E2571">
        <v>3</v>
      </c>
      <c r="F2571">
        <v>8413</v>
      </c>
      <c r="G2571">
        <v>143</v>
      </c>
      <c r="H2571">
        <v>412</v>
      </c>
      <c r="I2571">
        <v>60</v>
      </c>
      <c r="J2571">
        <v>3</v>
      </c>
      <c r="K2571">
        <v>1</v>
      </c>
      <c r="L2571">
        <v>1</v>
      </c>
      <c r="M2571">
        <v>30</v>
      </c>
      <c r="N2571">
        <v>1990.24</v>
      </c>
      <c r="O2571">
        <v>0</v>
      </c>
      <c r="P25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71" t="str">
        <f>IF(Table1[[#This Row],[Fraud_Score]]&gt;=6, "High Risk",IF(Table1[[#This Row],[Fraud_Score]]&gt;=3, "Medium Risk", "Low Risk"))</f>
        <v>Medium Risk</v>
      </c>
      <c r="R2571">
        <f>IF(Table1[[#This Row],[Seconds of Use]]=0,0,Table1[[#This Row],[Customer Value]]/Table1[[#This Row],[Seconds of Use]]*100)</f>
        <v>23.656721740164034</v>
      </c>
    </row>
    <row r="2572" spans="1:18" x14ac:dyDescent="0.35">
      <c r="A2572" s="3" t="s">
        <v>2593</v>
      </c>
      <c r="B2572">
        <v>16</v>
      </c>
      <c r="C2572">
        <v>0</v>
      </c>
      <c r="D2572">
        <v>39</v>
      </c>
      <c r="E2572">
        <v>4</v>
      </c>
      <c r="F2572">
        <v>12370</v>
      </c>
      <c r="G2572">
        <v>170</v>
      </c>
      <c r="H2572">
        <v>39</v>
      </c>
      <c r="I2572">
        <v>64</v>
      </c>
      <c r="J2572">
        <v>4</v>
      </c>
      <c r="K2572">
        <v>1</v>
      </c>
      <c r="L2572">
        <v>1</v>
      </c>
      <c r="M2572">
        <v>45</v>
      </c>
      <c r="N2572">
        <v>411</v>
      </c>
      <c r="O2572">
        <v>0</v>
      </c>
      <c r="P25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72" t="str">
        <f>IF(Table1[[#This Row],[Fraud_Score]]&gt;=6, "High Risk",IF(Table1[[#This Row],[Fraud_Score]]&gt;=3, "Medium Risk", "Low Risk"))</f>
        <v>Medium Risk</v>
      </c>
      <c r="R2572">
        <f>IF(Table1[[#This Row],[Seconds of Use]]=0,0,Table1[[#This Row],[Customer Value]]/Table1[[#This Row],[Seconds of Use]]*100)</f>
        <v>3.3225545675020207</v>
      </c>
    </row>
    <row r="2573" spans="1:18" x14ac:dyDescent="0.35">
      <c r="A2573" s="3" t="s">
        <v>2594</v>
      </c>
      <c r="B2573">
        <v>17</v>
      </c>
      <c r="C2573">
        <v>0</v>
      </c>
      <c r="D2573">
        <v>39</v>
      </c>
      <c r="E2573">
        <v>4</v>
      </c>
      <c r="F2573">
        <v>7623</v>
      </c>
      <c r="G2573">
        <v>91</v>
      </c>
      <c r="H2573">
        <v>136</v>
      </c>
      <c r="I2573">
        <v>54</v>
      </c>
      <c r="J2573">
        <v>2</v>
      </c>
      <c r="K2573">
        <v>2</v>
      </c>
      <c r="L2573">
        <v>1</v>
      </c>
      <c r="M2573">
        <v>25</v>
      </c>
      <c r="N2573">
        <v>959.13</v>
      </c>
      <c r="O2573">
        <v>0</v>
      </c>
      <c r="P25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73" t="str">
        <f>IF(Table1[[#This Row],[Fraud_Score]]&gt;=6, "High Risk",IF(Table1[[#This Row],[Fraud_Score]]&gt;=3, "Medium Risk", "Low Risk"))</f>
        <v>Medium Risk</v>
      </c>
      <c r="R2573">
        <f>IF(Table1[[#This Row],[Seconds of Use]]=0,0,Table1[[#This Row],[Customer Value]]/Table1[[#This Row],[Seconds of Use]]*100)</f>
        <v>12.582054309327036</v>
      </c>
    </row>
    <row r="2574" spans="1:18" x14ac:dyDescent="0.35">
      <c r="A2574" s="3" t="s">
        <v>2595</v>
      </c>
      <c r="B2574">
        <v>32</v>
      </c>
      <c r="C2574">
        <v>1</v>
      </c>
      <c r="D2574">
        <v>35</v>
      </c>
      <c r="E2574">
        <v>0</v>
      </c>
      <c r="F2574">
        <v>1860</v>
      </c>
      <c r="G2574">
        <v>63</v>
      </c>
      <c r="H2574">
        <v>44</v>
      </c>
      <c r="I2574">
        <v>34</v>
      </c>
      <c r="J2574">
        <v>3</v>
      </c>
      <c r="K2574">
        <v>1</v>
      </c>
      <c r="L2574">
        <v>2</v>
      </c>
      <c r="M2574">
        <v>30</v>
      </c>
      <c r="N2574">
        <v>252.92</v>
      </c>
      <c r="O2574">
        <v>1</v>
      </c>
      <c r="P25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74" t="str">
        <f>IF(Table1[[#This Row],[Fraud_Score]]&gt;=6, "High Risk",IF(Table1[[#This Row],[Fraud_Score]]&gt;=3, "Medium Risk", "Low Risk"))</f>
        <v>Medium Risk</v>
      </c>
      <c r="R2574">
        <f>IF(Table1[[#This Row],[Seconds of Use]]=0,0,Table1[[#This Row],[Customer Value]]/Table1[[#This Row],[Seconds of Use]]*100)</f>
        <v>13.597849462365591</v>
      </c>
    </row>
    <row r="2575" spans="1:18" x14ac:dyDescent="0.35">
      <c r="A2575" s="3" t="s">
        <v>2596</v>
      </c>
      <c r="B2575">
        <v>30</v>
      </c>
      <c r="C2575">
        <v>0</v>
      </c>
      <c r="D2575">
        <v>38</v>
      </c>
      <c r="E2575">
        <v>1</v>
      </c>
      <c r="F2575">
        <v>11340</v>
      </c>
      <c r="G2575">
        <v>109</v>
      </c>
      <c r="H2575">
        <v>29</v>
      </c>
      <c r="I2575">
        <v>59</v>
      </c>
      <c r="J2575">
        <v>5</v>
      </c>
      <c r="K2575">
        <v>1</v>
      </c>
      <c r="L2575">
        <v>1</v>
      </c>
      <c r="M2575">
        <v>55</v>
      </c>
      <c r="N2575">
        <v>215.23500000000001</v>
      </c>
      <c r="O2575">
        <v>0</v>
      </c>
      <c r="P25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75" t="str">
        <f>IF(Table1[[#This Row],[Fraud_Score]]&gt;=6, "High Risk",IF(Table1[[#This Row],[Fraud_Score]]&gt;=3, "Medium Risk", "Low Risk"))</f>
        <v>Medium Risk</v>
      </c>
      <c r="R2575">
        <f>IF(Table1[[#This Row],[Seconds of Use]]=0,0,Table1[[#This Row],[Customer Value]]/Table1[[#This Row],[Seconds of Use]]*100)</f>
        <v>1.8980158730158732</v>
      </c>
    </row>
    <row r="2576" spans="1:18" x14ac:dyDescent="0.35">
      <c r="A2576" s="3" t="s">
        <v>2597</v>
      </c>
      <c r="B2576">
        <v>22</v>
      </c>
      <c r="C2576">
        <v>0</v>
      </c>
      <c r="D2576">
        <v>38</v>
      </c>
      <c r="E2576">
        <v>4</v>
      </c>
      <c r="F2576">
        <v>6723</v>
      </c>
      <c r="G2576">
        <v>114</v>
      </c>
      <c r="H2576">
        <v>54</v>
      </c>
      <c r="I2576">
        <v>41</v>
      </c>
      <c r="J2576">
        <v>3</v>
      </c>
      <c r="K2576">
        <v>1</v>
      </c>
      <c r="L2576">
        <v>1</v>
      </c>
      <c r="M2576">
        <v>30</v>
      </c>
      <c r="N2576">
        <v>489.48</v>
      </c>
      <c r="O2576">
        <v>0</v>
      </c>
      <c r="P25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76" t="str">
        <f>IF(Table1[[#This Row],[Fraud_Score]]&gt;=6, "High Risk",IF(Table1[[#This Row],[Fraud_Score]]&gt;=3, "Medium Risk", "Low Risk"))</f>
        <v>Low Risk</v>
      </c>
      <c r="R2576">
        <f>IF(Table1[[#This Row],[Seconds of Use]]=0,0,Table1[[#This Row],[Customer Value]]/Table1[[#This Row],[Seconds of Use]]*100)</f>
        <v>7.2806782686300764</v>
      </c>
    </row>
    <row r="2577" spans="1:18" x14ac:dyDescent="0.35">
      <c r="A2577" s="3" t="s">
        <v>2598</v>
      </c>
      <c r="B2577">
        <v>10</v>
      </c>
      <c r="C2577">
        <v>0</v>
      </c>
      <c r="D2577">
        <v>36</v>
      </c>
      <c r="E2577">
        <v>3</v>
      </c>
      <c r="F2577">
        <v>3745</v>
      </c>
      <c r="G2577">
        <v>38</v>
      </c>
      <c r="H2577">
        <v>28</v>
      </c>
      <c r="I2577">
        <v>31</v>
      </c>
      <c r="J2577">
        <v>3</v>
      </c>
      <c r="K2577">
        <v>1</v>
      </c>
      <c r="L2577">
        <v>1</v>
      </c>
      <c r="M2577">
        <v>30</v>
      </c>
      <c r="N2577">
        <v>263.32</v>
      </c>
      <c r="O2577">
        <v>0</v>
      </c>
      <c r="P25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77" t="str">
        <f>IF(Table1[[#This Row],[Fraud_Score]]&gt;=6, "High Risk",IF(Table1[[#This Row],[Fraud_Score]]&gt;=3, "Medium Risk", "Low Risk"))</f>
        <v>Low Risk</v>
      </c>
      <c r="R2577">
        <f>IF(Table1[[#This Row],[Seconds of Use]]=0,0,Table1[[#This Row],[Customer Value]]/Table1[[#This Row],[Seconds of Use]]*100)</f>
        <v>7.0312416555407209</v>
      </c>
    </row>
    <row r="2578" spans="1:18" x14ac:dyDescent="0.35">
      <c r="A2578" s="3" t="s">
        <v>2599</v>
      </c>
      <c r="B2578">
        <v>18</v>
      </c>
      <c r="C2578">
        <v>1</v>
      </c>
      <c r="D2578">
        <v>37</v>
      </c>
      <c r="E2578">
        <v>0</v>
      </c>
      <c r="F2578">
        <v>3895</v>
      </c>
      <c r="G2578">
        <v>57</v>
      </c>
      <c r="H2578">
        <v>37</v>
      </c>
      <c r="I2578">
        <v>33</v>
      </c>
      <c r="J2578">
        <v>3</v>
      </c>
      <c r="K2578">
        <v>1</v>
      </c>
      <c r="L2578">
        <v>2</v>
      </c>
      <c r="M2578">
        <v>30</v>
      </c>
      <c r="N2578">
        <v>306.08</v>
      </c>
      <c r="O2578">
        <v>1</v>
      </c>
      <c r="P25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78" t="str">
        <f>IF(Table1[[#This Row],[Fraud_Score]]&gt;=6, "High Risk",IF(Table1[[#This Row],[Fraud_Score]]&gt;=3, "Medium Risk", "Low Risk"))</f>
        <v>Medium Risk</v>
      </c>
      <c r="R2578">
        <f>IF(Table1[[#This Row],[Seconds of Use]]=0,0,Table1[[#This Row],[Customer Value]]/Table1[[#This Row],[Seconds of Use]]*100)</f>
        <v>7.8582798459563534</v>
      </c>
    </row>
    <row r="2579" spans="1:18" x14ac:dyDescent="0.35">
      <c r="A2579" s="3" t="s">
        <v>2600</v>
      </c>
      <c r="B2579">
        <v>18</v>
      </c>
      <c r="C2579">
        <v>0</v>
      </c>
      <c r="D2579">
        <v>38</v>
      </c>
      <c r="E2579">
        <v>0</v>
      </c>
      <c r="F2579">
        <v>3173</v>
      </c>
      <c r="G2579">
        <v>60</v>
      </c>
      <c r="H2579">
        <v>62</v>
      </c>
      <c r="I2579">
        <v>48</v>
      </c>
      <c r="J2579">
        <v>4</v>
      </c>
      <c r="K2579">
        <v>1</v>
      </c>
      <c r="L2579">
        <v>2</v>
      </c>
      <c r="M2579">
        <v>45</v>
      </c>
      <c r="N2579">
        <v>235.82499999999999</v>
      </c>
      <c r="O2579">
        <v>1</v>
      </c>
      <c r="P25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579" t="str">
        <f>IF(Table1[[#This Row],[Fraud_Score]]&gt;=6, "High Risk",IF(Table1[[#This Row],[Fraud_Score]]&gt;=3, "Medium Risk", "Low Risk"))</f>
        <v>Medium Risk</v>
      </c>
      <c r="R2579">
        <f>IF(Table1[[#This Row],[Seconds of Use]]=0,0,Table1[[#This Row],[Customer Value]]/Table1[[#This Row],[Seconds of Use]]*100)</f>
        <v>7.4322407815947056</v>
      </c>
    </row>
    <row r="2580" spans="1:18" x14ac:dyDescent="0.35">
      <c r="A2580" s="3" t="s">
        <v>2601</v>
      </c>
      <c r="B2580">
        <v>9</v>
      </c>
      <c r="C2580">
        <v>0</v>
      </c>
      <c r="D2580">
        <v>38</v>
      </c>
      <c r="E2580">
        <v>0</v>
      </c>
      <c r="F2580">
        <v>1038</v>
      </c>
      <c r="G2580">
        <v>18</v>
      </c>
      <c r="H2580">
        <v>28</v>
      </c>
      <c r="I2580">
        <v>19</v>
      </c>
      <c r="J2580">
        <v>3</v>
      </c>
      <c r="K2580">
        <v>1</v>
      </c>
      <c r="L2580">
        <v>2</v>
      </c>
      <c r="M2580">
        <v>30</v>
      </c>
      <c r="N2580">
        <v>154.24</v>
      </c>
      <c r="O2580">
        <v>1</v>
      </c>
      <c r="P25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80" t="str">
        <f>IF(Table1[[#This Row],[Fraud_Score]]&gt;=6, "High Risk",IF(Table1[[#This Row],[Fraud_Score]]&gt;=3, "Medium Risk", "Low Risk"))</f>
        <v>Low Risk</v>
      </c>
      <c r="R2580">
        <f>IF(Table1[[#This Row],[Seconds of Use]]=0,0,Table1[[#This Row],[Customer Value]]/Table1[[#This Row],[Seconds of Use]]*100)</f>
        <v>14.859344894026977</v>
      </c>
    </row>
    <row r="2581" spans="1:18" x14ac:dyDescent="0.35">
      <c r="A2581" s="3" t="s">
        <v>2602</v>
      </c>
      <c r="B2581">
        <v>10</v>
      </c>
      <c r="C2581">
        <v>0</v>
      </c>
      <c r="D2581">
        <v>38</v>
      </c>
      <c r="E2581">
        <v>3</v>
      </c>
      <c r="F2581">
        <v>2573</v>
      </c>
      <c r="G2581">
        <v>41</v>
      </c>
      <c r="H2581">
        <v>28</v>
      </c>
      <c r="I2581">
        <v>23</v>
      </c>
      <c r="J2581">
        <v>4</v>
      </c>
      <c r="K2581">
        <v>1</v>
      </c>
      <c r="L2581">
        <v>1</v>
      </c>
      <c r="M2581">
        <v>45</v>
      </c>
      <c r="N2581">
        <v>135.35</v>
      </c>
      <c r="O2581">
        <v>0</v>
      </c>
      <c r="P25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81" t="str">
        <f>IF(Table1[[#This Row],[Fraud_Score]]&gt;=6, "High Risk",IF(Table1[[#This Row],[Fraud_Score]]&gt;=3, "Medium Risk", "Low Risk"))</f>
        <v>Low Risk</v>
      </c>
      <c r="R2581">
        <f>IF(Table1[[#This Row],[Seconds of Use]]=0,0,Table1[[#This Row],[Customer Value]]/Table1[[#This Row],[Seconds of Use]]*100)</f>
        <v>5.2603964244073067</v>
      </c>
    </row>
    <row r="2582" spans="1:18" x14ac:dyDescent="0.35">
      <c r="A2582" s="3" t="s">
        <v>2603</v>
      </c>
      <c r="B2582">
        <v>12</v>
      </c>
      <c r="C2582">
        <v>0</v>
      </c>
      <c r="D2582">
        <v>35</v>
      </c>
      <c r="E2582">
        <v>4</v>
      </c>
      <c r="F2582">
        <v>7690</v>
      </c>
      <c r="G2582">
        <v>113</v>
      </c>
      <c r="H2582">
        <v>42</v>
      </c>
      <c r="I2582">
        <v>39</v>
      </c>
      <c r="J2582">
        <v>5</v>
      </c>
      <c r="K2582">
        <v>1</v>
      </c>
      <c r="L2582">
        <v>1</v>
      </c>
      <c r="M2582">
        <v>55</v>
      </c>
      <c r="N2582">
        <v>180.04499999999999</v>
      </c>
      <c r="O2582">
        <v>0</v>
      </c>
      <c r="P25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82" t="str">
        <f>IF(Table1[[#This Row],[Fraud_Score]]&gt;=6, "High Risk",IF(Table1[[#This Row],[Fraud_Score]]&gt;=3, "Medium Risk", "Low Risk"))</f>
        <v>Low Risk</v>
      </c>
      <c r="R2582">
        <f>IF(Table1[[#This Row],[Seconds of Use]]=0,0,Table1[[#This Row],[Customer Value]]/Table1[[#This Row],[Seconds of Use]]*100)</f>
        <v>2.3412873862158645</v>
      </c>
    </row>
    <row r="2583" spans="1:18" x14ac:dyDescent="0.35">
      <c r="A2583" s="3" t="s">
        <v>2604</v>
      </c>
      <c r="B2583">
        <v>9</v>
      </c>
      <c r="C2583">
        <v>0</v>
      </c>
      <c r="D2583">
        <v>38</v>
      </c>
      <c r="E2583">
        <v>0</v>
      </c>
      <c r="F2583">
        <v>1533</v>
      </c>
      <c r="G2583">
        <v>23</v>
      </c>
      <c r="H2583">
        <v>37</v>
      </c>
      <c r="I2583">
        <v>21</v>
      </c>
      <c r="J2583">
        <v>4</v>
      </c>
      <c r="K2583">
        <v>1</v>
      </c>
      <c r="L2583">
        <v>2</v>
      </c>
      <c r="M2583">
        <v>45</v>
      </c>
      <c r="N2583">
        <v>131.4</v>
      </c>
      <c r="O2583">
        <v>1</v>
      </c>
      <c r="P25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83" t="str">
        <f>IF(Table1[[#This Row],[Fraud_Score]]&gt;=6, "High Risk",IF(Table1[[#This Row],[Fraud_Score]]&gt;=3, "Medium Risk", "Low Risk"))</f>
        <v>Low Risk</v>
      </c>
      <c r="R2583">
        <f>IF(Table1[[#This Row],[Seconds of Use]]=0,0,Table1[[#This Row],[Customer Value]]/Table1[[#This Row],[Seconds of Use]]*100)</f>
        <v>8.5714285714285712</v>
      </c>
    </row>
    <row r="2584" spans="1:18" x14ac:dyDescent="0.35">
      <c r="A2584" s="3" t="s">
        <v>2605</v>
      </c>
      <c r="B2584">
        <v>9</v>
      </c>
      <c r="C2584">
        <v>0</v>
      </c>
      <c r="D2584">
        <v>38</v>
      </c>
      <c r="E2584">
        <v>4</v>
      </c>
      <c r="F2584">
        <v>1243</v>
      </c>
      <c r="G2584">
        <v>20</v>
      </c>
      <c r="H2584">
        <v>32</v>
      </c>
      <c r="I2584">
        <v>19</v>
      </c>
      <c r="J2584">
        <v>5</v>
      </c>
      <c r="K2584">
        <v>1</v>
      </c>
      <c r="L2584">
        <v>1</v>
      </c>
      <c r="M2584">
        <v>55</v>
      </c>
      <c r="N2584">
        <v>66.944999999999993</v>
      </c>
      <c r="O2584">
        <v>0</v>
      </c>
      <c r="P25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584" t="str">
        <f>IF(Table1[[#This Row],[Fraud_Score]]&gt;=6, "High Risk",IF(Table1[[#This Row],[Fraud_Score]]&gt;=3, "Medium Risk", "Low Risk"))</f>
        <v>Low Risk</v>
      </c>
      <c r="R2584">
        <f>IF(Table1[[#This Row],[Seconds of Use]]=0,0,Table1[[#This Row],[Customer Value]]/Table1[[#This Row],[Seconds of Use]]*100)</f>
        <v>5.3857602574416727</v>
      </c>
    </row>
    <row r="2585" spans="1:18" x14ac:dyDescent="0.35">
      <c r="A2585" s="3" t="s">
        <v>2606</v>
      </c>
      <c r="B2585">
        <v>34</v>
      </c>
      <c r="C2585">
        <v>0</v>
      </c>
      <c r="D2585">
        <v>33</v>
      </c>
      <c r="E2585">
        <v>6</v>
      </c>
      <c r="F2585">
        <v>16980</v>
      </c>
      <c r="G2585">
        <v>254</v>
      </c>
      <c r="H2585">
        <v>28</v>
      </c>
      <c r="I2585">
        <v>97</v>
      </c>
      <c r="J2585">
        <v>2</v>
      </c>
      <c r="K2585">
        <v>2</v>
      </c>
      <c r="L2585">
        <v>1</v>
      </c>
      <c r="M2585">
        <v>25</v>
      </c>
      <c r="N2585">
        <v>901.53</v>
      </c>
      <c r="O2585">
        <v>0</v>
      </c>
      <c r="P25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85" t="str">
        <f>IF(Table1[[#This Row],[Fraud_Score]]&gt;=6, "High Risk",IF(Table1[[#This Row],[Fraud_Score]]&gt;=3, "Medium Risk", "Low Risk"))</f>
        <v>Medium Risk</v>
      </c>
      <c r="R2585">
        <f>IF(Table1[[#This Row],[Seconds of Use]]=0,0,Table1[[#This Row],[Customer Value]]/Table1[[#This Row],[Seconds of Use]]*100)</f>
        <v>5.3093639575971725</v>
      </c>
    </row>
    <row r="2586" spans="1:18" x14ac:dyDescent="0.35">
      <c r="A2586" s="3" t="s">
        <v>2607</v>
      </c>
      <c r="B2586">
        <v>15</v>
      </c>
      <c r="C2586">
        <v>0</v>
      </c>
      <c r="D2586">
        <v>36</v>
      </c>
      <c r="E2586">
        <v>6</v>
      </c>
      <c r="F2586">
        <v>7870</v>
      </c>
      <c r="G2586">
        <v>132</v>
      </c>
      <c r="H2586">
        <v>299</v>
      </c>
      <c r="I2586">
        <v>50</v>
      </c>
      <c r="J2586">
        <v>3</v>
      </c>
      <c r="K2586">
        <v>2</v>
      </c>
      <c r="L2586">
        <v>1</v>
      </c>
      <c r="M2586">
        <v>30</v>
      </c>
      <c r="N2586">
        <v>1516.08</v>
      </c>
      <c r="O2586">
        <v>0</v>
      </c>
      <c r="P25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86" t="str">
        <f>IF(Table1[[#This Row],[Fraud_Score]]&gt;=6, "High Risk",IF(Table1[[#This Row],[Fraud_Score]]&gt;=3, "Medium Risk", "Low Risk"))</f>
        <v>Medium Risk</v>
      </c>
      <c r="R2586">
        <f>IF(Table1[[#This Row],[Seconds of Use]]=0,0,Table1[[#This Row],[Customer Value]]/Table1[[#This Row],[Seconds of Use]]*100)</f>
        <v>19.264040660736974</v>
      </c>
    </row>
    <row r="2587" spans="1:18" x14ac:dyDescent="0.35">
      <c r="A2587" s="3" t="s">
        <v>2608</v>
      </c>
      <c r="B2587">
        <v>11</v>
      </c>
      <c r="C2587">
        <v>0</v>
      </c>
      <c r="D2587">
        <v>38</v>
      </c>
      <c r="E2587">
        <v>3</v>
      </c>
      <c r="F2587">
        <v>4623</v>
      </c>
      <c r="G2587">
        <v>98</v>
      </c>
      <c r="H2587">
        <v>30</v>
      </c>
      <c r="I2587">
        <v>45</v>
      </c>
      <c r="J2587">
        <v>3</v>
      </c>
      <c r="K2587">
        <v>1</v>
      </c>
      <c r="L2587">
        <v>1</v>
      </c>
      <c r="M2587">
        <v>30</v>
      </c>
      <c r="N2587">
        <v>308.83999999999997</v>
      </c>
      <c r="O2587">
        <v>0</v>
      </c>
      <c r="P25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87" t="str">
        <f>IF(Table1[[#This Row],[Fraud_Score]]&gt;=6, "High Risk",IF(Table1[[#This Row],[Fraud_Score]]&gt;=3, "Medium Risk", "Low Risk"))</f>
        <v>Low Risk</v>
      </c>
      <c r="R2587">
        <f>IF(Table1[[#This Row],[Seconds of Use]]=0,0,Table1[[#This Row],[Customer Value]]/Table1[[#This Row],[Seconds of Use]]*100)</f>
        <v>6.6805104910231448</v>
      </c>
    </row>
    <row r="2588" spans="1:18" x14ac:dyDescent="0.35">
      <c r="A2588" s="3" t="s">
        <v>2609</v>
      </c>
      <c r="B2588">
        <v>12</v>
      </c>
      <c r="C2588">
        <v>1</v>
      </c>
      <c r="D2588">
        <v>37</v>
      </c>
      <c r="E2588">
        <v>0</v>
      </c>
      <c r="F2588">
        <v>2570</v>
      </c>
      <c r="G2588">
        <v>60</v>
      </c>
      <c r="H2588">
        <v>66</v>
      </c>
      <c r="I2588">
        <v>37</v>
      </c>
      <c r="J2588">
        <v>4</v>
      </c>
      <c r="K2588">
        <v>1</v>
      </c>
      <c r="L2588">
        <v>2</v>
      </c>
      <c r="M2588">
        <v>45</v>
      </c>
      <c r="N2588">
        <v>230.75</v>
      </c>
      <c r="O2588">
        <v>1</v>
      </c>
      <c r="P25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88" t="str">
        <f>IF(Table1[[#This Row],[Fraud_Score]]&gt;=6, "High Risk",IF(Table1[[#This Row],[Fraud_Score]]&gt;=3, "Medium Risk", "Low Risk"))</f>
        <v>Medium Risk</v>
      </c>
      <c r="R2588">
        <f>IF(Table1[[#This Row],[Seconds of Use]]=0,0,Table1[[#This Row],[Customer Value]]/Table1[[#This Row],[Seconds of Use]]*100)</f>
        <v>8.9785992217898833</v>
      </c>
    </row>
    <row r="2589" spans="1:18" x14ac:dyDescent="0.35">
      <c r="A2589" s="3" t="s">
        <v>2610</v>
      </c>
      <c r="B2589">
        <v>15</v>
      </c>
      <c r="C2589">
        <v>0</v>
      </c>
      <c r="D2589">
        <v>38</v>
      </c>
      <c r="E2589">
        <v>3</v>
      </c>
      <c r="F2589">
        <v>3685</v>
      </c>
      <c r="G2589">
        <v>69</v>
      </c>
      <c r="H2589">
        <v>203</v>
      </c>
      <c r="I2589">
        <v>40</v>
      </c>
      <c r="J2589">
        <v>2</v>
      </c>
      <c r="K2589">
        <v>1</v>
      </c>
      <c r="L2589">
        <v>1</v>
      </c>
      <c r="M2589">
        <v>25</v>
      </c>
      <c r="N2589">
        <v>1082.43</v>
      </c>
      <c r="O2589">
        <v>0</v>
      </c>
      <c r="P25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89" t="str">
        <f>IF(Table1[[#This Row],[Fraud_Score]]&gt;=6, "High Risk",IF(Table1[[#This Row],[Fraud_Score]]&gt;=3, "Medium Risk", "Low Risk"))</f>
        <v>Low Risk</v>
      </c>
      <c r="R2589">
        <f>IF(Table1[[#This Row],[Seconds of Use]]=0,0,Table1[[#This Row],[Customer Value]]/Table1[[#This Row],[Seconds of Use]]*100)</f>
        <v>29.373948439620083</v>
      </c>
    </row>
    <row r="2590" spans="1:18" x14ac:dyDescent="0.35">
      <c r="A2590" s="3" t="s">
        <v>2611</v>
      </c>
      <c r="B2590">
        <v>13</v>
      </c>
      <c r="C2590">
        <v>0</v>
      </c>
      <c r="D2590">
        <v>29</v>
      </c>
      <c r="E2590">
        <v>4</v>
      </c>
      <c r="F2590">
        <v>2220</v>
      </c>
      <c r="G2590">
        <v>52</v>
      </c>
      <c r="H2590">
        <v>221</v>
      </c>
      <c r="I2590">
        <v>28</v>
      </c>
      <c r="J2590">
        <v>3</v>
      </c>
      <c r="K2590">
        <v>2</v>
      </c>
      <c r="L2590">
        <v>1</v>
      </c>
      <c r="M2590">
        <v>30</v>
      </c>
      <c r="N2590">
        <v>974.88</v>
      </c>
      <c r="O2590">
        <v>0</v>
      </c>
      <c r="P25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90" t="str">
        <f>IF(Table1[[#This Row],[Fraud_Score]]&gt;=6, "High Risk",IF(Table1[[#This Row],[Fraud_Score]]&gt;=3, "Medium Risk", "Low Risk"))</f>
        <v>Low Risk</v>
      </c>
      <c r="R2590">
        <f>IF(Table1[[#This Row],[Seconds of Use]]=0,0,Table1[[#This Row],[Customer Value]]/Table1[[#This Row],[Seconds of Use]]*100)</f>
        <v>43.913513513513514</v>
      </c>
    </row>
    <row r="2591" spans="1:18" x14ac:dyDescent="0.35">
      <c r="A2591" s="3" t="s">
        <v>2612</v>
      </c>
      <c r="B2591">
        <v>13</v>
      </c>
      <c r="C2591">
        <v>0</v>
      </c>
      <c r="D2591">
        <v>28</v>
      </c>
      <c r="E2591">
        <v>3</v>
      </c>
      <c r="F2591">
        <v>2473</v>
      </c>
      <c r="G2591">
        <v>55</v>
      </c>
      <c r="H2591">
        <v>58</v>
      </c>
      <c r="I2591">
        <v>85</v>
      </c>
      <c r="J2591">
        <v>5</v>
      </c>
      <c r="K2591">
        <v>1</v>
      </c>
      <c r="L2591">
        <v>1</v>
      </c>
      <c r="M2591">
        <v>55</v>
      </c>
      <c r="N2591">
        <v>124.92</v>
      </c>
      <c r="O2591">
        <v>0</v>
      </c>
      <c r="P25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91" t="str">
        <f>IF(Table1[[#This Row],[Fraud_Score]]&gt;=6, "High Risk",IF(Table1[[#This Row],[Fraud_Score]]&gt;=3, "Medium Risk", "Low Risk"))</f>
        <v>Medium Risk</v>
      </c>
      <c r="R2591">
        <f>IF(Table1[[#This Row],[Seconds of Use]]=0,0,Table1[[#This Row],[Customer Value]]/Table1[[#This Row],[Seconds of Use]]*100)</f>
        <v>5.0513546300040435</v>
      </c>
    </row>
    <row r="2592" spans="1:18" x14ac:dyDescent="0.35">
      <c r="A2592" s="3" t="s">
        <v>2613</v>
      </c>
      <c r="B2592">
        <v>20</v>
      </c>
      <c r="C2592">
        <v>0</v>
      </c>
      <c r="D2592">
        <v>29</v>
      </c>
      <c r="E2592">
        <v>0</v>
      </c>
      <c r="F2592">
        <v>1605</v>
      </c>
      <c r="G2592">
        <v>41</v>
      </c>
      <c r="H2592">
        <v>38</v>
      </c>
      <c r="I2592">
        <v>24</v>
      </c>
      <c r="J2592">
        <v>3</v>
      </c>
      <c r="K2592">
        <v>1</v>
      </c>
      <c r="L2592">
        <v>2</v>
      </c>
      <c r="M2592">
        <v>30</v>
      </c>
      <c r="N2592">
        <v>217.84</v>
      </c>
      <c r="O2592">
        <v>0</v>
      </c>
      <c r="P25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592" t="str">
        <f>IF(Table1[[#This Row],[Fraud_Score]]&gt;=6, "High Risk",IF(Table1[[#This Row],[Fraud_Score]]&gt;=3, "Medium Risk", "Low Risk"))</f>
        <v>Medium Risk</v>
      </c>
      <c r="R2592">
        <f>IF(Table1[[#This Row],[Seconds of Use]]=0,0,Table1[[#This Row],[Customer Value]]/Table1[[#This Row],[Seconds of Use]]*100)</f>
        <v>13.572585669781931</v>
      </c>
    </row>
    <row r="2593" spans="1:18" x14ac:dyDescent="0.35">
      <c r="A2593" s="3" t="s">
        <v>2614</v>
      </c>
      <c r="B2593">
        <v>9</v>
      </c>
      <c r="C2593">
        <v>0</v>
      </c>
      <c r="D2593">
        <v>28</v>
      </c>
      <c r="E2593">
        <v>0</v>
      </c>
      <c r="F2593">
        <v>1730</v>
      </c>
      <c r="G2593">
        <v>26</v>
      </c>
      <c r="H2593">
        <v>49</v>
      </c>
      <c r="I2593">
        <v>20</v>
      </c>
      <c r="J2593">
        <v>4</v>
      </c>
      <c r="K2593">
        <v>1</v>
      </c>
      <c r="L2593">
        <v>2</v>
      </c>
      <c r="M2593">
        <v>45</v>
      </c>
      <c r="N2593">
        <v>166.4</v>
      </c>
      <c r="O2593">
        <v>0</v>
      </c>
      <c r="P25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593" t="str">
        <f>IF(Table1[[#This Row],[Fraud_Score]]&gt;=6, "High Risk",IF(Table1[[#This Row],[Fraud_Score]]&gt;=3, "Medium Risk", "Low Risk"))</f>
        <v>Low Risk</v>
      </c>
      <c r="R2593">
        <f>IF(Table1[[#This Row],[Seconds of Use]]=0,0,Table1[[#This Row],[Customer Value]]/Table1[[#This Row],[Seconds of Use]]*100)</f>
        <v>9.6184971098265901</v>
      </c>
    </row>
    <row r="2594" spans="1:18" x14ac:dyDescent="0.35">
      <c r="A2594" s="3" t="s">
        <v>2615</v>
      </c>
      <c r="B2594">
        <v>19</v>
      </c>
      <c r="C2594">
        <v>0</v>
      </c>
      <c r="D2594">
        <v>27</v>
      </c>
      <c r="E2594">
        <v>3</v>
      </c>
      <c r="F2594">
        <v>2130</v>
      </c>
      <c r="G2594">
        <v>48</v>
      </c>
      <c r="H2594">
        <v>47</v>
      </c>
      <c r="I2594">
        <v>30</v>
      </c>
      <c r="J2594">
        <v>2</v>
      </c>
      <c r="K2594">
        <v>1</v>
      </c>
      <c r="L2594">
        <v>1</v>
      </c>
      <c r="M2594">
        <v>25</v>
      </c>
      <c r="N2594">
        <v>309.51</v>
      </c>
      <c r="O2594">
        <v>0</v>
      </c>
      <c r="P25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94" t="str">
        <f>IF(Table1[[#This Row],[Fraud_Score]]&gt;=6, "High Risk",IF(Table1[[#This Row],[Fraud_Score]]&gt;=3, "Medium Risk", "Low Risk"))</f>
        <v>Low Risk</v>
      </c>
      <c r="R2594">
        <f>IF(Table1[[#This Row],[Seconds of Use]]=0,0,Table1[[#This Row],[Customer Value]]/Table1[[#This Row],[Seconds of Use]]*100)</f>
        <v>14.530985915492959</v>
      </c>
    </row>
    <row r="2595" spans="1:18" x14ac:dyDescent="0.35">
      <c r="A2595" s="3" t="s">
        <v>2616</v>
      </c>
      <c r="B2595">
        <v>11</v>
      </c>
      <c r="C2595">
        <v>0</v>
      </c>
      <c r="D2595">
        <v>27</v>
      </c>
      <c r="E2595">
        <v>3</v>
      </c>
      <c r="F2595">
        <v>4130</v>
      </c>
      <c r="G2595">
        <v>77</v>
      </c>
      <c r="H2595">
        <v>36</v>
      </c>
      <c r="I2595">
        <v>40</v>
      </c>
      <c r="J2595">
        <v>3</v>
      </c>
      <c r="K2595">
        <v>1</v>
      </c>
      <c r="L2595">
        <v>1</v>
      </c>
      <c r="M2595">
        <v>30</v>
      </c>
      <c r="N2595">
        <v>312.27999999999997</v>
      </c>
      <c r="O2595">
        <v>0</v>
      </c>
      <c r="P25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95" t="str">
        <f>IF(Table1[[#This Row],[Fraud_Score]]&gt;=6, "High Risk",IF(Table1[[#This Row],[Fraud_Score]]&gt;=3, "Medium Risk", "Low Risk"))</f>
        <v>Low Risk</v>
      </c>
      <c r="R2595">
        <f>IF(Table1[[#This Row],[Seconds of Use]]=0,0,Table1[[#This Row],[Customer Value]]/Table1[[#This Row],[Seconds of Use]]*100)</f>
        <v>7.5612590799031469</v>
      </c>
    </row>
    <row r="2596" spans="1:18" x14ac:dyDescent="0.35">
      <c r="A2596" s="3" t="s">
        <v>2617</v>
      </c>
      <c r="B2596">
        <v>11</v>
      </c>
      <c r="C2596">
        <v>0</v>
      </c>
      <c r="D2596">
        <v>20</v>
      </c>
      <c r="E2596">
        <v>3</v>
      </c>
      <c r="F2596">
        <v>2600</v>
      </c>
      <c r="G2596">
        <v>42</v>
      </c>
      <c r="H2596">
        <v>56</v>
      </c>
      <c r="I2596">
        <v>31</v>
      </c>
      <c r="J2596">
        <v>3</v>
      </c>
      <c r="K2596">
        <v>1</v>
      </c>
      <c r="L2596">
        <v>1</v>
      </c>
      <c r="M2596">
        <v>30</v>
      </c>
      <c r="N2596">
        <v>329.68</v>
      </c>
      <c r="O2596">
        <v>0</v>
      </c>
      <c r="P25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96" t="str">
        <f>IF(Table1[[#This Row],[Fraud_Score]]&gt;=6, "High Risk",IF(Table1[[#This Row],[Fraud_Score]]&gt;=3, "Medium Risk", "Low Risk"))</f>
        <v>Low Risk</v>
      </c>
      <c r="R2596">
        <f>IF(Table1[[#This Row],[Seconds of Use]]=0,0,Table1[[#This Row],[Customer Value]]/Table1[[#This Row],[Seconds of Use]]*100)</f>
        <v>12.68</v>
      </c>
    </row>
    <row r="2597" spans="1:18" x14ac:dyDescent="0.35">
      <c r="A2597" s="3" t="s">
        <v>2618</v>
      </c>
      <c r="B2597">
        <v>25</v>
      </c>
      <c r="C2597">
        <v>0</v>
      </c>
      <c r="D2597">
        <v>19</v>
      </c>
      <c r="E2597">
        <v>4</v>
      </c>
      <c r="F2597">
        <v>7298</v>
      </c>
      <c r="G2597">
        <v>157</v>
      </c>
      <c r="H2597">
        <v>113</v>
      </c>
      <c r="I2597">
        <v>59</v>
      </c>
      <c r="J2597">
        <v>2</v>
      </c>
      <c r="K2597">
        <v>2</v>
      </c>
      <c r="L2597">
        <v>1</v>
      </c>
      <c r="M2597">
        <v>25</v>
      </c>
      <c r="N2597">
        <v>843.97500000000002</v>
      </c>
      <c r="O2597">
        <v>0</v>
      </c>
      <c r="P25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97" t="str">
        <f>IF(Table1[[#This Row],[Fraud_Score]]&gt;=6, "High Risk",IF(Table1[[#This Row],[Fraud_Score]]&gt;=3, "Medium Risk", "Low Risk"))</f>
        <v>Medium Risk</v>
      </c>
      <c r="R2597">
        <f>IF(Table1[[#This Row],[Seconds of Use]]=0,0,Table1[[#This Row],[Customer Value]]/Table1[[#This Row],[Seconds of Use]]*100)</f>
        <v>11.564469717730885</v>
      </c>
    </row>
    <row r="2598" spans="1:18" x14ac:dyDescent="0.35">
      <c r="A2598" s="3" t="s">
        <v>2619</v>
      </c>
      <c r="B2598">
        <v>21</v>
      </c>
      <c r="C2598">
        <v>0</v>
      </c>
      <c r="D2598">
        <v>17</v>
      </c>
      <c r="E2598">
        <v>3</v>
      </c>
      <c r="F2598">
        <v>9838</v>
      </c>
      <c r="G2598">
        <v>187</v>
      </c>
      <c r="H2598">
        <v>101</v>
      </c>
      <c r="I2598">
        <v>57</v>
      </c>
      <c r="J2598">
        <v>5</v>
      </c>
      <c r="K2598">
        <v>1</v>
      </c>
      <c r="L2598">
        <v>1</v>
      </c>
      <c r="M2598">
        <v>55</v>
      </c>
      <c r="N2598">
        <v>301.875</v>
      </c>
      <c r="O2598">
        <v>0</v>
      </c>
      <c r="P25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598" t="str">
        <f>IF(Table1[[#This Row],[Fraud_Score]]&gt;=6, "High Risk",IF(Table1[[#This Row],[Fraud_Score]]&gt;=3, "Medium Risk", "Low Risk"))</f>
        <v>Medium Risk</v>
      </c>
      <c r="R2598">
        <f>IF(Table1[[#This Row],[Seconds of Use]]=0,0,Table1[[#This Row],[Customer Value]]/Table1[[#This Row],[Seconds of Use]]*100)</f>
        <v>3.0684590363895099</v>
      </c>
    </row>
    <row r="2599" spans="1:18" x14ac:dyDescent="0.35">
      <c r="A2599" s="3" t="s">
        <v>2620</v>
      </c>
      <c r="B2599">
        <v>17</v>
      </c>
      <c r="C2599">
        <v>0</v>
      </c>
      <c r="D2599">
        <v>18</v>
      </c>
      <c r="E2599">
        <v>6</v>
      </c>
      <c r="F2599">
        <v>3758</v>
      </c>
      <c r="G2599">
        <v>61</v>
      </c>
      <c r="H2599">
        <v>59</v>
      </c>
      <c r="I2599">
        <v>36</v>
      </c>
      <c r="J2599">
        <v>3</v>
      </c>
      <c r="K2599">
        <v>2</v>
      </c>
      <c r="L2599">
        <v>1</v>
      </c>
      <c r="M2599">
        <v>30</v>
      </c>
      <c r="N2599">
        <v>388.76</v>
      </c>
      <c r="O2599">
        <v>0</v>
      </c>
      <c r="P25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599" t="str">
        <f>IF(Table1[[#This Row],[Fraud_Score]]&gt;=6, "High Risk",IF(Table1[[#This Row],[Fraud_Score]]&gt;=3, "Medium Risk", "Low Risk"))</f>
        <v>Low Risk</v>
      </c>
      <c r="R2599">
        <f>IF(Table1[[#This Row],[Seconds of Use]]=0,0,Table1[[#This Row],[Customer Value]]/Table1[[#This Row],[Seconds of Use]]*100)</f>
        <v>10.3448642895157</v>
      </c>
    </row>
    <row r="2600" spans="1:18" x14ac:dyDescent="0.35">
      <c r="A2600" s="3" t="s">
        <v>2621</v>
      </c>
      <c r="B2600">
        <v>11</v>
      </c>
      <c r="C2600">
        <v>0</v>
      </c>
      <c r="D2600">
        <v>11</v>
      </c>
      <c r="E2600">
        <v>4</v>
      </c>
      <c r="F2600">
        <v>5295</v>
      </c>
      <c r="G2600">
        <v>56</v>
      </c>
      <c r="H2600">
        <v>243</v>
      </c>
      <c r="I2600">
        <v>27</v>
      </c>
      <c r="J2600">
        <v>3</v>
      </c>
      <c r="K2600">
        <v>2</v>
      </c>
      <c r="L2600">
        <v>1</v>
      </c>
      <c r="M2600">
        <v>30</v>
      </c>
      <c r="N2600">
        <v>1186.04</v>
      </c>
      <c r="O2600">
        <v>0</v>
      </c>
      <c r="P26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00" t="str">
        <f>IF(Table1[[#This Row],[Fraud_Score]]&gt;=6, "High Risk",IF(Table1[[#This Row],[Fraud_Score]]&gt;=3, "Medium Risk", "Low Risk"))</f>
        <v>Low Risk</v>
      </c>
      <c r="R2600">
        <f>IF(Table1[[#This Row],[Seconds of Use]]=0,0,Table1[[#This Row],[Customer Value]]/Table1[[#This Row],[Seconds of Use]]*100)</f>
        <v>22.399244570349385</v>
      </c>
    </row>
    <row r="2601" spans="1:18" x14ac:dyDescent="0.35">
      <c r="A2601" s="3" t="s">
        <v>2622</v>
      </c>
      <c r="B2601">
        <v>12</v>
      </c>
      <c r="C2601">
        <v>1</v>
      </c>
      <c r="D2601">
        <v>11</v>
      </c>
      <c r="E2601">
        <v>4</v>
      </c>
      <c r="F2601">
        <v>2393</v>
      </c>
      <c r="G2601">
        <v>35</v>
      </c>
      <c r="H2601">
        <v>28</v>
      </c>
      <c r="I2601">
        <v>24</v>
      </c>
      <c r="J2601">
        <v>3</v>
      </c>
      <c r="K2601">
        <v>1</v>
      </c>
      <c r="L2601">
        <v>1</v>
      </c>
      <c r="M2601">
        <v>30</v>
      </c>
      <c r="N2601">
        <v>209.12</v>
      </c>
      <c r="O2601">
        <v>1</v>
      </c>
      <c r="P26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01" t="str">
        <f>IF(Table1[[#This Row],[Fraud_Score]]&gt;=6, "High Risk",IF(Table1[[#This Row],[Fraud_Score]]&gt;=3, "Medium Risk", "Low Risk"))</f>
        <v>Medium Risk</v>
      </c>
      <c r="R2601">
        <f>IF(Table1[[#This Row],[Seconds of Use]]=0,0,Table1[[#This Row],[Customer Value]]/Table1[[#This Row],[Seconds of Use]]*100)</f>
        <v>8.7388215628917667</v>
      </c>
    </row>
    <row r="2602" spans="1:18" x14ac:dyDescent="0.35">
      <c r="A2602" s="3" t="s">
        <v>2623</v>
      </c>
      <c r="B2602">
        <v>9</v>
      </c>
      <c r="C2602">
        <v>0</v>
      </c>
      <c r="D2602">
        <v>40</v>
      </c>
      <c r="E2602">
        <v>0</v>
      </c>
      <c r="F2602">
        <v>4075</v>
      </c>
      <c r="G2602">
        <v>67</v>
      </c>
      <c r="H2602">
        <v>7</v>
      </c>
      <c r="I2602">
        <v>4</v>
      </c>
      <c r="J2602">
        <v>3</v>
      </c>
      <c r="K2602">
        <v>1</v>
      </c>
      <c r="L2602">
        <v>1</v>
      </c>
      <c r="M2602">
        <v>30</v>
      </c>
      <c r="N2602">
        <v>193.68</v>
      </c>
      <c r="O2602">
        <v>0</v>
      </c>
      <c r="P26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02" t="str">
        <f>IF(Table1[[#This Row],[Fraud_Score]]&gt;=6, "High Risk",IF(Table1[[#This Row],[Fraud_Score]]&gt;=3, "Medium Risk", "Low Risk"))</f>
        <v>Low Risk</v>
      </c>
      <c r="R2602">
        <f>IF(Table1[[#This Row],[Seconds of Use]]=0,0,Table1[[#This Row],[Customer Value]]/Table1[[#This Row],[Seconds of Use]]*100)</f>
        <v>4.752883435582822</v>
      </c>
    </row>
    <row r="2603" spans="1:18" x14ac:dyDescent="0.35">
      <c r="A2603" s="3" t="s">
        <v>2624</v>
      </c>
      <c r="B2603">
        <v>5</v>
      </c>
      <c r="C2603">
        <v>0</v>
      </c>
      <c r="D2603">
        <v>41</v>
      </c>
      <c r="E2603">
        <v>0</v>
      </c>
      <c r="F2603">
        <v>305</v>
      </c>
      <c r="G2603">
        <v>6</v>
      </c>
      <c r="H2603">
        <v>7</v>
      </c>
      <c r="I2603">
        <v>2</v>
      </c>
      <c r="J2603">
        <v>3</v>
      </c>
      <c r="K2603">
        <v>1</v>
      </c>
      <c r="L2603">
        <v>2</v>
      </c>
      <c r="M2603">
        <v>30</v>
      </c>
      <c r="N2603">
        <v>40.44</v>
      </c>
      <c r="O2603">
        <v>0</v>
      </c>
      <c r="P26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03" t="str">
        <f>IF(Table1[[#This Row],[Fraud_Score]]&gt;=6, "High Risk",IF(Table1[[#This Row],[Fraud_Score]]&gt;=3, "Medium Risk", "Low Risk"))</f>
        <v>Low Risk</v>
      </c>
      <c r="R2603">
        <f>IF(Table1[[#This Row],[Seconds of Use]]=0,0,Table1[[#This Row],[Customer Value]]/Table1[[#This Row],[Seconds of Use]]*100)</f>
        <v>13.259016393442622</v>
      </c>
    </row>
    <row r="2604" spans="1:18" x14ac:dyDescent="0.35">
      <c r="A2604" s="3" t="s">
        <v>2625</v>
      </c>
      <c r="B2604">
        <v>11</v>
      </c>
      <c r="C2604">
        <v>0</v>
      </c>
      <c r="D2604">
        <v>39</v>
      </c>
      <c r="E2604">
        <v>0</v>
      </c>
      <c r="F2604">
        <v>2158</v>
      </c>
      <c r="G2604">
        <v>56</v>
      </c>
      <c r="H2604">
        <v>345</v>
      </c>
      <c r="I2604">
        <v>11</v>
      </c>
      <c r="J2604">
        <v>3</v>
      </c>
      <c r="K2604">
        <v>1</v>
      </c>
      <c r="L2604">
        <v>1</v>
      </c>
      <c r="M2604">
        <v>30</v>
      </c>
      <c r="N2604">
        <v>1468.56</v>
      </c>
      <c r="O2604">
        <v>0</v>
      </c>
      <c r="P26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04" t="str">
        <f>IF(Table1[[#This Row],[Fraud_Score]]&gt;=6, "High Risk",IF(Table1[[#This Row],[Fraud_Score]]&gt;=3, "Medium Risk", "Low Risk"))</f>
        <v>Medium Risk</v>
      </c>
      <c r="R2604">
        <f>IF(Table1[[#This Row],[Seconds of Use]]=0,0,Table1[[#This Row],[Customer Value]]/Table1[[#This Row],[Seconds of Use]]*100)</f>
        <v>68.051899907321584</v>
      </c>
    </row>
    <row r="2605" spans="1:18" x14ac:dyDescent="0.35">
      <c r="A2605" s="3" t="s">
        <v>2626</v>
      </c>
      <c r="B2605">
        <v>11</v>
      </c>
      <c r="C2605">
        <v>0</v>
      </c>
      <c r="D2605">
        <v>40</v>
      </c>
      <c r="E2605">
        <v>0</v>
      </c>
      <c r="F2605">
        <v>3903</v>
      </c>
      <c r="G2605">
        <v>62</v>
      </c>
      <c r="H2605">
        <v>7</v>
      </c>
      <c r="I2605">
        <v>22</v>
      </c>
      <c r="J2605">
        <v>1</v>
      </c>
      <c r="K2605">
        <v>1</v>
      </c>
      <c r="L2605">
        <v>1</v>
      </c>
      <c r="M2605">
        <v>15</v>
      </c>
      <c r="N2605">
        <v>256.57499999999999</v>
      </c>
      <c r="O2605">
        <v>0</v>
      </c>
      <c r="P26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05" t="str">
        <f>IF(Table1[[#This Row],[Fraud_Score]]&gt;=6, "High Risk",IF(Table1[[#This Row],[Fraud_Score]]&gt;=3, "Medium Risk", "Low Risk"))</f>
        <v>Medium Risk</v>
      </c>
      <c r="R2605">
        <f>IF(Table1[[#This Row],[Seconds of Use]]=0,0,Table1[[#This Row],[Customer Value]]/Table1[[#This Row],[Seconds of Use]]*100)</f>
        <v>6.5737893927747884</v>
      </c>
    </row>
    <row r="2606" spans="1:18" x14ac:dyDescent="0.35">
      <c r="A2606" s="3" t="s">
        <v>2627</v>
      </c>
      <c r="B2606">
        <v>5</v>
      </c>
      <c r="C2606">
        <v>0</v>
      </c>
      <c r="D2606">
        <v>40</v>
      </c>
      <c r="E2606">
        <v>0</v>
      </c>
      <c r="F2606">
        <v>2098</v>
      </c>
      <c r="G2606">
        <v>54</v>
      </c>
      <c r="H2606">
        <v>7</v>
      </c>
      <c r="I2606">
        <v>20</v>
      </c>
      <c r="J2606">
        <v>2</v>
      </c>
      <c r="K2606">
        <v>1</v>
      </c>
      <c r="L2606">
        <v>1</v>
      </c>
      <c r="M2606">
        <v>25</v>
      </c>
      <c r="N2606">
        <v>128.34</v>
      </c>
      <c r="O2606">
        <v>0</v>
      </c>
      <c r="P26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06" t="str">
        <f>IF(Table1[[#This Row],[Fraud_Score]]&gt;=6, "High Risk",IF(Table1[[#This Row],[Fraud_Score]]&gt;=3, "Medium Risk", "Low Risk"))</f>
        <v>Low Risk</v>
      </c>
      <c r="R2606">
        <f>IF(Table1[[#This Row],[Seconds of Use]]=0,0,Table1[[#This Row],[Customer Value]]/Table1[[#This Row],[Seconds of Use]]*100)</f>
        <v>6.1172545281220208</v>
      </c>
    </row>
    <row r="2607" spans="1:18" x14ac:dyDescent="0.35">
      <c r="A2607" s="3" t="s">
        <v>2628</v>
      </c>
      <c r="B2607">
        <v>12</v>
      </c>
      <c r="C2607">
        <v>0</v>
      </c>
      <c r="D2607">
        <v>40</v>
      </c>
      <c r="E2607">
        <v>0</v>
      </c>
      <c r="F2607">
        <v>3480</v>
      </c>
      <c r="G2607">
        <v>78</v>
      </c>
      <c r="H2607">
        <v>18</v>
      </c>
      <c r="I2607">
        <v>15</v>
      </c>
      <c r="J2607">
        <v>3</v>
      </c>
      <c r="K2607">
        <v>1</v>
      </c>
      <c r="L2607">
        <v>1</v>
      </c>
      <c r="M2607">
        <v>30</v>
      </c>
      <c r="N2607">
        <v>214.32</v>
      </c>
      <c r="O2607">
        <v>0</v>
      </c>
      <c r="P26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07" t="str">
        <f>IF(Table1[[#This Row],[Fraud_Score]]&gt;=6, "High Risk",IF(Table1[[#This Row],[Fraud_Score]]&gt;=3, "Medium Risk", "Low Risk"))</f>
        <v>Medium Risk</v>
      </c>
      <c r="R2607">
        <f>IF(Table1[[#This Row],[Seconds of Use]]=0,0,Table1[[#This Row],[Customer Value]]/Table1[[#This Row],[Seconds of Use]]*100)</f>
        <v>6.1586206896551721</v>
      </c>
    </row>
    <row r="2608" spans="1:18" x14ac:dyDescent="0.35">
      <c r="A2608" s="3" t="s">
        <v>2629</v>
      </c>
      <c r="B2608">
        <v>5</v>
      </c>
      <c r="C2608">
        <v>0</v>
      </c>
      <c r="D2608">
        <v>40</v>
      </c>
      <c r="E2608">
        <v>0</v>
      </c>
      <c r="F2608">
        <v>2065</v>
      </c>
      <c r="G2608">
        <v>35</v>
      </c>
      <c r="H2608">
        <v>271</v>
      </c>
      <c r="I2608">
        <v>5</v>
      </c>
      <c r="J2608">
        <v>3</v>
      </c>
      <c r="K2608">
        <v>1</v>
      </c>
      <c r="L2608">
        <v>1</v>
      </c>
      <c r="M2608">
        <v>30</v>
      </c>
      <c r="N2608">
        <v>1168</v>
      </c>
      <c r="O2608">
        <v>0</v>
      </c>
      <c r="P26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08" t="str">
        <f>IF(Table1[[#This Row],[Fraud_Score]]&gt;=6, "High Risk",IF(Table1[[#This Row],[Fraud_Score]]&gt;=3, "Medium Risk", "Low Risk"))</f>
        <v>Low Risk</v>
      </c>
      <c r="R2608">
        <f>IF(Table1[[#This Row],[Seconds of Use]]=0,0,Table1[[#This Row],[Customer Value]]/Table1[[#This Row],[Seconds of Use]]*100)</f>
        <v>56.561743341404359</v>
      </c>
    </row>
    <row r="2609" spans="1:18" x14ac:dyDescent="0.35">
      <c r="A2609" s="3" t="s">
        <v>2630</v>
      </c>
      <c r="B2609">
        <v>14</v>
      </c>
      <c r="C2609">
        <v>0</v>
      </c>
      <c r="D2609">
        <v>39</v>
      </c>
      <c r="E2609">
        <v>1</v>
      </c>
      <c r="F2609">
        <v>8820</v>
      </c>
      <c r="G2609">
        <v>117</v>
      </c>
      <c r="H2609">
        <v>130</v>
      </c>
      <c r="I2609">
        <v>30</v>
      </c>
      <c r="J2609">
        <v>3</v>
      </c>
      <c r="K2609">
        <v>1</v>
      </c>
      <c r="L2609">
        <v>1</v>
      </c>
      <c r="M2609">
        <v>30</v>
      </c>
      <c r="N2609">
        <v>877.48</v>
      </c>
      <c r="O2609">
        <v>0</v>
      </c>
      <c r="P26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09" t="str">
        <f>IF(Table1[[#This Row],[Fraud_Score]]&gt;=6, "High Risk",IF(Table1[[#This Row],[Fraud_Score]]&gt;=3, "Medium Risk", "Low Risk"))</f>
        <v>Low Risk</v>
      </c>
      <c r="R2609">
        <f>IF(Table1[[#This Row],[Seconds of Use]]=0,0,Table1[[#This Row],[Customer Value]]/Table1[[#This Row],[Seconds of Use]]*100)</f>
        <v>9.9487528344671201</v>
      </c>
    </row>
    <row r="2610" spans="1:18" x14ac:dyDescent="0.35">
      <c r="A2610" s="3" t="s">
        <v>2631</v>
      </c>
      <c r="B2610">
        <v>8</v>
      </c>
      <c r="C2610">
        <v>0</v>
      </c>
      <c r="D2610">
        <v>40</v>
      </c>
      <c r="E2610">
        <v>0</v>
      </c>
      <c r="F2610">
        <v>13478</v>
      </c>
      <c r="G2610">
        <v>165</v>
      </c>
      <c r="H2610">
        <v>7</v>
      </c>
      <c r="I2610">
        <v>31</v>
      </c>
      <c r="J2610">
        <v>3</v>
      </c>
      <c r="K2610">
        <v>1</v>
      </c>
      <c r="L2610">
        <v>1</v>
      </c>
      <c r="M2610">
        <v>30</v>
      </c>
      <c r="N2610">
        <v>573.72</v>
      </c>
      <c r="O2610">
        <v>0</v>
      </c>
      <c r="P26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10" t="str">
        <f>IF(Table1[[#This Row],[Fraud_Score]]&gt;=6, "High Risk",IF(Table1[[#This Row],[Fraud_Score]]&gt;=3, "Medium Risk", "Low Risk"))</f>
        <v>Medium Risk</v>
      </c>
      <c r="R2610">
        <f>IF(Table1[[#This Row],[Seconds of Use]]=0,0,Table1[[#This Row],[Customer Value]]/Table1[[#This Row],[Seconds of Use]]*100)</f>
        <v>4.2567146460899243</v>
      </c>
    </row>
    <row r="2611" spans="1:18" x14ac:dyDescent="0.35">
      <c r="A2611" s="3" t="s">
        <v>2632</v>
      </c>
      <c r="B2611">
        <v>8</v>
      </c>
      <c r="C2611">
        <v>0</v>
      </c>
      <c r="D2611">
        <v>40</v>
      </c>
      <c r="E2611">
        <v>0</v>
      </c>
      <c r="F2611">
        <v>4220</v>
      </c>
      <c r="G2611">
        <v>79</v>
      </c>
      <c r="H2611">
        <v>7</v>
      </c>
      <c r="I2611">
        <v>12</v>
      </c>
      <c r="J2611">
        <v>3</v>
      </c>
      <c r="K2611">
        <v>1</v>
      </c>
      <c r="L2611">
        <v>1</v>
      </c>
      <c r="M2611">
        <v>30</v>
      </c>
      <c r="N2611">
        <v>199.96</v>
      </c>
      <c r="O2611">
        <v>0</v>
      </c>
      <c r="P26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11" t="str">
        <f>IF(Table1[[#This Row],[Fraud_Score]]&gt;=6, "High Risk",IF(Table1[[#This Row],[Fraud_Score]]&gt;=3, "Medium Risk", "Low Risk"))</f>
        <v>Low Risk</v>
      </c>
      <c r="R2611">
        <f>IF(Table1[[#This Row],[Seconds of Use]]=0,0,Table1[[#This Row],[Customer Value]]/Table1[[#This Row],[Seconds of Use]]*100)</f>
        <v>4.7383886255924175</v>
      </c>
    </row>
    <row r="2612" spans="1:18" x14ac:dyDescent="0.35">
      <c r="A2612" s="3" t="s">
        <v>2633</v>
      </c>
      <c r="B2612">
        <v>7</v>
      </c>
      <c r="C2612">
        <v>0</v>
      </c>
      <c r="D2612">
        <v>40</v>
      </c>
      <c r="E2612">
        <v>1</v>
      </c>
      <c r="F2612">
        <v>5623</v>
      </c>
      <c r="G2612">
        <v>91</v>
      </c>
      <c r="H2612">
        <v>7</v>
      </c>
      <c r="I2612">
        <v>17</v>
      </c>
      <c r="J2612">
        <v>3</v>
      </c>
      <c r="K2612">
        <v>1</v>
      </c>
      <c r="L2612">
        <v>1</v>
      </c>
      <c r="M2612">
        <v>30</v>
      </c>
      <c r="N2612">
        <v>256.56</v>
      </c>
      <c r="O2612">
        <v>0</v>
      </c>
      <c r="P26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12" t="str">
        <f>IF(Table1[[#This Row],[Fraud_Score]]&gt;=6, "High Risk",IF(Table1[[#This Row],[Fraud_Score]]&gt;=3, "Medium Risk", "Low Risk"))</f>
        <v>Low Risk</v>
      </c>
      <c r="R2612">
        <f>IF(Table1[[#This Row],[Seconds of Use]]=0,0,Table1[[#This Row],[Customer Value]]/Table1[[#This Row],[Seconds of Use]]*100)</f>
        <v>4.5626889560732709</v>
      </c>
    </row>
    <row r="2613" spans="1:18" x14ac:dyDescent="0.35">
      <c r="A2613" s="3" t="s">
        <v>2634</v>
      </c>
      <c r="B2613">
        <v>10</v>
      </c>
      <c r="C2613">
        <v>0</v>
      </c>
      <c r="D2613">
        <v>40</v>
      </c>
      <c r="E2613">
        <v>0</v>
      </c>
      <c r="F2613">
        <v>1943</v>
      </c>
      <c r="G2613">
        <v>50</v>
      </c>
      <c r="H2613">
        <v>7</v>
      </c>
      <c r="I2613">
        <v>4</v>
      </c>
      <c r="J2613">
        <v>3</v>
      </c>
      <c r="K2613">
        <v>1</v>
      </c>
      <c r="L2613">
        <v>2</v>
      </c>
      <c r="M2613">
        <v>30</v>
      </c>
      <c r="N2613">
        <v>107.72</v>
      </c>
      <c r="O2613">
        <v>0</v>
      </c>
      <c r="P26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13" t="str">
        <f>IF(Table1[[#This Row],[Fraud_Score]]&gt;=6, "High Risk",IF(Table1[[#This Row],[Fraud_Score]]&gt;=3, "Medium Risk", "Low Risk"))</f>
        <v>Low Risk</v>
      </c>
      <c r="R2613">
        <f>IF(Table1[[#This Row],[Seconds of Use]]=0,0,Table1[[#This Row],[Customer Value]]/Table1[[#This Row],[Seconds of Use]]*100)</f>
        <v>5.5440041173443131</v>
      </c>
    </row>
    <row r="2614" spans="1:18" x14ac:dyDescent="0.35">
      <c r="A2614" s="3" t="s">
        <v>2635</v>
      </c>
      <c r="B2614">
        <v>26</v>
      </c>
      <c r="C2614">
        <v>0</v>
      </c>
      <c r="D2614">
        <v>40</v>
      </c>
      <c r="E2614">
        <v>2</v>
      </c>
      <c r="F2614">
        <v>14845</v>
      </c>
      <c r="G2614">
        <v>221</v>
      </c>
      <c r="H2614">
        <v>40</v>
      </c>
      <c r="I2614">
        <v>19</v>
      </c>
      <c r="J2614">
        <v>3</v>
      </c>
      <c r="K2614">
        <v>1</v>
      </c>
      <c r="L2614">
        <v>1</v>
      </c>
      <c r="M2614">
        <v>30</v>
      </c>
      <c r="N2614">
        <v>762.64</v>
      </c>
      <c r="O2614">
        <v>0</v>
      </c>
      <c r="P26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14" t="str">
        <f>IF(Table1[[#This Row],[Fraud_Score]]&gt;=6, "High Risk",IF(Table1[[#This Row],[Fraud_Score]]&gt;=3, "Medium Risk", "Low Risk"))</f>
        <v>Medium Risk</v>
      </c>
      <c r="R2614">
        <f>IF(Table1[[#This Row],[Seconds of Use]]=0,0,Table1[[#This Row],[Customer Value]]/Table1[[#This Row],[Seconds of Use]]*100)</f>
        <v>5.1373526439878745</v>
      </c>
    </row>
    <row r="2615" spans="1:18" x14ac:dyDescent="0.35">
      <c r="A2615" s="3" t="s">
        <v>2636</v>
      </c>
      <c r="B2615">
        <v>5</v>
      </c>
      <c r="C2615">
        <v>0</v>
      </c>
      <c r="D2615">
        <v>40</v>
      </c>
      <c r="E2615">
        <v>1</v>
      </c>
      <c r="F2615">
        <v>2800</v>
      </c>
      <c r="G2615">
        <v>23</v>
      </c>
      <c r="H2615">
        <v>469</v>
      </c>
      <c r="I2615">
        <v>9</v>
      </c>
      <c r="J2615">
        <v>3</v>
      </c>
      <c r="K2615">
        <v>1</v>
      </c>
      <c r="L2615">
        <v>1</v>
      </c>
      <c r="M2615">
        <v>30</v>
      </c>
      <c r="N2615">
        <v>1988.92</v>
      </c>
      <c r="O2615">
        <v>0</v>
      </c>
      <c r="P26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15" t="str">
        <f>IF(Table1[[#This Row],[Fraud_Score]]&gt;=6, "High Risk",IF(Table1[[#This Row],[Fraud_Score]]&gt;=3, "Medium Risk", "Low Risk"))</f>
        <v>Low Risk</v>
      </c>
      <c r="R2615">
        <f>IF(Table1[[#This Row],[Seconds of Use]]=0,0,Table1[[#This Row],[Customer Value]]/Table1[[#This Row],[Seconds of Use]]*100)</f>
        <v>71.032857142857139</v>
      </c>
    </row>
    <row r="2616" spans="1:18" x14ac:dyDescent="0.35">
      <c r="A2616" s="3" t="s">
        <v>2637</v>
      </c>
      <c r="B2616">
        <v>10</v>
      </c>
      <c r="C2616">
        <v>0</v>
      </c>
      <c r="D2616">
        <v>39</v>
      </c>
      <c r="E2616">
        <v>0</v>
      </c>
      <c r="F2616">
        <v>15190</v>
      </c>
      <c r="G2616">
        <v>178</v>
      </c>
      <c r="H2616">
        <v>136</v>
      </c>
      <c r="I2616">
        <v>17</v>
      </c>
      <c r="J2616">
        <v>2</v>
      </c>
      <c r="K2616">
        <v>1</v>
      </c>
      <c r="L2616">
        <v>1</v>
      </c>
      <c r="M2616">
        <v>25</v>
      </c>
      <c r="N2616">
        <v>1303.56</v>
      </c>
      <c r="O2616">
        <v>0</v>
      </c>
      <c r="P26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16" t="str">
        <f>IF(Table1[[#This Row],[Fraud_Score]]&gt;=6, "High Risk",IF(Table1[[#This Row],[Fraud_Score]]&gt;=3, "Medium Risk", "Low Risk"))</f>
        <v>Medium Risk</v>
      </c>
      <c r="R2616">
        <f>IF(Table1[[#This Row],[Seconds of Use]]=0,0,Table1[[#This Row],[Customer Value]]/Table1[[#This Row],[Seconds of Use]]*100)</f>
        <v>8.5816984858459513</v>
      </c>
    </row>
    <row r="2617" spans="1:18" x14ac:dyDescent="0.35">
      <c r="A2617" s="3" t="s">
        <v>2638</v>
      </c>
      <c r="B2617">
        <v>5</v>
      </c>
      <c r="C2617">
        <v>0</v>
      </c>
      <c r="D2617">
        <v>39</v>
      </c>
      <c r="E2617">
        <v>0</v>
      </c>
      <c r="F2617">
        <v>6205</v>
      </c>
      <c r="G2617">
        <v>82</v>
      </c>
      <c r="H2617">
        <v>172</v>
      </c>
      <c r="I2617">
        <v>13</v>
      </c>
      <c r="J2617">
        <v>3</v>
      </c>
      <c r="K2617">
        <v>1</v>
      </c>
      <c r="L2617">
        <v>1</v>
      </c>
      <c r="M2617">
        <v>30</v>
      </c>
      <c r="N2617">
        <v>939.48</v>
      </c>
      <c r="O2617">
        <v>0</v>
      </c>
      <c r="P26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17" t="str">
        <f>IF(Table1[[#This Row],[Fraud_Score]]&gt;=6, "High Risk",IF(Table1[[#This Row],[Fraud_Score]]&gt;=3, "Medium Risk", "Low Risk"))</f>
        <v>Low Risk</v>
      </c>
      <c r="R2617">
        <f>IF(Table1[[#This Row],[Seconds of Use]]=0,0,Table1[[#This Row],[Customer Value]]/Table1[[#This Row],[Seconds of Use]]*100)</f>
        <v>15.140692989524576</v>
      </c>
    </row>
    <row r="2618" spans="1:18" x14ac:dyDescent="0.35">
      <c r="A2618" s="3" t="s">
        <v>2639</v>
      </c>
      <c r="B2618">
        <v>5</v>
      </c>
      <c r="C2618">
        <v>0</v>
      </c>
      <c r="D2618">
        <v>39</v>
      </c>
      <c r="E2618">
        <v>0</v>
      </c>
      <c r="F2618">
        <v>580</v>
      </c>
      <c r="G2618">
        <v>10</v>
      </c>
      <c r="H2618">
        <v>7</v>
      </c>
      <c r="I2618">
        <v>2</v>
      </c>
      <c r="J2618">
        <v>2</v>
      </c>
      <c r="K2618">
        <v>1</v>
      </c>
      <c r="L2618">
        <v>2</v>
      </c>
      <c r="M2618">
        <v>25</v>
      </c>
      <c r="N2618">
        <v>58.05</v>
      </c>
      <c r="O2618">
        <v>0</v>
      </c>
      <c r="P26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18" t="str">
        <f>IF(Table1[[#This Row],[Fraud_Score]]&gt;=6, "High Risk",IF(Table1[[#This Row],[Fraud_Score]]&gt;=3, "Medium Risk", "Low Risk"))</f>
        <v>Low Risk</v>
      </c>
      <c r="R2618">
        <f>IF(Table1[[#This Row],[Seconds of Use]]=0,0,Table1[[#This Row],[Customer Value]]/Table1[[#This Row],[Seconds of Use]]*100)</f>
        <v>10.008620689655173</v>
      </c>
    </row>
    <row r="2619" spans="1:18" x14ac:dyDescent="0.35">
      <c r="A2619" s="3" t="s">
        <v>2640</v>
      </c>
      <c r="B2619">
        <v>5</v>
      </c>
      <c r="C2619">
        <v>0</v>
      </c>
      <c r="D2619">
        <v>40</v>
      </c>
      <c r="E2619">
        <v>0</v>
      </c>
      <c r="F2619">
        <v>415</v>
      </c>
      <c r="G2619">
        <v>10</v>
      </c>
      <c r="H2619">
        <v>7</v>
      </c>
      <c r="I2619">
        <v>2</v>
      </c>
      <c r="J2619">
        <v>3</v>
      </c>
      <c r="K2619">
        <v>1</v>
      </c>
      <c r="L2619">
        <v>2</v>
      </c>
      <c r="M2619">
        <v>30</v>
      </c>
      <c r="N2619">
        <v>45</v>
      </c>
      <c r="O2619">
        <v>0</v>
      </c>
      <c r="P26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19" t="str">
        <f>IF(Table1[[#This Row],[Fraud_Score]]&gt;=6, "High Risk",IF(Table1[[#This Row],[Fraud_Score]]&gt;=3, "Medium Risk", "Low Risk"))</f>
        <v>Low Risk</v>
      </c>
      <c r="R2619">
        <f>IF(Table1[[#This Row],[Seconds of Use]]=0,0,Table1[[#This Row],[Customer Value]]/Table1[[#This Row],[Seconds of Use]]*100)</f>
        <v>10.843373493975903</v>
      </c>
    </row>
    <row r="2620" spans="1:18" x14ac:dyDescent="0.35">
      <c r="A2620" s="3" t="s">
        <v>2641</v>
      </c>
      <c r="B2620">
        <v>5</v>
      </c>
      <c r="C2620">
        <v>0</v>
      </c>
      <c r="D2620">
        <v>39</v>
      </c>
      <c r="E2620">
        <v>0</v>
      </c>
      <c r="F2620">
        <v>305</v>
      </c>
      <c r="G2620">
        <v>6</v>
      </c>
      <c r="H2620">
        <v>7</v>
      </c>
      <c r="I2620">
        <v>2</v>
      </c>
      <c r="J2620">
        <v>2</v>
      </c>
      <c r="K2620">
        <v>1</v>
      </c>
      <c r="L2620">
        <v>2</v>
      </c>
      <c r="M2620">
        <v>25</v>
      </c>
      <c r="N2620">
        <v>45.494999999999997</v>
      </c>
      <c r="O2620">
        <v>1</v>
      </c>
      <c r="P26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20" t="str">
        <f>IF(Table1[[#This Row],[Fraud_Score]]&gt;=6, "High Risk",IF(Table1[[#This Row],[Fraud_Score]]&gt;=3, "Medium Risk", "Low Risk"))</f>
        <v>Low Risk</v>
      </c>
      <c r="R2620">
        <f>IF(Table1[[#This Row],[Seconds of Use]]=0,0,Table1[[#This Row],[Customer Value]]/Table1[[#This Row],[Seconds of Use]]*100)</f>
        <v>14.916393442622949</v>
      </c>
    </row>
    <row r="2621" spans="1:18" x14ac:dyDescent="0.35">
      <c r="A2621" s="3" t="s">
        <v>2642</v>
      </c>
      <c r="B2621">
        <v>5</v>
      </c>
      <c r="C2621">
        <v>0</v>
      </c>
      <c r="D2621">
        <v>39</v>
      </c>
      <c r="E2621">
        <v>0</v>
      </c>
      <c r="F2621">
        <v>7213</v>
      </c>
      <c r="G2621">
        <v>123</v>
      </c>
      <c r="H2621">
        <v>370</v>
      </c>
      <c r="I2621">
        <v>30</v>
      </c>
      <c r="J2621">
        <v>3</v>
      </c>
      <c r="K2621">
        <v>1</v>
      </c>
      <c r="L2621">
        <v>1</v>
      </c>
      <c r="M2621">
        <v>30</v>
      </c>
      <c r="N2621">
        <v>1773.44</v>
      </c>
      <c r="O2621">
        <v>0</v>
      </c>
      <c r="P26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21" t="str">
        <f>IF(Table1[[#This Row],[Fraud_Score]]&gt;=6, "High Risk",IF(Table1[[#This Row],[Fraud_Score]]&gt;=3, "Medium Risk", "Low Risk"))</f>
        <v>Low Risk</v>
      </c>
      <c r="R2621">
        <f>IF(Table1[[#This Row],[Seconds of Use]]=0,0,Table1[[#This Row],[Customer Value]]/Table1[[#This Row],[Seconds of Use]]*100)</f>
        <v>24.586718425065854</v>
      </c>
    </row>
    <row r="2622" spans="1:18" x14ac:dyDescent="0.35">
      <c r="A2622" s="3" t="s">
        <v>2643</v>
      </c>
      <c r="B2622">
        <v>8</v>
      </c>
      <c r="C2622">
        <v>0</v>
      </c>
      <c r="D2622">
        <v>39</v>
      </c>
      <c r="E2622">
        <v>0</v>
      </c>
      <c r="F2622">
        <v>11170</v>
      </c>
      <c r="G2622">
        <v>150</v>
      </c>
      <c r="H2622">
        <v>7</v>
      </c>
      <c r="I2622">
        <v>34</v>
      </c>
      <c r="J2622">
        <v>4</v>
      </c>
      <c r="K2622">
        <v>1</v>
      </c>
      <c r="L2622">
        <v>1</v>
      </c>
      <c r="M2622">
        <v>45</v>
      </c>
      <c r="N2622">
        <v>300.5</v>
      </c>
      <c r="O2622">
        <v>0</v>
      </c>
      <c r="P26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22" t="str">
        <f>IF(Table1[[#This Row],[Fraud_Score]]&gt;=6, "High Risk",IF(Table1[[#This Row],[Fraud_Score]]&gt;=3, "Medium Risk", "Low Risk"))</f>
        <v>Medium Risk</v>
      </c>
      <c r="R2622">
        <f>IF(Table1[[#This Row],[Seconds of Use]]=0,0,Table1[[#This Row],[Customer Value]]/Table1[[#This Row],[Seconds of Use]]*100)</f>
        <v>2.6902417188898835</v>
      </c>
    </row>
    <row r="2623" spans="1:18" x14ac:dyDescent="0.35">
      <c r="A2623" s="3" t="s">
        <v>2644</v>
      </c>
      <c r="B2623">
        <v>9</v>
      </c>
      <c r="C2623">
        <v>0</v>
      </c>
      <c r="D2623">
        <v>39</v>
      </c>
      <c r="E2623">
        <v>0</v>
      </c>
      <c r="F2623">
        <v>6423</v>
      </c>
      <c r="G2623">
        <v>71</v>
      </c>
      <c r="H2623">
        <v>94</v>
      </c>
      <c r="I2623">
        <v>24</v>
      </c>
      <c r="J2623">
        <v>2</v>
      </c>
      <c r="K2623">
        <v>1</v>
      </c>
      <c r="L2623">
        <v>1</v>
      </c>
      <c r="M2623">
        <v>25</v>
      </c>
      <c r="N2623">
        <v>715.23</v>
      </c>
      <c r="O2623">
        <v>0</v>
      </c>
      <c r="P26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23" t="str">
        <f>IF(Table1[[#This Row],[Fraud_Score]]&gt;=6, "High Risk",IF(Table1[[#This Row],[Fraud_Score]]&gt;=3, "Medium Risk", "Low Risk"))</f>
        <v>Low Risk</v>
      </c>
      <c r="R2623">
        <f>IF(Table1[[#This Row],[Seconds of Use]]=0,0,Table1[[#This Row],[Customer Value]]/Table1[[#This Row],[Seconds of Use]]*100)</f>
        <v>11.135450723960766</v>
      </c>
    </row>
    <row r="2624" spans="1:18" x14ac:dyDescent="0.35">
      <c r="A2624" s="3" t="s">
        <v>2645</v>
      </c>
      <c r="B2624">
        <v>24</v>
      </c>
      <c r="C2624">
        <v>0</v>
      </c>
      <c r="D2624">
        <v>35</v>
      </c>
      <c r="E2624">
        <v>0</v>
      </c>
      <c r="F2624">
        <v>660</v>
      </c>
      <c r="G2624">
        <v>43</v>
      </c>
      <c r="H2624">
        <v>7</v>
      </c>
      <c r="I2624">
        <v>4</v>
      </c>
      <c r="J2624">
        <v>3</v>
      </c>
      <c r="K2624">
        <v>1</v>
      </c>
      <c r="L2624">
        <v>2</v>
      </c>
      <c r="M2624">
        <v>30</v>
      </c>
      <c r="N2624">
        <v>56.12</v>
      </c>
      <c r="O2624">
        <v>1</v>
      </c>
      <c r="P26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24" t="str">
        <f>IF(Table1[[#This Row],[Fraud_Score]]&gt;=6, "High Risk",IF(Table1[[#This Row],[Fraud_Score]]&gt;=3, "Medium Risk", "Low Risk"))</f>
        <v>Medium Risk</v>
      </c>
      <c r="R2624">
        <f>IF(Table1[[#This Row],[Seconds of Use]]=0,0,Table1[[#This Row],[Customer Value]]/Table1[[#This Row],[Seconds of Use]]*100)</f>
        <v>8.5030303030303021</v>
      </c>
    </row>
    <row r="2625" spans="1:18" x14ac:dyDescent="0.35">
      <c r="A2625" s="3" t="s">
        <v>2646</v>
      </c>
      <c r="B2625">
        <v>22</v>
      </c>
      <c r="C2625">
        <v>0</v>
      </c>
      <c r="D2625">
        <v>38</v>
      </c>
      <c r="E2625">
        <v>7</v>
      </c>
      <c r="F2625">
        <v>10140</v>
      </c>
      <c r="G2625">
        <v>89</v>
      </c>
      <c r="H2625">
        <v>7</v>
      </c>
      <c r="I2625">
        <v>29</v>
      </c>
      <c r="J2625">
        <v>5</v>
      </c>
      <c r="K2625">
        <v>1</v>
      </c>
      <c r="L2625">
        <v>1</v>
      </c>
      <c r="M2625">
        <v>55</v>
      </c>
      <c r="N2625">
        <v>163.935</v>
      </c>
      <c r="O2625">
        <v>0</v>
      </c>
      <c r="P26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25" t="str">
        <f>IF(Table1[[#This Row],[Fraud_Score]]&gt;=6, "High Risk",IF(Table1[[#This Row],[Fraud_Score]]&gt;=3, "Medium Risk", "Low Risk"))</f>
        <v>Low Risk</v>
      </c>
      <c r="R2625">
        <f>IF(Table1[[#This Row],[Seconds of Use]]=0,0,Table1[[#This Row],[Customer Value]]/Table1[[#This Row],[Seconds of Use]]*100)</f>
        <v>1.616715976331361</v>
      </c>
    </row>
    <row r="2626" spans="1:18" x14ac:dyDescent="0.35">
      <c r="A2626" s="3" t="s">
        <v>2647</v>
      </c>
      <c r="B2626">
        <v>14</v>
      </c>
      <c r="C2626">
        <v>0</v>
      </c>
      <c r="D2626">
        <v>38</v>
      </c>
      <c r="E2626">
        <v>0</v>
      </c>
      <c r="F2626">
        <v>5523</v>
      </c>
      <c r="G2626">
        <v>94</v>
      </c>
      <c r="H2626">
        <v>12</v>
      </c>
      <c r="I2626">
        <v>11</v>
      </c>
      <c r="J2626">
        <v>2</v>
      </c>
      <c r="K2626">
        <v>1</v>
      </c>
      <c r="L2626">
        <v>1</v>
      </c>
      <c r="M2626">
        <v>25</v>
      </c>
      <c r="N2626">
        <v>306.76499999999999</v>
      </c>
      <c r="O2626">
        <v>1</v>
      </c>
      <c r="P26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26" t="str">
        <f>IF(Table1[[#This Row],[Fraud_Score]]&gt;=6, "High Risk",IF(Table1[[#This Row],[Fraud_Score]]&gt;=3, "Medium Risk", "Low Risk"))</f>
        <v>Medium Risk</v>
      </c>
      <c r="R2626">
        <f>IF(Table1[[#This Row],[Seconds of Use]]=0,0,Table1[[#This Row],[Customer Value]]/Table1[[#This Row],[Seconds of Use]]*100)</f>
        <v>5.5543183052688754</v>
      </c>
    </row>
    <row r="2627" spans="1:18" x14ac:dyDescent="0.35">
      <c r="A2627" s="3" t="s">
        <v>2648</v>
      </c>
      <c r="B2627">
        <v>5</v>
      </c>
      <c r="C2627">
        <v>0</v>
      </c>
      <c r="D2627">
        <v>36</v>
      </c>
      <c r="E2627">
        <v>1</v>
      </c>
      <c r="F2627">
        <v>2545</v>
      </c>
      <c r="G2627">
        <v>18</v>
      </c>
      <c r="H2627">
        <v>7</v>
      </c>
      <c r="I2627">
        <v>6</v>
      </c>
      <c r="J2627">
        <v>3</v>
      </c>
      <c r="K2627">
        <v>1</v>
      </c>
      <c r="L2627">
        <v>1</v>
      </c>
      <c r="M2627">
        <v>30</v>
      </c>
      <c r="N2627">
        <v>130.52000000000001</v>
      </c>
      <c r="O2627">
        <v>0</v>
      </c>
      <c r="P26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27" t="str">
        <f>IF(Table1[[#This Row],[Fraud_Score]]&gt;=6, "High Risk",IF(Table1[[#This Row],[Fraud_Score]]&gt;=3, "Medium Risk", "Low Risk"))</f>
        <v>Low Risk</v>
      </c>
      <c r="R2627">
        <f>IF(Table1[[#This Row],[Seconds of Use]]=0,0,Table1[[#This Row],[Customer Value]]/Table1[[#This Row],[Seconds of Use]]*100)</f>
        <v>5.1284872298624755</v>
      </c>
    </row>
    <row r="2628" spans="1:18" x14ac:dyDescent="0.35">
      <c r="A2628" s="3" t="s">
        <v>2649</v>
      </c>
      <c r="B2628">
        <v>10</v>
      </c>
      <c r="C2628">
        <v>0</v>
      </c>
      <c r="D2628">
        <v>37</v>
      </c>
      <c r="E2628">
        <v>0</v>
      </c>
      <c r="F2628">
        <v>2695</v>
      </c>
      <c r="G2628">
        <v>37</v>
      </c>
      <c r="H2628">
        <v>7</v>
      </c>
      <c r="I2628">
        <v>3</v>
      </c>
      <c r="J2628">
        <v>3</v>
      </c>
      <c r="K2628">
        <v>1</v>
      </c>
      <c r="L2628">
        <v>2</v>
      </c>
      <c r="M2628">
        <v>30</v>
      </c>
      <c r="N2628">
        <v>137.28</v>
      </c>
      <c r="O2628">
        <v>1</v>
      </c>
      <c r="P26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28" t="str">
        <f>IF(Table1[[#This Row],[Fraud_Score]]&gt;=6, "High Risk",IF(Table1[[#This Row],[Fraud_Score]]&gt;=3, "Medium Risk", "Low Risk"))</f>
        <v>Low Risk</v>
      </c>
      <c r="R2628">
        <f>IF(Table1[[#This Row],[Seconds of Use]]=0,0,Table1[[#This Row],[Customer Value]]/Table1[[#This Row],[Seconds of Use]]*100)</f>
        <v>5.093877551020408</v>
      </c>
    </row>
    <row r="2629" spans="1:18" x14ac:dyDescent="0.35">
      <c r="A2629" s="3" t="s">
        <v>2650</v>
      </c>
      <c r="B2629">
        <v>10</v>
      </c>
      <c r="C2629">
        <v>0</v>
      </c>
      <c r="D2629">
        <v>38</v>
      </c>
      <c r="E2629">
        <v>0</v>
      </c>
      <c r="F2629">
        <v>1973</v>
      </c>
      <c r="G2629">
        <v>40</v>
      </c>
      <c r="H2629">
        <v>20</v>
      </c>
      <c r="I2629">
        <v>18</v>
      </c>
      <c r="J2629">
        <v>3</v>
      </c>
      <c r="K2629">
        <v>1</v>
      </c>
      <c r="L2629">
        <v>2</v>
      </c>
      <c r="M2629">
        <v>30</v>
      </c>
      <c r="N2629">
        <v>160.52000000000001</v>
      </c>
      <c r="O2629">
        <v>1</v>
      </c>
      <c r="P26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29" t="str">
        <f>IF(Table1[[#This Row],[Fraud_Score]]&gt;=6, "High Risk",IF(Table1[[#This Row],[Fraud_Score]]&gt;=3, "Medium Risk", "Low Risk"))</f>
        <v>Low Risk</v>
      </c>
      <c r="R2629">
        <f>IF(Table1[[#This Row],[Seconds of Use]]=0,0,Table1[[#This Row],[Customer Value]]/Table1[[#This Row],[Seconds of Use]]*100)</f>
        <v>8.1358337557019773</v>
      </c>
    </row>
    <row r="2630" spans="1:18" x14ac:dyDescent="0.35">
      <c r="A2630" s="3" t="s">
        <v>2651</v>
      </c>
      <c r="B2630">
        <v>5</v>
      </c>
      <c r="C2630">
        <v>1</v>
      </c>
      <c r="D2630">
        <v>38</v>
      </c>
      <c r="E2630">
        <v>0</v>
      </c>
      <c r="F2630">
        <v>305</v>
      </c>
      <c r="G2630">
        <v>6</v>
      </c>
      <c r="H2630">
        <v>7</v>
      </c>
      <c r="I2630">
        <v>2</v>
      </c>
      <c r="J2630">
        <v>3</v>
      </c>
      <c r="K2630">
        <v>1</v>
      </c>
      <c r="L2630">
        <v>2</v>
      </c>
      <c r="M2630">
        <v>30</v>
      </c>
      <c r="N2630">
        <v>40.44</v>
      </c>
      <c r="O2630">
        <v>1</v>
      </c>
      <c r="P26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30" t="str">
        <f>IF(Table1[[#This Row],[Fraud_Score]]&gt;=6, "High Risk",IF(Table1[[#This Row],[Fraud_Score]]&gt;=3, "Medium Risk", "Low Risk"))</f>
        <v>Medium Risk</v>
      </c>
      <c r="R2630">
        <f>IF(Table1[[#This Row],[Seconds of Use]]=0,0,Table1[[#This Row],[Customer Value]]/Table1[[#This Row],[Seconds of Use]]*100)</f>
        <v>13.259016393442622</v>
      </c>
    </row>
    <row r="2631" spans="1:18" x14ac:dyDescent="0.35">
      <c r="A2631" s="3" t="s">
        <v>2652</v>
      </c>
      <c r="B2631">
        <v>5</v>
      </c>
      <c r="C2631">
        <v>0</v>
      </c>
      <c r="D2631">
        <v>38</v>
      </c>
      <c r="E2631">
        <v>1</v>
      </c>
      <c r="F2631">
        <v>1373</v>
      </c>
      <c r="G2631">
        <v>21</v>
      </c>
      <c r="H2631">
        <v>7</v>
      </c>
      <c r="I2631">
        <v>2</v>
      </c>
      <c r="J2631">
        <v>4</v>
      </c>
      <c r="K2631">
        <v>1</v>
      </c>
      <c r="L2631">
        <v>1</v>
      </c>
      <c r="M2631">
        <v>45</v>
      </c>
      <c r="N2631">
        <v>52.35</v>
      </c>
      <c r="O2631">
        <v>0</v>
      </c>
      <c r="P26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31" t="str">
        <f>IF(Table1[[#This Row],[Fraud_Score]]&gt;=6, "High Risk",IF(Table1[[#This Row],[Fraud_Score]]&gt;=3, "Medium Risk", "Low Risk"))</f>
        <v>Low Risk</v>
      </c>
      <c r="R2631">
        <f>IF(Table1[[#This Row],[Seconds of Use]]=0,0,Table1[[#This Row],[Customer Value]]/Table1[[#This Row],[Seconds of Use]]*100)</f>
        <v>3.8128186453022579</v>
      </c>
    </row>
    <row r="2632" spans="1:18" x14ac:dyDescent="0.35">
      <c r="A2632" s="3" t="s">
        <v>2653</v>
      </c>
      <c r="B2632">
        <v>5</v>
      </c>
      <c r="C2632">
        <v>0</v>
      </c>
      <c r="D2632">
        <v>35</v>
      </c>
      <c r="E2632">
        <v>0</v>
      </c>
      <c r="F2632">
        <v>6490</v>
      </c>
      <c r="G2632">
        <v>93</v>
      </c>
      <c r="H2632">
        <v>7</v>
      </c>
      <c r="I2632">
        <v>9</v>
      </c>
      <c r="J2632">
        <v>5</v>
      </c>
      <c r="K2632">
        <v>1</v>
      </c>
      <c r="L2632">
        <v>1</v>
      </c>
      <c r="M2632">
        <v>55</v>
      </c>
      <c r="N2632">
        <v>109.245</v>
      </c>
      <c r="O2632">
        <v>0</v>
      </c>
      <c r="P26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32" t="str">
        <f>IF(Table1[[#This Row],[Fraud_Score]]&gt;=6, "High Risk",IF(Table1[[#This Row],[Fraud_Score]]&gt;=3, "Medium Risk", "Low Risk"))</f>
        <v>Low Risk</v>
      </c>
      <c r="R2632">
        <f>IF(Table1[[#This Row],[Seconds of Use]]=0,0,Table1[[#This Row],[Customer Value]]/Table1[[#This Row],[Seconds of Use]]*100)</f>
        <v>1.683281972265023</v>
      </c>
    </row>
    <row r="2633" spans="1:18" x14ac:dyDescent="0.35">
      <c r="A2633" s="3" t="s">
        <v>2654</v>
      </c>
      <c r="B2633">
        <v>5</v>
      </c>
      <c r="C2633">
        <v>0</v>
      </c>
      <c r="D2633">
        <v>38</v>
      </c>
      <c r="E2633">
        <v>0</v>
      </c>
      <c r="F2633">
        <v>305</v>
      </c>
      <c r="G2633">
        <v>6</v>
      </c>
      <c r="H2633">
        <v>7</v>
      </c>
      <c r="I2633">
        <v>2</v>
      </c>
      <c r="J2633">
        <v>4</v>
      </c>
      <c r="K2633">
        <v>1</v>
      </c>
      <c r="L2633">
        <v>2</v>
      </c>
      <c r="M2633">
        <v>45</v>
      </c>
      <c r="N2633">
        <v>25.274999999999999</v>
      </c>
      <c r="O2633">
        <v>1</v>
      </c>
      <c r="P26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33" t="str">
        <f>IF(Table1[[#This Row],[Fraud_Score]]&gt;=6, "High Risk",IF(Table1[[#This Row],[Fraud_Score]]&gt;=3, "Medium Risk", "Low Risk"))</f>
        <v>Low Risk</v>
      </c>
      <c r="R2633">
        <f>IF(Table1[[#This Row],[Seconds of Use]]=0,0,Table1[[#This Row],[Customer Value]]/Table1[[#This Row],[Seconds of Use]]*100)</f>
        <v>8.2868852459016384</v>
      </c>
    </row>
    <row r="2634" spans="1:18" x14ac:dyDescent="0.35">
      <c r="A2634" s="3" t="s">
        <v>2655</v>
      </c>
      <c r="B2634">
        <v>5</v>
      </c>
      <c r="C2634">
        <v>0</v>
      </c>
      <c r="D2634">
        <v>38</v>
      </c>
      <c r="E2634">
        <v>0</v>
      </c>
      <c r="F2634">
        <v>305</v>
      </c>
      <c r="G2634">
        <v>6</v>
      </c>
      <c r="H2634">
        <v>7</v>
      </c>
      <c r="I2634">
        <v>2</v>
      </c>
      <c r="J2634">
        <v>5</v>
      </c>
      <c r="K2634">
        <v>1</v>
      </c>
      <c r="L2634">
        <v>1</v>
      </c>
      <c r="M2634">
        <v>55</v>
      </c>
      <c r="N2634">
        <v>15.164999999999999</v>
      </c>
      <c r="O2634">
        <v>0</v>
      </c>
      <c r="P26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34" t="str">
        <f>IF(Table1[[#This Row],[Fraud_Score]]&gt;=6, "High Risk",IF(Table1[[#This Row],[Fraud_Score]]&gt;=3, "Medium Risk", "Low Risk"))</f>
        <v>Low Risk</v>
      </c>
      <c r="R2634">
        <f>IF(Table1[[#This Row],[Seconds of Use]]=0,0,Table1[[#This Row],[Customer Value]]/Table1[[#This Row],[Seconds of Use]]*100)</f>
        <v>4.9721311475409831</v>
      </c>
    </row>
    <row r="2635" spans="1:18" x14ac:dyDescent="0.35">
      <c r="A2635" s="3" t="s">
        <v>2656</v>
      </c>
      <c r="B2635">
        <v>26</v>
      </c>
      <c r="C2635">
        <v>0</v>
      </c>
      <c r="D2635">
        <v>33</v>
      </c>
      <c r="E2635">
        <v>2</v>
      </c>
      <c r="F2635">
        <v>15780</v>
      </c>
      <c r="G2635">
        <v>234</v>
      </c>
      <c r="H2635">
        <v>7</v>
      </c>
      <c r="I2635">
        <v>67</v>
      </c>
      <c r="J2635">
        <v>2</v>
      </c>
      <c r="K2635">
        <v>1</v>
      </c>
      <c r="L2635">
        <v>1</v>
      </c>
      <c r="M2635">
        <v>25</v>
      </c>
      <c r="N2635">
        <v>752.13</v>
      </c>
      <c r="O2635">
        <v>0</v>
      </c>
      <c r="P26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35" t="str">
        <f>IF(Table1[[#This Row],[Fraud_Score]]&gt;=6, "High Risk",IF(Table1[[#This Row],[Fraud_Score]]&gt;=3, "Medium Risk", "Low Risk"))</f>
        <v>Medium Risk</v>
      </c>
      <c r="R2635">
        <f>IF(Table1[[#This Row],[Seconds of Use]]=0,0,Table1[[#This Row],[Customer Value]]/Table1[[#This Row],[Seconds of Use]]*100)</f>
        <v>4.7663498098859316</v>
      </c>
    </row>
    <row r="2636" spans="1:18" x14ac:dyDescent="0.35">
      <c r="A2636" s="3" t="s">
        <v>2657</v>
      </c>
      <c r="B2636">
        <v>7</v>
      </c>
      <c r="C2636">
        <v>0</v>
      </c>
      <c r="D2636">
        <v>36</v>
      </c>
      <c r="E2636">
        <v>2</v>
      </c>
      <c r="F2636">
        <v>6670</v>
      </c>
      <c r="G2636">
        <v>112</v>
      </c>
      <c r="H2636">
        <v>257</v>
      </c>
      <c r="I2636">
        <v>20</v>
      </c>
      <c r="J2636">
        <v>3</v>
      </c>
      <c r="K2636">
        <v>2</v>
      </c>
      <c r="L2636">
        <v>1</v>
      </c>
      <c r="M2636">
        <v>30</v>
      </c>
      <c r="N2636">
        <v>1299.28</v>
      </c>
      <c r="O2636">
        <v>0</v>
      </c>
      <c r="P26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36" t="str">
        <f>IF(Table1[[#This Row],[Fraud_Score]]&gt;=6, "High Risk",IF(Table1[[#This Row],[Fraud_Score]]&gt;=3, "Medium Risk", "Low Risk"))</f>
        <v>Low Risk</v>
      </c>
      <c r="R2636">
        <f>IF(Table1[[#This Row],[Seconds of Use]]=0,0,Table1[[#This Row],[Customer Value]]/Table1[[#This Row],[Seconds of Use]]*100)</f>
        <v>19.479460269865069</v>
      </c>
    </row>
    <row r="2637" spans="1:18" x14ac:dyDescent="0.35">
      <c r="A2637" s="3" t="s">
        <v>2658</v>
      </c>
      <c r="B2637">
        <v>5</v>
      </c>
      <c r="C2637">
        <v>0</v>
      </c>
      <c r="D2637">
        <v>38</v>
      </c>
      <c r="E2637">
        <v>0</v>
      </c>
      <c r="F2637">
        <v>3423</v>
      </c>
      <c r="G2637">
        <v>78</v>
      </c>
      <c r="H2637">
        <v>7</v>
      </c>
      <c r="I2637">
        <v>15</v>
      </c>
      <c r="J2637">
        <v>3</v>
      </c>
      <c r="K2637">
        <v>1</v>
      </c>
      <c r="L2637">
        <v>1</v>
      </c>
      <c r="M2637">
        <v>30</v>
      </c>
      <c r="N2637">
        <v>168.04</v>
      </c>
      <c r="O2637">
        <v>0</v>
      </c>
      <c r="P26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37" t="str">
        <f>IF(Table1[[#This Row],[Fraud_Score]]&gt;=6, "High Risk",IF(Table1[[#This Row],[Fraud_Score]]&gt;=3, "Medium Risk", "Low Risk"))</f>
        <v>Low Risk</v>
      </c>
      <c r="R2637">
        <f>IF(Table1[[#This Row],[Seconds of Use]]=0,0,Table1[[#This Row],[Customer Value]]/Table1[[#This Row],[Seconds of Use]]*100)</f>
        <v>4.909144025708442</v>
      </c>
    </row>
    <row r="2638" spans="1:18" x14ac:dyDescent="0.35">
      <c r="A2638" s="3" t="s">
        <v>2659</v>
      </c>
      <c r="B2638">
        <v>5</v>
      </c>
      <c r="C2638">
        <v>0</v>
      </c>
      <c r="D2638">
        <v>37</v>
      </c>
      <c r="E2638">
        <v>0</v>
      </c>
      <c r="F2638">
        <v>1370</v>
      </c>
      <c r="G2638">
        <v>40</v>
      </c>
      <c r="H2638">
        <v>24</v>
      </c>
      <c r="I2638">
        <v>7</v>
      </c>
      <c r="J2638">
        <v>3</v>
      </c>
      <c r="K2638">
        <v>1</v>
      </c>
      <c r="L2638">
        <v>2</v>
      </c>
      <c r="M2638">
        <v>30</v>
      </c>
      <c r="N2638">
        <v>152.4</v>
      </c>
      <c r="O2638">
        <v>0</v>
      </c>
      <c r="P26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38" t="str">
        <f>IF(Table1[[#This Row],[Fraud_Score]]&gt;=6, "High Risk",IF(Table1[[#This Row],[Fraud_Score]]&gt;=3, "Medium Risk", "Low Risk"))</f>
        <v>Low Risk</v>
      </c>
      <c r="R2638">
        <f>IF(Table1[[#This Row],[Seconds of Use]]=0,0,Table1[[#This Row],[Customer Value]]/Table1[[#This Row],[Seconds of Use]]*100)</f>
        <v>11.124087591240876</v>
      </c>
    </row>
    <row r="2639" spans="1:18" x14ac:dyDescent="0.35">
      <c r="A2639" s="3" t="s">
        <v>2660</v>
      </c>
      <c r="B2639">
        <v>7</v>
      </c>
      <c r="C2639">
        <v>0</v>
      </c>
      <c r="D2639">
        <v>38</v>
      </c>
      <c r="E2639">
        <v>0</v>
      </c>
      <c r="F2639">
        <v>2485</v>
      </c>
      <c r="G2639">
        <v>49</v>
      </c>
      <c r="H2639">
        <v>161</v>
      </c>
      <c r="I2639">
        <v>10</v>
      </c>
      <c r="J2639">
        <v>2</v>
      </c>
      <c r="K2639">
        <v>1</v>
      </c>
      <c r="L2639">
        <v>1</v>
      </c>
      <c r="M2639">
        <v>25</v>
      </c>
      <c r="N2639">
        <v>838.53</v>
      </c>
      <c r="O2639">
        <v>0</v>
      </c>
      <c r="P26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39" t="str">
        <f>IF(Table1[[#This Row],[Fraud_Score]]&gt;=6, "High Risk",IF(Table1[[#This Row],[Fraud_Score]]&gt;=3, "Medium Risk", "Low Risk"))</f>
        <v>Low Risk</v>
      </c>
      <c r="R2639">
        <f>IF(Table1[[#This Row],[Seconds of Use]]=0,0,Table1[[#This Row],[Customer Value]]/Table1[[#This Row],[Seconds of Use]]*100)</f>
        <v>33.743661971830988</v>
      </c>
    </row>
    <row r="2640" spans="1:18" x14ac:dyDescent="0.35">
      <c r="A2640" s="3" t="s">
        <v>2661</v>
      </c>
      <c r="B2640">
        <v>5</v>
      </c>
      <c r="C2640">
        <v>0</v>
      </c>
      <c r="D2640">
        <v>29</v>
      </c>
      <c r="E2640">
        <v>1</v>
      </c>
      <c r="F2640">
        <v>1020</v>
      </c>
      <c r="G2640">
        <v>32</v>
      </c>
      <c r="H2640">
        <v>179</v>
      </c>
      <c r="I2640">
        <v>2</v>
      </c>
      <c r="J2640">
        <v>3</v>
      </c>
      <c r="K2640">
        <v>2</v>
      </c>
      <c r="L2640">
        <v>1</v>
      </c>
      <c r="M2640">
        <v>30</v>
      </c>
      <c r="N2640">
        <v>758.08</v>
      </c>
      <c r="O2640">
        <v>0</v>
      </c>
      <c r="P26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40" t="str">
        <f>IF(Table1[[#This Row],[Fraud_Score]]&gt;=6, "High Risk",IF(Table1[[#This Row],[Fraud_Score]]&gt;=3, "Medium Risk", "Low Risk"))</f>
        <v>Low Risk</v>
      </c>
      <c r="R2640">
        <f>IF(Table1[[#This Row],[Seconds of Use]]=0,0,Table1[[#This Row],[Customer Value]]/Table1[[#This Row],[Seconds of Use]]*100)</f>
        <v>74.321568627450986</v>
      </c>
    </row>
    <row r="2641" spans="1:18" x14ac:dyDescent="0.35">
      <c r="A2641" s="3" t="s">
        <v>2662</v>
      </c>
      <c r="B2641">
        <v>5</v>
      </c>
      <c r="C2641">
        <v>0</v>
      </c>
      <c r="D2641">
        <v>28</v>
      </c>
      <c r="E2641">
        <v>0</v>
      </c>
      <c r="F2641">
        <v>1273</v>
      </c>
      <c r="G2641">
        <v>35</v>
      </c>
      <c r="H2641">
        <v>16</v>
      </c>
      <c r="I2641">
        <v>55</v>
      </c>
      <c r="J2641">
        <v>4</v>
      </c>
      <c r="K2641">
        <v>1</v>
      </c>
      <c r="L2641">
        <v>1</v>
      </c>
      <c r="M2641">
        <v>45</v>
      </c>
      <c r="N2641">
        <v>72.7</v>
      </c>
      <c r="O2641">
        <v>0</v>
      </c>
      <c r="P26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41" t="str">
        <f>IF(Table1[[#This Row],[Fraud_Score]]&gt;=6, "High Risk",IF(Table1[[#This Row],[Fraud_Score]]&gt;=3, "Medium Risk", "Low Risk"))</f>
        <v>Low Risk</v>
      </c>
      <c r="R2641">
        <f>IF(Table1[[#This Row],[Seconds of Use]]=0,0,Table1[[#This Row],[Customer Value]]/Table1[[#This Row],[Seconds of Use]]*100)</f>
        <v>5.7109190887666932</v>
      </c>
    </row>
    <row r="2642" spans="1:18" x14ac:dyDescent="0.35">
      <c r="A2642" s="3" t="s">
        <v>2663</v>
      </c>
      <c r="B2642">
        <v>12</v>
      </c>
      <c r="C2642">
        <v>0</v>
      </c>
      <c r="D2642">
        <v>29</v>
      </c>
      <c r="E2642">
        <v>0</v>
      </c>
      <c r="F2642">
        <v>405</v>
      </c>
      <c r="G2642">
        <v>21</v>
      </c>
      <c r="H2642">
        <v>7</v>
      </c>
      <c r="I2642">
        <v>2</v>
      </c>
      <c r="J2642">
        <v>3</v>
      </c>
      <c r="K2642">
        <v>1</v>
      </c>
      <c r="L2642">
        <v>2</v>
      </c>
      <c r="M2642">
        <v>30</v>
      </c>
      <c r="N2642">
        <v>45.04</v>
      </c>
      <c r="O2642">
        <v>0</v>
      </c>
      <c r="P26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42" t="str">
        <f>IF(Table1[[#This Row],[Fraud_Score]]&gt;=6, "High Risk",IF(Table1[[#This Row],[Fraud_Score]]&gt;=3, "Medium Risk", "Low Risk"))</f>
        <v>Medium Risk</v>
      </c>
      <c r="R2642">
        <f>IF(Table1[[#This Row],[Seconds of Use]]=0,0,Table1[[#This Row],[Customer Value]]/Table1[[#This Row],[Seconds of Use]]*100)</f>
        <v>11.120987654320988</v>
      </c>
    </row>
    <row r="2643" spans="1:18" x14ac:dyDescent="0.35">
      <c r="A2643" s="3" t="s">
        <v>2664</v>
      </c>
      <c r="B2643">
        <v>5</v>
      </c>
      <c r="C2643">
        <v>0</v>
      </c>
      <c r="D2643">
        <v>28</v>
      </c>
      <c r="E2643">
        <v>0</v>
      </c>
      <c r="F2643">
        <v>305</v>
      </c>
      <c r="G2643">
        <v>6</v>
      </c>
      <c r="H2643">
        <v>7</v>
      </c>
      <c r="I2643">
        <v>2</v>
      </c>
      <c r="J2643">
        <v>4</v>
      </c>
      <c r="K2643">
        <v>1</v>
      </c>
      <c r="L2643">
        <v>2</v>
      </c>
      <c r="M2643">
        <v>45</v>
      </c>
      <c r="N2643">
        <v>25.274999999999999</v>
      </c>
      <c r="O2643">
        <v>0</v>
      </c>
      <c r="P26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43" t="str">
        <f>IF(Table1[[#This Row],[Fraud_Score]]&gt;=6, "High Risk",IF(Table1[[#This Row],[Fraud_Score]]&gt;=3, "Medium Risk", "Low Risk"))</f>
        <v>Low Risk</v>
      </c>
      <c r="R2643">
        <f>IF(Table1[[#This Row],[Seconds of Use]]=0,0,Table1[[#This Row],[Customer Value]]/Table1[[#This Row],[Seconds of Use]]*100)</f>
        <v>8.2868852459016384</v>
      </c>
    </row>
    <row r="2644" spans="1:18" x14ac:dyDescent="0.35">
      <c r="A2644" s="3" t="s">
        <v>2665</v>
      </c>
      <c r="B2644">
        <v>11</v>
      </c>
      <c r="C2644">
        <v>0</v>
      </c>
      <c r="D2644">
        <v>27</v>
      </c>
      <c r="E2644">
        <v>1</v>
      </c>
      <c r="F2644">
        <v>930</v>
      </c>
      <c r="G2644">
        <v>28</v>
      </c>
      <c r="H2644">
        <v>7</v>
      </c>
      <c r="I2644">
        <v>2</v>
      </c>
      <c r="J2644">
        <v>2</v>
      </c>
      <c r="K2644">
        <v>1</v>
      </c>
      <c r="L2644">
        <v>1</v>
      </c>
      <c r="M2644">
        <v>25</v>
      </c>
      <c r="N2644">
        <v>74.61</v>
      </c>
      <c r="O2644">
        <v>0</v>
      </c>
      <c r="P26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44" t="str">
        <f>IF(Table1[[#This Row],[Fraud_Score]]&gt;=6, "High Risk",IF(Table1[[#This Row],[Fraud_Score]]&gt;=3, "Medium Risk", "Low Risk"))</f>
        <v>Low Risk</v>
      </c>
      <c r="R2644">
        <f>IF(Table1[[#This Row],[Seconds of Use]]=0,0,Table1[[#This Row],[Customer Value]]/Table1[[#This Row],[Seconds of Use]]*100)</f>
        <v>8.0225806451612893</v>
      </c>
    </row>
    <row r="2645" spans="1:18" x14ac:dyDescent="0.35">
      <c r="A2645" s="3" t="s">
        <v>2666</v>
      </c>
      <c r="B2645">
        <v>5</v>
      </c>
      <c r="C2645">
        <v>0</v>
      </c>
      <c r="D2645">
        <v>27</v>
      </c>
      <c r="E2645">
        <v>0</v>
      </c>
      <c r="F2645">
        <v>2930</v>
      </c>
      <c r="G2645">
        <v>57</v>
      </c>
      <c r="H2645">
        <v>7</v>
      </c>
      <c r="I2645">
        <v>10</v>
      </c>
      <c r="J2645">
        <v>3</v>
      </c>
      <c r="K2645">
        <v>1</v>
      </c>
      <c r="L2645">
        <v>1</v>
      </c>
      <c r="M2645">
        <v>30</v>
      </c>
      <c r="N2645">
        <v>147.47999999999999</v>
      </c>
      <c r="O2645">
        <v>0</v>
      </c>
      <c r="P26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45" t="str">
        <f>IF(Table1[[#This Row],[Fraud_Score]]&gt;=6, "High Risk",IF(Table1[[#This Row],[Fraud_Score]]&gt;=3, "Medium Risk", "Low Risk"))</f>
        <v>Low Risk</v>
      </c>
      <c r="R2645">
        <f>IF(Table1[[#This Row],[Seconds of Use]]=0,0,Table1[[#This Row],[Customer Value]]/Table1[[#This Row],[Seconds of Use]]*100)</f>
        <v>5.0334470989761089</v>
      </c>
    </row>
    <row r="2646" spans="1:18" x14ac:dyDescent="0.35">
      <c r="A2646" s="3" t="s">
        <v>2667</v>
      </c>
      <c r="B2646">
        <v>5</v>
      </c>
      <c r="C2646">
        <v>0</v>
      </c>
      <c r="D2646">
        <v>20</v>
      </c>
      <c r="E2646">
        <v>1</v>
      </c>
      <c r="F2646">
        <v>1400</v>
      </c>
      <c r="G2646">
        <v>22</v>
      </c>
      <c r="H2646">
        <v>14</v>
      </c>
      <c r="I2646">
        <v>2</v>
      </c>
      <c r="J2646">
        <v>2</v>
      </c>
      <c r="K2646">
        <v>1</v>
      </c>
      <c r="L2646">
        <v>1</v>
      </c>
      <c r="M2646">
        <v>25</v>
      </c>
      <c r="N2646">
        <v>126.99</v>
      </c>
      <c r="O2646">
        <v>0</v>
      </c>
      <c r="P26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46" t="str">
        <f>IF(Table1[[#This Row],[Fraud_Score]]&gt;=6, "High Risk",IF(Table1[[#This Row],[Fraud_Score]]&gt;=3, "Medium Risk", "Low Risk"))</f>
        <v>Low Risk</v>
      </c>
      <c r="R2646">
        <f>IF(Table1[[#This Row],[Seconds of Use]]=0,0,Table1[[#This Row],[Customer Value]]/Table1[[#This Row],[Seconds of Use]]*100)</f>
        <v>9.0707142857142848</v>
      </c>
    </row>
    <row r="2647" spans="1:18" x14ac:dyDescent="0.35">
      <c r="A2647" s="3" t="s">
        <v>2668</v>
      </c>
      <c r="B2647">
        <v>17</v>
      </c>
      <c r="C2647">
        <v>0</v>
      </c>
      <c r="D2647">
        <v>19</v>
      </c>
      <c r="E2647">
        <v>0</v>
      </c>
      <c r="F2647">
        <v>6098</v>
      </c>
      <c r="G2647">
        <v>137</v>
      </c>
      <c r="H2647">
        <v>71</v>
      </c>
      <c r="I2647">
        <v>29</v>
      </c>
      <c r="J2647">
        <v>2</v>
      </c>
      <c r="K2647">
        <v>2</v>
      </c>
      <c r="L2647">
        <v>1</v>
      </c>
      <c r="M2647">
        <v>25</v>
      </c>
      <c r="N2647">
        <v>600.07500000000005</v>
      </c>
      <c r="O2647">
        <v>0</v>
      </c>
      <c r="P26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47" t="str">
        <f>IF(Table1[[#This Row],[Fraud_Score]]&gt;=6, "High Risk",IF(Table1[[#This Row],[Fraud_Score]]&gt;=3, "Medium Risk", "Low Risk"))</f>
        <v>Medium Risk</v>
      </c>
      <c r="R2647">
        <f>IF(Table1[[#This Row],[Seconds of Use]]=0,0,Table1[[#This Row],[Customer Value]]/Table1[[#This Row],[Seconds of Use]]*100)</f>
        <v>9.8405214824532639</v>
      </c>
    </row>
    <row r="2648" spans="1:18" x14ac:dyDescent="0.35">
      <c r="A2648" s="3" t="s">
        <v>2669</v>
      </c>
      <c r="B2648">
        <v>13</v>
      </c>
      <c r="C2648">
        <v>0</v>
      </c>
      <c r="D2648">
        <v>17</v>
      </c>
      <c r="E2648">
        <v>0</v>
      </c>
      <c r="F2648">
        <v>8638</v>
      </c>
      <c r="G2648">
        <v>167</v>
      </c>
      <c r="H2648">
        <v>59</v>
      </c>
      <c r="I2648">
        <v>27</v>
      </c>
      <c r="J2648">
        <v>5</v>
      </c>
      <c r="K2648">
        <v>1</v>
      </c>
      <c r="L2648">
        <v>1</v>
      </c>
      <c r="M2648">
        <v>55</v>
      </c>
      <c r="N2648">
        <v>220.57499999999999</v>
      </c>
      <c r="O2648">
        <v>0</v>
      </c>
      <c r="P26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48" t="str">
        <f>IF(Table1[[#This Row],[Fraud_Score]]&gt;=6, "High Risk",IF(Table1[[#This Row],[Fraud_Score]]&gt;=3, "Medium Risk", "Low Risk"))</f>
        <v>Medium Risk</v>
      </c>
      <c r="R2648">
        <f>IF(Table1[[#This Row],[Seconds of Use]]=0,0,Table1[[#This Row],[Customer Value]]/Table1[[#This Row],[Seconds of Use]]*100)</f>
        <v>2.5535424866867329</v>
      </c>
    </row>
    <row r="2649" spans="1:18" x14ac:dyDescent="0.35">
      <c r="A2649" s="3" t="s">
        <v>2670</v>
      </c>
      <c r="B2649">
        <v>9</v>
      </c>
      <c r="C2649">
        <v>0</v>
      </c>
      <c r="D2649">
        <v>18</v>
      </c>
      <c r="E2649">
        <v>2</v>
      </c>
      <c r="F2649">
        <v>2558</v>
      </c>
      <c r="G2649">
        <v>41</v>
      </c>
      <c r="H2649">
        <v>17</v>
      </c>
      <c r="I2649">
        <v>6</v>
      </c>
      <c r="J2649">
        <v>3</v>
      </c>
      <c r="K2649">
        <v>1</v>
      </c>
      <c r="L2649">
        <v>1</v>
      </c>
      <c r="M2649">
        <v>30</v>
      </c>
      <c r="N2649">
        <v>171.96</v>
      </c>
      <c r="O2649">
        <v>0</v>
      </c>
      <c r="P26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49" t="str">
        <f>IF(Table1[[#This Row],[Fraud_Score]]&gt;=6, "High Risk",IF(Table1[[#This Row],[Fraud_Score]]&gt;=3, "Medium Risk", "Low Risk"))</f>
        <v>Low Risk</v>
      </c>
      <c r="R2649">
        <f>IF(Table1[[#This Row],[Seconds of Use]]=0,0,Table1[[#This Row],[Customer Value]]/Table1[[#This Row],[Seconds of Use]]*100)</f>
        <v>6.7224394057857699</v>
      </c>
    </row>
    <row r="2650" spans="1:18" x14ac:dyDescent="0.35">
      <c r="A2650" s="3" t="s">
        <v>2671</v>
      </c>
      <c r="B2650">
        <v>5</v>
      </c>
      <c r="C2650">
        <v>0</v>
      </c>
      <c r="D2650">
        <v>11</v>
      </c>
      <c r="E2650">
        <v>1</v>
      </c>
      <c r="F2650">
        <v>4095</v>
      </c>
      <c r="G2650">
        <v>36</v>
      </c>
      <c r="H2650">
        <v>201</v>
      </c>
      <c r="I2650">
        <v>25</v>
      </c>
      <c r="J2650">
        <v>3</v>
      </c>
      <c r="K2650">
        <v>1</v>
      </c>
      <c r="L2650">
        <v>1</v>
      </c>
      <c r="M2650">
        <v>30</v>
      </c>
      <c r="N2650">
        <v>969.24</v>
      </c>
      <c r="O2650">
        <v>0</v>
      </c>
      <c r="P26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50" t="str">
        <f>IF(Table1[[#This Row],[Fraud_Score]]&gt;=6, "High Risk",IF(Table1[[#This Row],[Fraud_Score]]&gt;=3, "Medium Risk", "Low Risk"))</f>
        <v>Low Risk</v>
      </c>
      <c r="R2650">
        <f>IF(Table1[[#This Row],[Seconds of Use]]=0,0,Table1[[#This Row],[Customer Value]]/Table1[[#This Row],[Seconds of Use]]*100)</f>
        <v>23.66886446886447</v>
      </c>
    </row>
    <row r="2651" spans="1:18" x14ac:dyDescent="0.35">
      <c r="A2651" s="3" t="s">
        <v>2672</v>
      </c>
      <c r="B2651">
        <v>5</v>
      </c>
      <c r="C2651">
        <v>1</v>
      </c>
      <c r="D2651">
        <v>11</v>
      </c>
      <c r="E2651">
        <v>1</v>
      </c>
      <c r="F2651">
        <v>1193</v>
      </c>
      <c r="G2651">
        <v>15</v>
      </c>
      <c r="H2651">
        <v>7</v>
      </c>
      <c r="I2651">
        <v>2</v>
      </c>
      <c r="J2651">
        <v>3</v>
      </c>
      <c r="K2651">
        <v>1</v>
      </c>
      <c r="L2651">
        <v>1</v>
      </c>
      <c r="M2651">
        <v>30</v>
      </c>
      <c r="N2651">
        <v>76.319999999999993</v>
      </c>
      <c r="O2651">
        <v>1</v>
      </c>
      <c r="P26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51" t="str">
        <f>IF(Table1[[#This Row],[Fraud_Score]]&gt;=6, "High Risk",IF(Table1[[#This Row],[Fraud_Score]]&gt;=3, "Medium Risk", "Low Risk"))</f>
        <v>Low Risk</v>
      </c>
      <c r="R2651">
        <f>IF(Table1[[#This Row],[Seconds of Use]]=0,0,Table1[[#This Row],[Customer Value]]/Table1[[#This Row],[Seconds of Use]]*100)</f>
        <v>6.3973176865046097</v>
      </c>
    </row>
    <row r="2652" spans="1:18" x14ac:dyDescent="0.35">
      <c r="A2652" s="3" t="s">
        <v>2673</v>
      </c>
      <c r="B2652">
        <v>13</v>
      </c>
      <c r="C2652">
        <v>0</v>
      </c>
      <c r="D2652">
        <v>41</v>
      </c>
      <c r="E2652">
        <v>2</v>
      </c>
      <c r="F2652">
        <v>4790</v>
      </c>
      <c r="G2652">
        <v>83</v>
      </c>
      <c r="H2652">
        <v>44</v>
      </c>
      <c r="I2652">
        <v>23</v>
      </c>
      <c r="J2652">
        <v>3</v>
      </c>
      <c r="K2652">
        <v>1</v>
      </c>
      <c r="L2652">
        <v>1</v>
      </c>
      <c r="M2652">
        <v>30</v>
      </c>
      <c r="N2652">
        <v>370.92</v>
      </c>
      <c r="O2652">
        <v>0</v>
      </c>
      <c r="P26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52" t="str">
        <f>IF(Table1[[#This Row],[Fraud_Score]]&gt;=6, "High Risk",IF(Table1[[#This Row],[Fraud_Score]]&gt;=3, "Medium Risk", "Low Risk"))</f>
        <v>Low Risk</v>
      </c>
      <c r="R2652">
        <f>IF(Table1[[#This Row],[Seconds of Use]]=0,0,Table1[[#This Row],[Customer Value]]/Table1[[#This Row],[Seconds of Use]]*100)</f>
        <v>7.7436325678496871</v>
      </c>
    </row>
    <row r="2653" spans="1:18" x14ac:dyDescent="0.35">
      <c r="A2653" s="3" t="s">
        <v>2674</v>
      </c>
      <c r="B2653">
        <v>5</v>
      </c>
      <c r="C2653">
        <v>0</v>
      </c>
      <c r="D2653">
        <v>42</v>
      </c>
      <c r="E2653">
        <v>0</v>
      </c>
      <c r="F2653">
        <v>738</v>
      </c>
      <c r="G2653">
        <v>17</v>
      </c>
      <c r="H2653">
        <v>46</v>
      </c>
      <c r="I2653">
        <v>10</v>
      </c>
      <c r="J2653">
        <v>3</v>
      </c>
      <c r="K2653">
        <v>1</v>
      </c>
      <c r="L2653">
        <v>2</v>
      </c>
      <c r="M2653">
        <v>30</v>
      </c>
      <c r="N2653">
        <v>214.2</v>
      </c>
      <c r="O2653">
        <v>0</v>
      </c>
      <c r="P26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53" t="str">
        <f>IF(Table1[[#This Row],[Fraud_Score]]&gt;=6, "High Risk",IF(Table1[[#This Row],[Fraud_Score]]&gt;=3, "Medium Risk", "Low Risk"))</f>
        <v>Low Risk</v>
      </c>
      <c r="R2653">
        <f>IF(Table1[[#This Row],[Seconds of Use]]=0,0,Table1[[#This Row],[Customer Value]]/Table1[[#This Row],[Seconds of Use]]*100)</f>
        <v>29.024390243902438</v>
      </c>
    </row>
    <row r="2654" spans="1:18" x14ac:dyDescent="0.35">
      <c r="A2654" s="3" t="s">
        <v>2675</v>
      </c>
      <c r="B2654">
        <v>15</v>
      </c>
      <c r="C2654">
        <v>0</v>
      </c>
      <c r="D2654">
        <v>40</v>
      </c>
      <c r="E2654">
        <v>2</v>
      </c>
      <c r="F2654">
        <v>2873</v>
      </c>
      <c r="G2654">
        <v>72</v>
      </c>
      <c r="H2654">
        <v>398</v>
      </c>
      <c r="I2654">
        <v>30</v>
      </c>
      <c r="J2654">
        <v>3</v>
      </c>
      <c r="K2654">
        <v>1</v>
      </c>
      <c r="L2654">
        <v>1</v>
      </c>
      <c r="M2654">
        <v>30</v>
      </c>
      <c r="N2654">
        <v>1709.8</v>
      </c>
      <c r="O2654">
        <v>0</v>
      </c>
      <c r="P26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54" t="str">
        <f>IF(Table1[[#This Row],[Fraud_Score]]&gt;=6, "High Risk",IF(Table1[[#This Row],[Fraud_Score]]&gt;=3, "Medium Risk", "Low Risk"))</f>
        <v>Low Risk</v>
      </c>
      <c r="R2654">
        <f>IF(Table1[[#This Row],[Seconds of Use]]=0,0,Table1[[#This Row],[Customer Value]]/Table1[[#This Row],[Seconds of Use]]*100)</f>
        <v>59.512704490080061</v>
      </c>
    </row>
    <row r="2655" spans="1:18" x14ac:dyDescent="0.35">
      <c r="A2655" s="3" t="s">
        <v>2676</v>
      </c>
      <c r="B2655">
        <v>15</v>
      </c>
      <c r="C2655">
        <v>0</v>
      </c>
      <c r="D2655">
        <v>41</v>
      </c>
      <c r="E2655">
        <v>2</v>
      </c>
      <c r="F2655">
        <v>4618</v>
      </c>
      <c r="G2655">
        <v>78</v>
      </c>
      <c r="H2655">
        <v>40</v>
      </c>
      <c r="I2655">
        <v>41</v>
      </c>
      <c r="J2655">
        <v>1</v>
      </c>
      <c r="K2655">
        <v>1</v>
      </c>
      <c r="L2655">
        <v>1</v>
      </c>
      <c r="M2655">
        <v>15</v>
      </c>
      <c r="N2655">
        <v>478.28</v>
      </c>
      <c r="O2655">
        <v>0</v>
      </c>
      <c r="P26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55" t="str">
        <f>IF(Table1[[#This Row],[Fraud_Score]]&gt;=6, "High Risk",IF(Table1[[#This Row],[Fraud_Score]]&gt;=3, "Medium Risk", "Low Risk"))</f>
        <v>Low Risk</v>
      </c>
      <c r="R2655">
        <f>IF(Table1[[#This Row],[Seconds of Use]]=0,0,Table1[[#This Row],[Customer Value]]/Table1[[#This Row],[Seconds of Use]]*100)</f>
        <v>10.356864443482026</v>
      </c>
    </row>
    <row r="2656" spans="1:18" x14ac:dyDescent="0.35">
      <c r="A2656" s="3" t="s">
        <v>2677</v>
      </c>
      <c r="B2656">
        <v>8</v>
      </c>
      <c r="C2656">
        <v>0</v>
      </c>
      <c r="D2656">
        <v>41</v>
      </c>
      <c r="E2656">
        <v>2</v>
      </c>
      <c r="F2656">
        <v>2813</v>
      </c>
      <c r="G2656">
        <v>70</v>
      </c>
      <c r="H2656">
        <v>41</v>
      </c>
      <c r="I2656">
        <v>39</v>
      </c>
      <c r="J2656">
        <v>2</v>
      </c>
      <c r="K2656">
        <v>1</v>
      </c>
      <c r="L2656">
        <v>1</v>
      </c>
      <c r="M2656">
        <v>25</v>
      </c>
      <c r="N2656">
        <v>314.23500000000001</v>
      </c>
      <c r="O2656">
        <v>0</v>
      </c>
      <c r="P26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56" t="str">
        <f>IF(Table1[[#This Row],[Fraud_Score]]&gt;=6, "High Risk",IF(Table1[[#This Row],[Fraud_Score]]&gt;=3, "Medium Risk", "Low Risk"))</f>
        <v>Low Risk</v>
      </c>
      <c r="R2656">
        <f>IF(Table1[[#This Row],[Seconds of Use]]=0,0,Table1[[#This Row],[Customer Value]]/Table1[[#This Row],[Seconds of Use]]*100)</f>
        <v>11.170814077497335</v>
      </c>
    </row>
    <row r="2657" spans="1:18" x14ac:dyDescent="0.35">
      <c r="A2657" s="3" t="s">
        <v>2678</v>
      </c>
      <c r="B2657">
        <v>16</v>
      </c>
      <c r="C2657">
        <v>0</v>
      </c>
      <c r="D2657">
        <v>41</v>
      </c>
      <c r="E2657">
        <v>3</v>
      </c>
      <c r="F2657">
        <v>4195</v>
      </c>
      <c r="G2657">
        <v>94</v>
      </c>
      <c r="H2657">
        <v>71</v>
      </c>
      <c r="I2657">
        <v>34</v>
      </c>
      <c r="J2657">
        <v>3</v>
      </c>
      <c r="K2657">
        <v>1</v>
      </c>
      <c r="L2657">
        <v>1</v>
      </c>
      <c r="M2657">
        <v>30</v>
      </c>
      <c r="N2657">
        <v>455.56</v>
      </c>
      <c r="O2657">
        <v>0</v>
      </c>
      <c r="P26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57" t="str">
        <f>IF(Table1[[#This Row],[Fraud_Score]]&gt;=6, "High Risk",IF(Table1[[#This Row],[Fraud_Score]]&gt;=3, "Medium Risk", "Low Risk"))</f>
        <v>Low Risk</v>
      </c>
      <c r="R2657">
        <f>IF(Table1[[#This Row],[Seconds of Use]]=0,0,Table1[[#This Row],[Customer Value]]/Table1[[#This Row],[Seconds of Use]]*100)</f>
        <v>10.859594755661501</v>
      </c>
    </row>
    <row r="2658" spans="1:18" x14ac:dyDescent="0.35">
      <c r="A2658" s="3" t="s">
        <v>2679</v>
      </c>
      <c r="B2658">
        <v>9</v>
      </c>
      <c r="C2658">
        <v>0</v>
      </c>
      <c r="D2658">
        <v>41</v>
      </c>
      <c r="E2658">
        <v>2</v>
      </c>
      <c r="F2658">
        <v>2780</v>
      </c>
      <c r="G2658">
        <v>51</v>
      </c>
      <c r="H2658">
        <v>324</v>
      </c>
      <c r="I2658">
        <v>24</v>
      </c>
      <c r="J2658">
        <v>4</v>
      </c>
      <c r="K2658">
        <v>1</v>
      </c>
      <c r="L2658">
        <v>1</v>
      </c>
      <c r="M2658">
        <v>45</v>
      </c>
      <c r="N2658">
        <v>880.77499999999998</v>
      </c>
      <c r="O2658">
        <v>0</v>
      </c>
      <c r="P26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58" t="str">
        <f>IF(Table1[[#This Row],[Fraud_Score]]&gt;=6, "High Risk",IF(Table1[[#This Row],[Fraud_Score]]&gt;=3, "Medium Risk", "Low Risk"))</f>
        <v>Low Risk</v>
      </c>
      <c r="R2658">
        <f>IF(Table1[[#This Row],[Seconds of Use]]=0,0,Table1[[#This Row],[Customer Value]]/Table1[[#This Row],[Seconds of Use]]*100)</f>
        <v>31.682553956834532</v>
      </c>
    </row>
    <row r="2659" spans="1:18" x14ac:dyDescent="0.35">
      <c r="A2659" s="3" t="s">
        <v>2680</v>
      </c>
      <c r="B2659">
        <v>18</v>
      </c>
      <c r="C2659">
        <v>0</v>
      </c>
      <c r="D2659">
        <v>40</v>
      </c>
      <c r="E2659">
        <v>4</v>
      </c>
      <c r="F2659">
        <v>9535</v>
      </c>
      <c r="G2659">
        <v>133</v>
      </c>
      <c r="H2659">
        <v>183</v>
      </c>
      <c r="I2659">
        <v>49</v>
      </c>
      <c r="J2659">
        <v>3</v>
      </c>
      <c r="K2659">
        <v>1</v>
      </c>
      <c r="L2659">
        <v>1</v>
      </c>
      <c r="M2659">
        <v>30</v>
      </c>
      <c r="N2659">
        <v>1118.72</v>
      </c>
      <c r="O2659">
        <v>0</v>
      </c>
      <c r="P26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59" t="str">
        <f>IF(Table1[[#This Row],[Fraud_Score]]&gt;=6, "High Risk",IF(Table1[[#This Row],[Fraud_Score]]&gt;=3, "Medium Risk", "Low Risk"))</f>
        <v>Medium Risk</v>
      </c>
      <c r="R2659">
        <f>IF(Table1[[#This Row],[Seconds of Use]]=0,0,Table1[[#This Row],[Customer Value]]/Table1[[#This Row],[Seconds of Use]]*100)</f>
        <v>11.732773990561091</v>
      </c>
    </row>
    <row r="2660" spans="1:18" x14ac:dyDescent="0.35">
      <c r="A2660" s="3" t="s">
        <v>2681</v>
      </c>
      <c r="B2660">
        <v>12</v>
      </c>
      <c r="C2660">
        <v>0</v>
      </c>
      <c r="D2660">
        <v>41</v>
      </c>
      <c r="E2660">
        <v>2</v>
      </c>
      <c r="F2660">
        <v>14193</v>
      </c>
      <c r="G2660">
        <v>181</v>
      </c>
      <c r="H2660">
        <v>39</v>
      </c>
      <c r="I2660">
        <v>50</v>
      </c>
      <c r="J2660">
        <v>3</v>
      </c>
      <c r="K2660">
        <v>1</v>
      </c>
      <c r="L2660">
        <v>1</v>
      </c>
      <c r="M2660">
        <v>30</v>
      </c>
      <c r="N2660">
        <v>730.96</v>
      </c>
      <c r="O2660">
        <v>0</v>
      </c>
      <c r="P26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60" t="str">
        <f>IF(Table1[[#This Row],[Fraud_Score]]&gt;=6, "High Risk",IF(Table1[[#This Row],[Fraud_Score]]&gt;=3, "Medium Risk", "Low Risk"))</f>
        <v>Medium Risk</v>
      </c>
      <c r="R2660">
        <f>IF(Table1[[#This Row],[Seconds of Use]]=0,0,Table1[[#This Row],[Customer Value]]/Table1[[#This Row],[Seconds of Use]]*100)</f>
        <v>5.1501444373987182</v>
      </c>
    </row>
    <row r="2661" spans="1:18" x14ac:dyDescent="0.35">
      <c r="A2661" s="3" t="s">
        <v>2682</v>
      </c>
      <c r="B2661">
        <v>12</v>
      </c>
      <c r="C2661">
        <v>0</v>
      </c>
      <c r="D2661">
        <v>41</v>
      </c>
      <c r="E2661">
        <v>3</v>
      </c>
      <c r="F2661">
        <v>4935</v>
      </c>
      <c r="G2661">
        <v>95</v>
      </c>
      <c r="H2661">
        <v>41</v>
      </c>
      <c r="I2661">
        <v>31</v>
      </c>
      <c r="J2661">
        <v>4</v>
      </c>
      <c r="K2661">
        <v>1</v>
      </c>
      <c r="L2661">
        <v>1</v>
      </c>
      <c r="M2661">
        <v>45</v>
      </c>
      <c r="N2661">
        <v>228.25</v>
      </c>
      <c r="O2661">
        <v>0</v>
      </c>
      <c r="P26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61" t="str">
        <f>IF(Table1[[#This Row],[Fraud_Score]]&gt;=6, "High Risk",IF(Table1[[#This Row],[Fraud_Score]]&gt;=3, "Medium Risk", "Low Risk"))</f>
        <v>Low Risk</v>
      </c>
      <c r="R2661">
        <f>IF(Table1[[#This Row],[Seconds of Use]]=0,0,Table1[[#This Row],[Customer Value]]/Table1[[#This Row],[Seconds of Use]]*100)</f>
        <v>4.6251266464032419</v>
      </c>
    </row>
    <row r="2662" spans="1:18" x14ac:dyDescent="0.35">
      <c r="A2662" s="3" t="s">
        <v>2683</v>
      </c>
      <c r="B2662">
        <v>11</v>
      </c>
      <c r="C2662">
        <v>0</v>
      </c>
      <c r="D2662">
        <v>41</v>
      </c>
      <c r="E2662">
        <v>2</v>
      </c>
      <c r="F2662">
        <v>6338</v>
      </c>
      <c r="G2662">
        <v>107</v>
      </c>
      <c r="H2662">
        <v>46</v>
      </c>
      <c r="I2662">
        <v>18</v>
      </c>
      <c r="J2662">
        <v>3</v>
      </c>
      <c r="K2662">
        <v>1</v>
      </c>
      <c r="L2662">
        <v>1</v>
      </c>
      <c r="M2662">
        <v>30</v>
      </c>
      <c r="N2662">
        <v>441.8</v>
      </c>
      <c r="O2662">
        <v>0</v>
      </c>
      <c r="P26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62" t="str">
        <f>IF(Table1[[#This Row],[Fraud_Score]]&gt;=6, "High Risk",IF(Table1[[#This Row],[Fraud_Score]]&gt;=3, "Medium Risk", "Low Risk"))</f>
        <v>Low Risk</v>
      </c>
      <c r="R2662">
        <f>IF(Table1[[#This Row],[Seconds of Use]]=0,0,Table1[[#This Row],[Customer Value]]/Table1[[#This Row],[Seconds of Use]]*100)</f>
        <v>6.9706532029031241</v>
      </c>
    </row>
    <row r="2663" spans="1:18" x14ac:dyDescent="0.35">
      <c r="A2663" s="3" t="s">
        <v>2684</v>
      </c>
      <c r="B2663">
        <v>14</v>
      </c>
      <c r="C2663">
        <v>1</v>
      </c>
      <c r="D2663">
        <v>41</v>
      </c>
      <c r="E2663">
        <v>0</v>
      </c>
      <c r="F2663">
        <v>2658</v>
      </c>
      <c r="G2663">
        <v>66</v>
      </c>
      <c r="H2663">
        <v>47</v>
      </c>
      <c r="I2663">
        <v>23</v>
      </c>
      <c r="J2663">
        <v>4</v>
      </c>
      <c r="K2663">
        <v>1</v>
      </c>
      <c r="L2663">
        <v>2</v>
      </c>
      <c r="M2663">
        <v>45</v>
      </c>
      <c r="N2663">
        <v>185.6</v>
      </c>
      <c r="O2663">
        <v>0</v>
      </c>
      <c r="P26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63" t="str">
        <f>IF(Table1[[#This Row],[Fraud_Score]]&gt;=6, "High Risk",IF(Table1[[#This Row],[Fraud_Score]]&gt;=3, "Medium Risk", "Low Risk"))</f>
        <v>Medium Risk</v>
      </c>
      <c r="R2663">
        <f>IF(Table1[[#This Row],[Seconds of Use]]=0,0,Table1[[#This Row],[Customer Value]]/Table1[[#This Row],[Seconds of Use]]*100)</f>
        <v>6.982693754702785</v>
      </c>
    </row>
    <row r="2664" spans="1:18" x14ac:dyDescent="0.35">
      <c r="A2664" s="3" t="s">
        <v>2685</v>
      </c>
      <c r="B2664">
        <v>30</v>
      </c>
      <c r="C2664">
        <v>0</v>
      </c>
      <c r="D2664">
        <v>41</v>
      </c>
      <c r="E2664">
        <v>5</v>
      </c>
      <c r="F2664">
        <v>15560</v>
      </c>
      <c r="G2664">
        <v>237</v>
      </c>
      <c r="H2664">
        <v>93</v>
      </c>
      <c r="I2664">
        <v>38</v>
      </c>
      <c r="J2664">
        <v>3</v>
      </c>
      <c r="K2664">
        <v>1</v>
      </c>
      <c r="L2664">
        <v>1</v>
      </c>
      <c r="M2664">
        <v>30</v>
      </c>
      <c r="N2664">
        <v>1003.88</v>
      </c>
      <c r="O2664">
        <v>0</v>
      </c>
      <c r="P26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64" t="str">
        <f>IF(Table1[[#This Row],[Fraud_Score]]&gt;=6, "High Risk",IF(Table1[[#This Row],[Fraud_Score]]&gt;=3, "Medium Risk", "Low Risk"))</f>
        <v>Medium Risk</v>
      </c>
      <c r="R2664">
        <f>IF(Table1[[#This Row],[Seconds of Use]]=0,0,Table1[[#This Row],[Customer Value]]/Table1[[#This Row],[Seconds of Use]]*100)</f>
        <v>6.4516709511568129</v>
      </c>
    </row>
    <row r="2665" spans="1:18" x14ac:dyDescent="0.35">
      <c r="A2665" s="3" t="s">
        <v>2686</v>
      </c>
      <c r="B2665">
        <v>9</v>
      </c>
      <c r="C2665">
        <v>0</v>
      </c>
      <c r="D2665">
        <v>41</v>
      </c>
      <c r="E2665">
        <v>3</v>
      </c>
      <c r="F2665">
        <v>3515</v>
      </c>
      <c r="G2665">
        <v>39</v>
      </c>
      <c r="H2665">
        <v>522</v>
      </c>
      <c r="I2665">
        <v>14</v>
      </c>
      <c r="J2665">
        <v>4</v>
      </c>
      <c r="K2665">
        <v>1</v>
      </c>
      <c r="L2665">
        <v>1</v>
      </c>
      <c r="M2665">
        <v>45</v>
      </c>
      <c r="N2665">
        <v>1393.85</v>
      </c>
      <c r="O2665">
        <v>0</v>
      </c>
      <c r="P26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65" t="str">
        <f>IF(Table1[[#This Row],[Fraud_Score]]&gt;=6, "High Risk",IF(Table1[[#This Row],[Fraud_Score]]&gt;=3, "Medium Risk", "Low Risk"))</f>
        <v>Low Risk</v>
      </c>
      <c r="R2665">
        <f>IF(Table1[[#This Row],[Seconds of Use]]=0,0,Table1[[#This Row],[Customer Value]]/Table1[[#This Row],[Seconds of Use]]*100)</f>
        <v>39.654338549075391</v>
      </c>
    </row>
    <row r="2666" spans="1:18" x14ac:dyDescent="0.35">
      <c r="A2666" s="3" t="s">
        <v>2687</v>
      </c>
      <c r="B2666">
        <v>14</v>
      </c>
      <c r="C2666">
        <v>0</v>
      </c>
      <c r="D2666">
        <v>40</v>
      </c>
      <c r="E2666">
        <v>2</v>
      </c>
      <c r="F2666">
        <v>15905</v>
      </c>
      <c r="G2666">
        <v>194</v>
      </c>
      <c r="H2666">
        <v>189</v>
      </c>
      <c r="I2666">
        <v>36</v>
      </c>
      <c r="J2666">
        <v>3</v>
      </c>
      <c r="K2666">
        <v>1</v>
      </c>
      <c r="L2666">
        <v>1</v>
      </c>
      <c r="M2666">
        <v>30</v>
      </c>
      <c r="N2666">
        <v>1399.96</v>
      </c>
      <c r="O2666">
        <v>0</v>
      </c>
      <c r="P26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66" t="str">
        <f>IF(Table1[[#This Row],[Fraud_Score]]&gt;=6, "High Risk",IF(Table1[[#This Row],[Fraud_Score]]&gt;=3, "Medium Risk", "Low Risk"))</f>
        <v>Medium Risk</v>
      </c>
      <c r="R2666">
        <f>IF(Table1[[#This Row],[Seconds of Use]]=0,0,Table1[[#This Row],[Customer Value]]/Table1[[#This Row],[Seconds of Use]]*100)</f>
        <v>8.8020119459289532</v>
      </c>
    </row>
    <row r="2667" spans="1:18" x14ac:dyDescent="0.35">
      <c r="A2667" s="3" t="s">
        <v>2688</v>
      </c>
      <c r="B2667">
        <v>8</v>
      </c>
      <c r="C2667">
        <v>0</v>
      </c>
      <c r="D2667">
        <v>40</v>
      </c>
      <c r="E2667">
        <v>3</v>
      </c>
      <c r="F2667">
        <v>6920</v>
      </c>
      <c r="G2667">
        <v>98</v>
      </c>
      <c r="H2667">
        <v>225</v>
      </c>
      <c r="I2667">
        <v>32</v>
      </c>
      <c r="J2667">
        <v>4</v>
      </c>
      <c r="K2667">
        <v>1</v>
      </c>
      <c r="L2667">
        <v>1</v>
      </c>
      <c r="M2667">
        <v>45</v>
      </c>
      <c r="N2667">
        <v>737.95</v>
      </c>
      <c r="O2667">
        <v>0</v>
      </c>
      <c r="P26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67" t="str">
        <f>IF(Table1[[#This Row],[Fraud_Score]]&gt;=6, "High Risk",IF(Table1[[#This Row],[Fraud_Score]]&gt;=3, "Medium Risk", "Low Risk"))</f>
        <v>Low Risk</v>
      </c>
      <c r="R2667">
        <f>IF(Table1[[#This Row],[Seconds of Use]]=0,0,Table1[[#This Row],[Customer Value]]/Table1[[#This Row],[Seconds of Use]]*100)</f>
        <v>10.664017341040463</v>
      </c>
    </row>
    <row r="2668" spans="1:18" x14ac:dyDescent="0.35">
      <c r="A2668" s="3" t="s">
        <v>2689</v>
      </c>
      <c r="B2668">
        <v>5</v>
      </c>
      <c r="C2668">
        <v>0</v>
      </c>
      <c r="D2668">
        <v>40</v>
      </c>
      <c r="E2668">
        <v>0</v>
      </c>
      <c r="F2668">
        <v>1295</v>
      </c>
      <c r="G2668">
        <v>26</v>
      </c>
      <c r="H2668">
        <v>39</v>
      </c>
      <c r="I2668">
        <v>17</v>
      </c>
      <c r="J2668">
        <v>3</v>
      </c>
      <c r="K2668">
        <v>1</v>
      </c>
      <c r="L2668">
        <v>2</v>
      </c>
      <c r="M2668">
        <v>30</v>
      </c>
      <c r="N2668">
        <v>208.84</v>
      </c>
      <c r="O2668">
        <v>0</v>
      </c>
      <c r="P26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68" t="str">
        <f>IF(Table1[[#This Row],[Fraud_Score]]&gt;=6, "High Risk",IF(Table1[[#This Row],[Fraud_Score]]&gt;=3, "Medium Risk", "Low Risk"))</f>
        <v>Low Risk</v>
      </c>
      <c r="R2668">
        <f>IF(Table1[[#This Row],[Seconds of Use]]=0,0,Table1[[#This Row],[Customer Value]]/Table1[[#This Row],[Seconds of Use]]*100)</f>
        <v>16.126640926640924</v>
      </c>
    </row>
    <row r="2669" spans="1:18" x14ac:dyDescent="0.35">
      <c r="A2669" s="3" t="s">
        <v>2690</v>
      </c>
      <c r="B2669">
        <v>7</v>
      </c>
      <c r="C2669">
        <v>0</v>
      </c>
      <c r="D2669">
        <v>41</v>
      </c>
      <c r="E2669">
        <v>0</v>
      </c>
      <c r="F2669">
        <v>1130</v>
      </c>
      <c r="G2669">
        <v>26</v>
      </c>
      <c r="H2669">
        <v>52</v>
      </c>
      <c r="I2669">
        <v>14</v>
      </c>
      <c r="J2669">
        <v>3</v>
      </c>
      <c r="K2669">
        <v>1</v>
      </c>
      <c r="L2669">
        <v>2</v>
      </c>
      <c r="M2669">
        <v>30</v>
      </c>
      <c r="N2669">
        <v>254.24</v>
      </c>
      <c r="O2669">
        <v>0</v>
      </c>
      <c r="P26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69" t="str">
        <f>IF(Table1[[#This Row],[Fraud_Score]]&gt;=6, "High Risk",IF(Table1[[#This Row],[Fraud_Score]]&gt;=3, "Medium Risk", "Low Risk"))</f>
        <v>Low Risk</v>
      </c>
      <c r="R2669">
        <f>IF(Table1[[#This Row],[Seconds of Use]]=0,0,Table1[[#This Row],[Customer Value]]/Table1[[#This Row],[Seconds of Use]]*100)</f>
        <v>22.499115044247787</v>
      </c>
    </row>
    <row r="2670" spans="1:18" x14ac:dyDescent="0.35">
      <c r="A2670" s="3" t="s">
        <v>2691</v>
      </c>
      <c r="B2670">
        <v>5</v>
      </c>
      <c r="C2670">
        <v>0</v>
      </c>
      <c r="D2670">
        <v>40</v>
      </c>
      <c r="E2670">
        <v>0</v>
      </c>
      <c r="F2670">
        <v>420</v>
      </c>
      <c r="G2670">
        <v>12</v>
      </c>
      <c r="H2670">
        <v>39</v>
      </c>
      <c r="I2670">
        <v>6</v>
      </c>
      <c r="J2670">
        <v>3</v>
      </c>
      <c r="K2670">
        <v>1</v>
      </c>
      <c r="L2670">
        <v>2</v>
      </c>
      <c r="M2670">
        <v>30</v>
      </c>
      <c r="N2670">
        <v>173.28</v>
      </c>
      <c r="O2670">
        <v>1</v>
      </c>
      <c r="P26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70" t="str">
        <f>IF(Table1[[#This Row],[Fraud_Score]]&gt;=6, "High Risk",IF(Table1[[#This Row],[Fraud_Score]]&gt;=3, "Medium Risk", "Low Risk"))</f>
        <v>Low Risk</v>
      </c>
      <c r="R2670">
        <f>IF(Table1[[#This Row],[Seconds of Use]]=0,0,Table1[[#This Row],[Customer Value]]/Table1[[#This Row],[Seconds of Use]]*100)</f>
        <v>41.25714285714286</v>
      </c>
    </row>
    <row r="2671" spans="1:18" x14ac:dyDescent="0.35">
      <c r="A2671" s="3" t="s">
        <v>2692</v>
      </c>
      <c r="B2671">
        <v>8</v>
      </c>
      <c r="C2671">
        <v>0</v>
      </c>
      <c r="D2671">
        <v>40</v>
      </c>
      <c r="E2671">
        <v>2</v>
      </c>
      <c r="F2671">
        <v>7928</v>
      </c>
      <c r="G2671">
        <v>139</v>
      </c>
      <c r="H2671">
        <v>423</v>
      </c>
      <c r="I2671">
        <v>49</v>
      </c>
      <c r="J2671">
        <v>3</v>
      </c>
      <c r="K2671">
        <v>1</v>
      </c>
      <c r="L2671">
        <v>1</v>
      </c>
      <c r="M2671">
        <v>30</v>
      </c>
      <c r="N2671">
        <v>2014.68</v>
      </c>
      <c r="O2671">
        <v>0</v>
      </c>
      <c r="P26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71" t="str">
        <f>IF(Table1[[#This Row],[Fraud_Score]]&gt;=6, "High Risk",IF(Table1[[#This Row],[Fraud_Score]]&gt;=3, "Medium Risk", "Low Risk"))</f>
        <v>Medium Risk</v>
      </c>
      <c r="R2671">
        <f>IF(Table1[[#This Row],[Seconds of Use]]=0,0,Table1[[#This Row],[Customer Value]]/Table1[[#This Row],[Seconds of Use]]*100)</f>
        <v>25.412209889001009</v>
      </c>
    </row>
    <row r="2672" spans="1:18" x14ac:dyDescent="0.35">
      <c r="A2672" s="3" t="s">
        <v>2693</v>
      </c>
      <c r="B2672">
        <v>12</v>
      </c>
      <c r="C2672">
        <v>0</v>
      </c>
      <c r="D2672">
        <v>40</v>
      </c>
      <c r="E2672">
        <v>3</v>
      </c>
      <c r="F2672">
        <v>11885</v>
      </c>
      <c r="G2672">
        <v>166</v>
      </c>
      <c r="H2672">
        <v>50</v>
      </c>
      <c r="I2672">
        <v>53</v>
      </c>
      <c r="J2672">
        <v>4</v>
      </c>
      <c r="K2672">
        <v>1</v>
      </c>
      <c r="L2672">
        <v>1</v>
      </c>
      <c r="M2672">
        <v>45</v>
      </c>
      <c r="N2672">
        <v>426.27499999999998</v>
      </c>
      <c r="O2672">
        <v>0</v>
      </c>
      <c r="P26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72" t="str">
        <f>IF(Table1[[#This Row],[Fraud_Score]]&gt;=6, "High Risk",IF(Table1[[#This Row],[Fraud_Score]]&gt;=3, "Medium Risk", "Low Risk"))</f>
        <v>Medium Risk</v>
      </c>
      <c r="R2672">
        <f>IF(Table1[[#This Row],[Seconds of Use]]=0,0,Table1[[#This Row],[Customer Value]]/Table1[[#This Row],[Seconds of Use]]*100)</f>
        <v>3.5866638620109379</v>
      </c>
    </row>
    <row r="2673" spans="1:18" x14ac:dyDescent="0.35">
      <c r="A2673" s="3" t="s">
        <v>2694</v>
      </c>
      <c r="B2673">
        <v>13</v>
      </c>
      <c r="C2673">
        <v>0</v>
      </c>
      <c r="D2673">
        <v>40</v>
      </c>
      <c r="E2673">
        <v>3</v>
      </c>
      <c r="F2673">
        <v>7138</v>
      </c>
      <c r="G2673">
        <v>87</v>
      </c>
      <c r="H2673">
        <v>147</v>
      </c>
      <c r="I2673">
        <v>43</v>
      </c>
      <c r="J2673">
        <v>3</v>
      </c>
      <c r="K2673">
        <v>1</v>
      </c>
      <c r="L2673">
        <v>1</v>
      </c>
      <c r="M2673">
        <v>30</v>
      </c>
      <c r="N2673">
        <v>877</v>
      </c>
      <c r="O2673">
        <v>0</v>
      </c>
      <c r="P26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73" t="str">
        <f>IF(Table1[[#This Row],[Fraud_Score]]&gt;=6, "High Risk",IF(Table1[[#This Row],[Fraud_Score]]&gt;=3, "Medium Risk", "Low Risk"))</f>
        <v>Low Risk</v>
      </c>
      <c r="R2673">
        <f>IF(Table1[[#This Row],[Seconds of Use]]=0,0,Table1[[#This Row],[Customer Value]]/Table1[[#This Row],[Seconds of Use]]*100)</f>
        <v>12.286354721210422</v>
      </c>
    </row>
    <row r="2674" spans="1:18" x14ac:dyDescent="0.35">
      <c r="A2674" s="3" t="s">
        <v>2695</v>
      </c>
      <c r="B2674">
        <v>28</v>
      </c>
      <c r="C2674">
        <v>1</v>
      </c>
      <c r="D2674">
        <v>36</v>
      </c>
      <c r="E2674">
        <v>0</v>
      </c>
      <c r="F2674">
        <v>1375</v>
      </c>
      <c r="G2674">
        <v>59</v>
      </c>
      <c r="H2674">
        <v>55</v>
      </c>
      <c r="I2674">
        <v>23</v>
      </c>
      <c r="J2674">
        <v>3</v>
      </c>
      <c r="K2674">
        <v>1</v>
      </c>
      <c r="L2674">
        <v>2</v>
      </c>
      <c r="M2674">
        <v>30</v>
      </c>
      <c r="N2674">
        <v>277.36</v>
      </c>
      <c r="O2674">
        <v>1</v>
      </c>
      <c r="P26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74" t="str">
        <f>IF(Table1[[#This Row],[Fraud_Score]]&gt;=6, "High Risk",IF(Table1[[#This Row],[Fraud_Score]]&gt;=3, "Medium Risk", "Low Risk"))</f>
        <v>Medium Risk</v>
      </c>
      <c r="R2674">
        <f>IF(Table1[[#This Row],[Seconds of Use]]=0,0,Table1[[#This Row],[Customer Value]]/Table1[[#This Row],[Seconds of Use]]*100)</f>
        <v>20.171636363636363</v>
      </c>
    </row>
    <row r="2675" spans="1:18" x14ac:dyDescent="0.35">
      <c r="A2675" s="3" t="s">
        <v>2696</v>
      </c>
      <c r="B2675">
        <v>26</v>
      </c>
      <c r="C2675">
        <v>0</v>
      </c>
      <c r="D2675">
        <v>39</v>
      </c>
      <c r="E2675">
        <v>10</v>
      </c>
      <c r="F2675">
        <v>10855</v>
      </c>
      <c r="G2675">
        <v>105</v>
      </c>
      <c r="H2675">
        <v>40</v>
      </c>
      <c r="I2675">
        <v>48</v>
      </c>
      <c r="J2675">
        <v>5</v>
      </c>
      <c r="K2675">
        <v>2</v>
      </c>
      <c r="L2675">
        <v>1</v>
      </c>
      <c r="M2675">
        <v>55</v>
      </c>
      <c r="N2675">
        <v>224.4</v>
      </c>
      <c r="O2675">
        <v>0</v>
      </c>
      <c r="P26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75" t="str">
        <f>IF(Table1[[#This Row],[Fraud_Score]]&gt;=6, "High Risk",IF(Table1[[#This Row],[Fraud_Score]]&gt;=3, "Medium Risk", "Low Risk"))</f>
        <v>Medium Risk</v>
      </c>
      <c r="R2675">
        <f>IF(Table1[[#This Row],[Seconds of Use]]=0,0,Table1[[#This Row],[Customer Value]]/Table1[[#This Row],[Seconds of Use]]*100)</f>
        <v>2.067250115154307</v>
      </c>
    </row>
    <row r="2676" spans="1:18" x14ac:dyDescent="0.35">
      <c r="A2676" s="3" t="s">
        <v>2697</v>
      </c>
      <c r="B2676">
        <v>18</v>
      </c>
      <c r="C2676">
        <v>0</v>
      </c>
      <c r="D2676">
        <v>39</v>
      </c>
      <c r="E2676">
        <v>3</v>
      </c>
      <c r="F2676">
        <v>6238</v>
      </c>
      <c r="G2676">
        <v>110</v>
      </c>
      <c r="H2676">
        <v>65</v>
      </c>
      <c r="I2676">
        <v>30</v>
      </c>
      <c r="J2676">
        <v>3</v>
      </c>
      <c r="K2676">
        <v>1</v>
      </c>
      <c r="L2676">
        <v>1</v>
      </c>
      <c r="M2676">
        <v>30</v>
      </c>
      <c r="N2676">
        <v>513.91999999999996</v>
      </c>
      <c r="O2676">
        <v>0</v>
      </c>
      <c r="P26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76" t="str">
        <f>IF(Table1[[#This Row],[Fraud_Score]]&gt;=6, "High Risk",IF(Table1[[#This Row],[Fraud_Score]]&gt;=3, "Medium Risk", "Low Risk"))</f>
        <v>Low Risk</v>
      </c>
      <c r="R2676">
        <f>IF(Table1[[#This Row],[Seconds of Use]]=0,0,Table1[[#This Row],[Customer Value]]/Table1[[#This Row],[Seconds of Use]]*100)</f>
        <v>8.2385379929464566</v>
      </c>
    </row>
    <row r="2677" spans="1:18" x14ac:dyDescent="0.35">
      <c r="A2677" s="3" t="s">
        <v>2698</v>
      </c>
      <c r="B2677">
        <v>6</v>
      </c>
      <c r="C2677">
        <v>0</v>
      </c>
      <c r="D2677">
        <v>37</v>
      </c>
      <c r="E2677">
        <v>2</v>
      </c>
      <c r="F2677">
        <v>3260</v>
      </c>
      <c r="G2677">
        <v>34</v>
      </c>
      <c r="H2677">
        <v>39</v>
      </c>
      <c r="I2677">
        <v>20</v>
      </c>
      <c r="J2677">
        <v>4</v>
      </c>
      <c r="K2677">
        <v>1</v>
      </c>
      <c r="L2677">
        <v>1</v>
      </c>
      <c r="M2677">
        <v>45</v>
      </c>
      <c r="N2677">
        <v>179.85</v>
      </c>
      <c r="O2677">
        <v>0</v>
      </c>
      <c r="P26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77" t="str">
        <f>IF(Table1[[#This Row],[Fraud_Score]]&gt;=6, "High Risk",IF(Table1[[#This Row],[Fraud_Score]]&gt;=3, "Medium Risk", "Low Risk"))</f>
        <v>Low Risk</v>
      </c>
      <c r="R2677">
        <f>IF(Table1[[#This Row],[Seconds of Use]]=0,0,Table1[[#This Row],[Customer Value]]/Table1[[#This Row],[Seconds of Use]]*100)</f>
        <v>5.5168711656441713</v>
      </c>
    </row>
    <row r="2678" spans="1:18" x14ac:dyDescent="0.35">
      <c r="A2678" s="3" t="s">
        <v>2699</v>
      </c>
      <c r="B2678">
        <v>14</v>
      </c>
      <c r="C2678">
        <v>0</v>
      </c>
      <c r="D2678">
        <v>38</v>
      </c>
      <c r="E2678">
        <v>0</v>
      </c>
      <c r="F2678">
        <v>3410</v>
      </c>
      <c r="G2678">
        <v>53</v>
      </c>
      <c r="H2678">
        <v>48</v>
      </c>
      <c r="I2678">
        <v>22</v>
      </c>
      <c r="J2678">
        <v>3</v>
      </c>
      <c r="K2678">
        <v>1</v>
      </c>
      <c r="L2678">
        <v>2</v>
      </c>
      <c r="M2678">
        <v>30</v>
      </c>
      <c r="N2678">
        <v>330.52</v>
      </c>
      <c r="O2678">
        <v>1</v>
      </c>
      <c r="P26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78" t="str">
        <f>IF(Table1[[#This Row],[Fraud_Score]]&gt;=6, "High Risk",IF(Table1[[#This Row],[Fraud_Score]]&gt;=3, "Medium Risk", "Low Risk"))</f>
        <v>Medium Risk</v>
      </c>
      <c r="R2678">
        <f>IF(Table1[[#This Row],[Seconds of Use]]=0,0,Table1[[#This Row],[Customer Value]]/Table1[[#This Row],[Seconds of Use]]*100)</f>
        <v>9.6926686217008804</v>
      </c>
    </row>
    <row r="2679" spans="1:18" x14ac:dyDescent="0.35">
      <c r="A2679" s="3" t="s">
        <v>2700</v>
      </c>
      <c r="B2679">
        <v>14</v>
      </c>
      <c r="C2679">
        <v>1</v>
      </c>
      <c r="D2679">
        <v>39</v>
      </c>
      <c r="E2679">
        <v>0</v>
      </c>
      <c r="F2679">
        <v>2688</v>
      </c>
      <c r="G2679">
        <v>56</v>
      </c>
      <c r="H2679">
        <v>73</v>
      </c>
      <c r="I2679">
        <v>37</v>
      </c>
      <c r="J2679">
        <v>4</v>
      </c>
      <c r="K2679">
        <v>1</v>
      </c>
      <c r="L2679">
        <v>2</v>
      </c>
      <c r="M2679">
        <v>45</v>
      </c>
      <c r="N2679">
        <v>251.1</v>
      </c>
      <c r="O2679">
        <v>1</v>
      </c>
      <c r="P26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79" t="str">
        <f>IF(Table1[[#This Row],[Fraud_Score]]&gt;=6, "High Risk",IF(Table1[[#This Row],[Fraud_Score]]&gt;=3, "Medium Risk", "Low Risk"))</f>
        <v>Medium Risk</v>
      </c>
      <c r="R2679">
        <f>IF(Table1[[#This Row],[Seconds of Use]]=0,0,Table1[[#This Row],[Customer Value]]/Table1[[#This Row],[Seconds of Use]]*100)</f>
        <v>9.3415178571428577</v>
      </c>
    </row>
    <row r="2680" spans="1:18" x14ac:dyDescent="0.35">
      <c r="A2680" s="3" t="s">
        <v>2701</v>
      </c>
      <c r="B2680">
        <v>5</v>
      </c>
      <c r="C2680">
        <v>0</v>
      </c>
      <c r="D2680">
        <v>39</v>
      </c>
      <c r="E2680">
        <v>0</v>
      </c>
      <c r="F2680">
        <v>553</v>
      </c>
      <c r="G2680">
        <v>14</v>
      </c>
      <c r="H2680">
        <v>39</v>
      </c>
      <c r="I2680">
        <v>8</v>
      </c>
      <c r="J2680">
        <v>3</v>
      </c>
      <c r="K2680">
        <v>1</v>
      </c>
      <c r="L2680">
        <v>2</v>
      </c>
      <c r="M2680">
        <v>30</v>
      </c>
      <c r="N2680">
        <v>178.68</v>
      </c>
      <c r="O2680">
        <v>1</v>
      </c>
      <c r="P26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80" t="str">
        <f>IF(Table1[[#This Row],[Fraud_Score]]&gt;=6, "High Risk",IF(Table1[[#This Row],[Fraud_Score]]&gt;=3, "Medium Risk", "Low Risk"))</f>
        <v>Low Risk</v>
      </c>
      <c r="R2680">
        <f>IF(Table1[[#This Row],[Seconds of Use]]=0,0,Table1[[#This Row],[Customer Value]]/Table1[[#This Row],[Seconds of Use]]*100)</f>
        <v>32.311030741410491</v>
      </c>
    </row>
    <row r="2681" spans="1:18" x14ac:dyDescent="0.35">
      <c r="A2681" s="3" t="s">
        <v>2702</v>
      </c>
      <c r="B2681">
        <v>6</v>
      </c>
      <c r="C2681">
        <v>0</v>
      </c>
      <c r="D2681">
        <v>39</v>
      </c>
      <c r="E2681">
        <v>2</v>
      </c>
      <c r="F2681">
        <v>2088</v>
      </c>
      <c r="G2681">
        <v>37</v>
      </c>
      <c r="H2681">
        <v>39</v>
      </c>
      <c r="I2681">
        <v>12</v>
      </c>
      <c r="J2681">
        <v>4</v>
      </c>
      <c r="K2681">
        <v>1</v>
      </c>
      <c r="L2681">
        <v>1</v>
      </c>
      <c r="M2681">
        <v>45</v>
      </c>
      <c r="N2681">
        <v>150.625</v>
      </c>
      <c r="O2681">
        <v>0</v>
      </c>
      <c r="P26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81" t="str">
        <f>IF(Table1[[#This Row],[Fraud_Score]]&gt;=6, "High Risk",IF(Table1[[#This Row],[Fraud_Score]]&gt;=3, "Medium Risk", "Low Risk"))</f>
        <v>Low Risk</v>
      </c>
      <c r="R2681">
        <f>IF(Table1[[#This Row],[Seconds of Use]]=0,0,Table1[[#This Row],[Customer Value]]/Table1[[#This Row],[Seconds of Use]]*100)</f>
        <v>7.2138409961685825</v>
      </c>
    </row>
    <row r="2682" spans="1:18" x14ac:dyDescent="0.35">
      <c r="A2682" s="3" t="s">
        <v>2703</v>
      </c>
      <c r="B2682">
        <v>8</v>
      </c>
      <c r="C2682">
        <v>0</v>
      </c>
      <c r="D2682">
        <v>36</v>
      </c>
      <c r="E2682">
        <v>3</v>
      </c>
      <c r="F2682">
        <v>7205</v>
      </c>
      <c r="G2682">
        <v>109</v>
      </c>
      <c r="H2682">
        <v>53</v>
      </c>
      <c r="I2682">
        <v>28</v>
      </c>
      <c r="J2682">
        <v>5</v>
      </c>
      <c r="K2682">
        <v>1</v>
      </c>
      <c r="L2682">
        <v>1</v>
      </c>
      <c r="M2682">
        <v>55</v>
      </c>
      <c r="N2682">
        <v>189.21</v>
      </c>
      <c r="O2682">
        <v>0</v>
      </c>
      <c r="P26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82" t="str">
        <f>IF(Table1[[#This Row],[Fraud_Score]]&gt;=6, "High Risk",IF(Table1[[#This Row],[Fraud_Score]]&gt;=3, "Medium Risk", "Low Risk"))</f>
        <v>Low Risk</v>
      </c>
      <c r="R2682">
        <f>IF(Table1[[#This Row],[Seconds of Use]]=0,0,Table1[[#This Row],[Customer Value]]/Table1[[#This Row],[Seconds of Use]]*100)</f>
        <v>2.6260929909784871</v>
      </c>
    </row>
    <row r="2683" spans="1:18" x14ac:dyDescent="0.35">
      <c r="A2683" s="3" t="s">
        <v>2704</v>
      </c>
      <c r="B2683">
        <v>5</v>
      </c>
      <c r="C2683">
        <v>0</v>
      </c>
      <c r="D2683">
        <v>39</v>
      </c>
      <c r="E2683">
        <v>0</v>
      </c>
      <c r="F2683">
        <v>1048</v>
      </c>
      <c r="G2683">
        <v>19</v>
      </c>
      <c r="H2683">
        <v>48</v>
      </c>
      <c r="I2683">
        <v>10</v>
      </c>
      <c r="J2683">
        <v>4</v>
      </c>
      <c r="K2683">
        <v>1</v>
      </c>
      <c r="L2683">
        <v>2</v>
      </c>
      <c r="M2683">
        <v>45</v>
      </c>
      <c r="N2683">
        <v>146.67500000000001</v>
      </c>
      <c r="O2683">
        <v>1</v>
      </c>
      <c r="P26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83" t="str">
        <f>IF(Table1[[#This Row],[Fraud_Score]]&gt;=6, "High Risk",IF(Table1[[#This Row],[Fraud_Score]]&gt;=3, "Medium Risk", "Low Risk"))</f>
        <v>Low Risk</v>
      </c>
      <c r="R2683">
        <f>IF(Table1[[#This Row],[Seconds of Use]]=0,0,Table1[[#This Row],[Customer Value]]/Table1[[#This Row],[Seconds of Use]]*100)</f>
        <v>13.995706106870228</v>
      </c>
    </row>
    <row r="2684" spans="1:18" x14ac:dyDescent="0.35">
      <c r="A2684" s="3" t="s">
        <v>2705</v>
      </c>
      <c r="B2684">
        <v>5</v>
      </c>
      <c r="C2684">
        <v>0</v>
      </c>
      <c r="D2684">
        <v>39</v>
      </c>
      <c r="E2684">
        <v>3</v>
      </c>
      <c r="F2684">
        <v>758</v>
      </c>
      <c r="G2684">
        <v>16</v>
      </c>
      <c r="H2684">
        <v>43</v>
      </c>
      <c r="I2684">
        <v>8</v>
      </c>
      <c r="J2684">
        <v>5</v>
      </c>
      <c r="K2684">
        <v>1</v>
      </c>
      <c r="L2684">
        <v>1</v>
      </c>
      <c r="M2684">
        <v>55</v>
      </c>
      <c r="N2684">
        <v>76.11</v>
      </c>
      <c r="O2684">
        <v>0</v>
      </c>
      <c r="P26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84" t="str">
        <f>IF(Table1[[#This Row],[Fraud_Score]]&gt;=6, "High Risk",IF(Table1[[#This Row],[Fraud_Score]]&gt;=3, "Medium Risk", "Low Risk"))</f>
        <v>Low Risk</v>
      </c>
      <c r="R2684">
        <f>IF(Table1[[#This Row],[Seconds of Use]]=0,0,Table1[[#This Row],[Customer Value]]/Table1[[#This Row],[Seconds of Use]]*100)</f>
        <v>10.040897097625329</v>
      </c>
    </row>
    <row r="2685" spans="1:18" x14ac:dyDescent="0.35">
      <c r="A2685" s="3" t="s">
        <v>2706</v>
      </c>
      <c r="B2685">
        <v>30</v>
      </c>
      <c r="C2685">
        <v>0</v>
      </c>
      <c r="D2685">
        <v>34</v>
      </c>
      <c r="E2685">
        <v>5</v>
      </c>
      <c r="F2685">
        <v>16495</v>
      </c>
      <c r="G2685">
        <v>250</v>
      </c>
      <c r="H2685">
        <v>39</v>
      </c>
      <c r="I2685">
        <v>86</v>
      </c>
      <c r="J2685">
        <v>2</v>
      </c>
      <c r="K2685">
        <v>2</v>
      </c>
      <c r="L2685">
        <v>1</v>
      </c>
      <c r="M2685">
        <v>25</v>
      </c>
      <c r="N2685">
        <v>929.02499999999998</v>
      </c>
      <c r="O2685">
        <v>0</v>
      </c>
      <c r="P26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85" t="str">
        <f>IF(Table1[[#This Row],[Fraud_Score]]&gt;=6, "High Risk",IF(Table1[[#This Row],[Fraud_Score]]&gt;=3, "Medium Risk", "Low Risk"))</f>
        <v>Medium Risk</v>
      </c>
      <c r="R2685">
        <f>IF(Table1[[#This Row],[Seconds of Use]]=0,0,Table1[[#This Row],[Customer Value]]/Table1[[#This Row],[Seconds of Use]]*100)</f>
        <v>5.6321612609881786</v>
      </c>
    </row>
    <row r="2686" spans="1:18" x14ac:dyDescent="0.35">
      <c r="A2686" s="3" t="s">
        <v>2707</v>
      </c>
      <c r="B2686">
        <v>11</v>
      </c>
      <c r="C2686">
        <v>0</v>
      </c>
      <c r="D2686">
        <v>37</v>
      </c>
      <c r="E2686">
        <v>5</v>
      </c>
      <c r="F2686">
        <v>7385</v>
      </c>
      <c r="G2686">
        <v>128</v>
      </c>
      <c r="H2686">
        <v>310</v>
      </c>
      <c r="I2686">
        <v>39</v>
      </c>
      <c r="J2686">
        <v>3</v>
      </c>
      <c r="K2686">
        <v>2</v>
      </c>
      <c r="L2686">
        <v>1</v>
      </c>
      <c r="M2686">
        <v>30</v>
      </c>
      <c r="N2686">
        <v>1540.52</v>
      </c>
      <c r="O2686">
        <v>0</v>
      </c>
      <c r="P26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86" t="str">
        <f>IF(Table1[[#This Row],[Fraud_Score]]&gt;=6, "High Risk",IF(Table1[[#This Row],[Fraud_Score]]&gt;=3, "Medium Risk", "Low Risk"))</f>
        <v>Low Risk</v>
      </c>
      <c r="R2686">
        <f>IF(Table1[[#This Row],[Seconds of Use]]=0,0,Table1[[#This Row],[Customer Value]]/Table1[[#This Row],[Seconds of Use]]*100)</f>
        <v>20.860121868652673</v>
      </c>
    </row>
    <row r="2687" spans="1:18" x14ac:dyDescent="0.35">
      <c r="A2687" s="3" t="s">
        <v>2708</v>
      </c>
      <c r="B2687">
        <v>7</v>
      </c>
      <c r="C2687">
        <v>0</v>
      </c>
      <c r="D2687">
        <v>39</v>
      </c>
      <c r="E2687">
        <v>2</v>
      </c>
      <c r="F2687">
        <v>4138</v>
      </c>
      <c r="G2687">
        <v>94</v>
      </c>
      <c r="H2687">
        <v>41</v>
      </c>
      <c r="I2687">
        <v>34</v>
      </c>
      <c r="J2687">
        <v>3</v>
      </c>
      <c r="K2687">
        <v>1</v>
      </c>
      <c r="L2687">
        <v>1</v>
      </c>
      <c r="M2687">
        <v>30</v>
      </c>
      <c r="N2687">
        <v>333.28</v>
      </c>
      <c r="O2687">
        <v>0</v>
      </c>
      <c r="P26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87" t="str">
        <f>IF(Table1[[#This Row],[Fraud_Score]]&gt;=6, "High Risk",IF(Table1[[#This Row],[Fraud_Score]]&gt;=3, "Medium Risk", "Low Risk"))</f>
        <v>Low Risk</v>
      </c>
      <c r="R2687">
        <f>IF(Table1[[#This Row],[Seconds of Use]]=0,0,Table1[[#This Row],[Customer Value]]/Table1[[#This Row],[Seconds of Use]]*100)</f>
        <v>8.0541324311261473</v>
      </c>
    </row>
    <row r="2688" spans="1:18" x14ac:dyDescent="0.35">
      <c r="A2688" s="3" t="s">
        <v>2709</v>
      </c>
      <c r="B2688">
        <v>8</v>
      </c>
      <c r="C2688">
        <v>0</v>
      </c>
      <c r="D2688">
        <v>38</v>
      </c>
      <c r="E2688">
        <v>0</v>
      </c>
      <c r="F2688">
        <v>2085</v>
      </c>
      <c r="G2688">
        <v>56</v>
      </c>
      <c r="H2688">
        <v>77</v>
      </c>
      <c r="I2688">
        <v>26</v>
      </c>
      <c r="J2688">
        <v>4</v>
      </c>
      <c r="K2688">
        <v>1</v>
      </c>
      <c r="L2688">
        <v>2</v>
      </c>
      <c r="M2688">
        <v>45</v>
      </c>
      <c r="N2688">
        <v>246.02500000000001</v>
      </c>
      <c r="O2688">
        <v>0</v>
      </c>
      <c r="P26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88" t="str">
        <f>IF(Table1[[#This Row],[Fraud_Score]]&gt;=6, "High Risk",IF(Table1[[#This Row],[Fraud_Score]]&gt;=3, "Medium Risk", "Low Risk"))</f>
        <v>Low Risk</v>
      </c>
      <c r="R2688">
        <f>IF(Table1[[#This Row],[Seconds of Use]]=0,0,Table1[[#This Row],[Customer Value]]/Table1[[#This Row],[Seconds of Use]]*100)</f>
        <v>11.799760191846524</v>
      </c>
    </row>
    <row r="2689" spans="1:18" x14ac:dyDescent="0.35">
      <c r="A2689" s="3" t="s">
        <v>2710</v>
      </c>
      <c r="B2689">
        <v>11</v>
      </c>
      <c r="C2689">
        <v>0</v>
      </c>
      <c r="D2689">
        <v>39</v>
      </c>
      <c r="E2689">
        <v>2</v>
      </c>
      <c r="F2689">
        <v>3200</v>
      </c>
      <c r="G2689">
        <v>65</v>
      </c>
      <c r="H2689">
        <v>214</v>
      </c>
      <c r="I2689">
        <v>29</v>
      </c>
      <c r="J2689">
        <v>3</v>
      </c>
      <c r="K2689">
        <v>1</v>
      </c>
      <c r="L2689">
        <v>1</v>
      </c>
      <c r="M2689">
        <v>30</v>
      </c>
      <c r="N2689">
        <v>986.6</v>
      </c>
      <c r="O2689">
        <v>0</v>
      </c>
      <c r="P26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89" t="str">
        <f>IF(Table1[[#This Row],[Fraud_Score]]&gt;=6, "High Risk",IF(Table1[[#This Row],[Fraud_Score]]&gt;=3, "Medium Risk", "Low Risk"))</f>
        <v>Low Risk</v>
      </c>
      <c r="R2689">
        <f>IF(Table1[[#This Row],[Seconds of Use]]=0,0,Table1[[#This Row],[Customer Value]]/Table1[[#This Row],[Seconds of Use]]*100)</f>
        <v>30.831249999999997</v>
      </c>
    </row>
    <row r="2690" spans="1:18" x14ac:dyDescent="0.35">
      <c r="A2690" s="3" t="s">
        <v>2711</v>
      </c>
      <c r="B2690">
        <v>9</v>
      </c>
      <c r="C2690">
        <v>0</v>
      </c>
      <c r="D2690">
        <v>30</v>
      </c>
      <c r="E2690">
        <v>3</v>
      </c>
      <c r="F2690">
        <v>1735</v>
      </c>
      <c r="G2690">
        <v>48</v>
      </c>
      <c r="H2690">
        <v>232</v>
      </c>
      <c r="I2690">
        <v>17</v>
      </c>
      <c r="J2690">
        <v>3</v>
      </c>
      <c r="K2690">
        <v>2</v>
      </c>
      <c r="L2690">
        <v>1</v>
      </c>
      <c r="M2690">
        <v>30</v>
      </c>
      <c r="N2690">
        <v>999.32</v>
      </c>
      <c r="O2690">
        <v>0</v>
      </c>
      <c r="P26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90" t="str">
        <f>IF(Table1[[#This Row],[Fraud_Score]]&gt;=6, "High Risk",IF(Table1[[#This Row],[Fraud_Score]]&gt;=3, "Medium Risk", "Low Risk"))</f>
        <v>Low Risk</v>
      </c>
      <c r="R2690">
        <f>IF(Table1[[#This Row],[Seconds of Use]]=0,0,Table1[[#This Row],[Customer Value]]/Table1[[#This Row],[Seconds of Use]]*100)</f>
        <v>57.59769452449568</v>
      </c>
    </row>
    <row r="2691" spans="1:18" x14ac:dyDescent="0.35">
      <c r="A2691" s="3" t="s">
        <v>2712</v>
      </c>
      <c r="B2691">
        <v>9</v>
      </c>
      <c r="C2691">
        <v>0</v>
      </c>
      <c r="D2691">
        <v>29</v>
      </c>
      <c r="E2691">
        <v>2</v>
      </c>
      <c r="F2691">
        <v>1988</v>
      </c>
      <c r="G2691">
        <v>51</v>
      </c>
      <c r="H2691">
        <v>69</v>
      </c>
      <c r="I2691">
        <v>74</v>
      </c>
      <c r="J2691">
        <v>5</v>
      </c>
      <c r="K2691">
        <v>1</v>
      </c>
      <c r="L2691">
        <v>1</v>
      </c>
      <c r="M2691">
        <v>55</v>
      </c>
      <c r="N2691">
        <v>134.08500000000001</v>
      </c>
      <c r="O2691">
        <v>0</v>
      </c>
      <c r="P26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91" t="str">
        <f>IF(Table1[[#This Row],[Fraud_Score]]&gt;=6, "High Risk",IF(Table1[[#This Row],[Fraud_Score]]&gt;=3, "Medium Risk", "Low Risk"))</f>
        <v>Low Risk</v>
      </c>
      <c r="R2691">
        <f>IF(Table1[[#This Row],[Seconds of Use]]=0,0,Table1[[#This Row],[Customer Value]]/Table1[[#This Row],[Seconds of Use]]*100)</f>
        <v>6.7447183098591559</v>
      </c>
    </row>
    <row r="2692" spans="1:18" x14ac:dyDescent="0.35">
      <c r="A2692" s="3" t="s">
        <v>2713</v>
      </c>
      <c r="B2692">
        <v>16</v>
      </c>
      <c r="C2692">
        <v>0</v>
      </c>
      <c r="D2692">
        <v>30</v>
      </c>
      <c r="E2692">
        <v>0</v>
      </c>
      <c r="F2692">
        <v>1120</v>
      </c>
      <c r="G2692">
        <v>37</v>
      </c>
      <c r="H2692">
        <v>49</v>
      </c>
      <c r="I2692">
        <v>13</v>
      </c>
      <c r="J2692">
        <v>3</v>
      </c>
      <c r="K2692">
        <v>1</v>
      </c>
      <c r="L2692">
        <v>2</v>
      </c>
      <c r="M2692">
        <v>30</v>
      </c>
      <c r="N2692">
        <v>242.28</v>
      </c>
      <c r="O2692">
        <v>0</v>
      </c>
      <c r="P26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692" t="str">
        <f>IF(Table1[[#This Row],[Fraud_Score]]&gt;=6, "High Risk",IF(Table1[[#This Row],[Fraud_Score]]&gt;=3, "Medium Risk", "Low Risk"))</f>
        <v>Medium Risk</v>
      </c>
      <c r="R2692">
        <f>IF(Table1[[#This Row],[Seconds of Use]]=0,0,Table1[[#This Row],[Customer Value]]/Table1[[#This Row],[Seconds of Use]]*100)</f>
        <v>21.63214285714286</v>
      </c>
    </row>
    <row r="2693" spans="1:18" x14ac:dyDescent="0.35">
      <c r="A2693" s="3" t="s">
        <v>2714</v>
      </c>
      <c r="B2693">
        <v>5</v>
      </c>
      <c r="C2693">
        <v>0</v>
      </c>
      <c r="D2693">
        <v>29</v>
      </c>
      <c r="E2693">
        <v>0</v>
      </c>
      <c r="F2693">
        <v>1245</v>
      </c>
      <c r="G2693">
        <v>22</v>
      </c>
      <c r="H2693">
        <v>60</v>
      </c>
      <c r="I2693">
        <v>9</v>
      </c>
      <c r="J2693">
        <v>4</v>
      </c>
      <c r="K2693">
        <v>1</v>
      </c>
      <c r="L2693">
        <v>2</v>
      </c>
      <c r="M2693">
        <v>45</v>
      </c>
      <c r="N2693">
        <v>181.67500000000001</v>
      </c>
      <c r="O2693">
        <v>0</v>
      </c>
      <c r="P26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693" t="str">
        <f>IF(Table1[[#This Row],[Fraud_Score]]&gt;=6, "High Risk",IF(Table1[[#This Row],[Fraud_Score]]&gt;=3, "Medium Risk", "Low Risk"))</f>
        <v>Low Risk</v>
      </c>
      <c r="R2693">
        <f>IF(Table1[[#This Row],[Seconds of Use]]=0,0,Table1[[#This Row],[Customer Value]]/Table1[[#This Row],[Seconds of Use]]*100)</f>
        <v>14.59236947791165</v>
      </c>
    </row>
    <row r="2694" spans="1:18" x14ac:dyDescent="0.35">
      <c r="A2694" s="3" t="s">
        <v>2715</v>
      </c>
      <c r="B2694">
        <v>15</v>
      </c>
      <c r="C2694">
        <v>0</v>
      </c>
      <c r="D2694">
        <v>28</v>
      </c>
      <c r="E2694">
        <v>2</v>
      </c>
      <c r="F2694">
        <v>1645</v>
      </c>
      <c r="G2694">
        <v>44</v>
      </c>
      <c r="H2694">
        <v>58</v>
      </c>
      <c r="I2694">
        <v>19</v>
      </c>
      <c r="J2694">
        <v>2</v>
      </c>
      <c r="K2694">
        <v>1</v>
      </c>
      <c r="L2694">
        <v>1</v>
      </c>
      <c r="M2694">
        <v>25</v>
      </c>
      <c r="N2694">
        <v>337.005</v>
      </c>
      <c r="O2694">
        <v>0</v>
      </c>
      <c r="P26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94" t="str">
        <f>IF(Table1[[#This Row],[Fraud_Score]]&gt;=6, "High Risk",IF(Table1[[#This Row],[Fraud_Score]]&gt;=3, "Medium Risk", "Low Risk"))</f>
        <v>Low Risk</v>
      </c>
      <c r="R2694">
        <f>IF(Table1[[#This Row],[Seconds of Use]]=0,0,Table1[[#This Row],[Customer Value]]/Table1[[#This Row],[Seconds of Use]]*100)</f>
        <v>20.486626139817631</v>
      </c>
    </row>
    <row r="2695" spans="1:18" x14ac:dyDescent="0.35">
      <c r="A2695" s="3" t="s">
        <v>2716</v>
      </c>
      <c r="B2695">
        <v>7</v>
      </c>
      <c r="C2695">
        <v>0</v>
      </c>
      <c r="D2695">
        <v>28</v>
      </c>
      <c r="E2695">
        <v>2</v>
      </c>
      <c r="F2695">
        <v>3645</v>
      </c>
      <c r="G2695">
        <v>73</v>
      </c>
      <c r="H2695">
        <v>47</v>
      </c>
      <c r="I2695">
        <v>29</v>
      </c>
      <c r="J2695">
        <v>4</v>
      </c>
      <c r="K2695">
        <v>1</v>
      </c>
      <c r="L2695">
        <v>1</v>
      </c>
      <c r="M2695">
        <v>45</v>
      </c>
      <c r="N2695">
        <v>210.45</v>
      </c>
      <c r="O2695">
        <v>0</v>
      </c>
      <c r="P26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95" t="str">
        <f>IF(Table1[[#This Row],[Fraud_Score]]&gt;=6, "High Risk",IF(Table1[[#This Row],[Fraud_Score]]&gt;=3, "Medium Risk", "Low Risk"))</f>
        <v>Low Risk</v>
      </c>
      <c r="R2695">
        <f>IF(Table1[[#This Row],[Seconds of Use]]=0,0,Table1[[#This Row],[Customer Value]]/Table1[[#This Row],[Seconds of Use]]*100)</f>
        <v>5.7736625514403288</v>
      </c>
    </row>
    <row r="2696" spans="1:18" x14ac:dyDescent="0.35">
      <c r="A2696" s="3" t="s">
        <v>2717</v>
      </c>
      <c r="B2696">
        <v>7</v>
      </c>
      <c r="C2696">
        <v>0</v>
      </c>
      <c r="D2696">
        <v>21</v>
      </c>
      <c r="E2696">
        <v>2</v>
      </c>
      <c r="F2696">
        <v>2115</v>
      </c>
      <c r="G2696">
        <v>38</v>
      </c>
      <c r="H2696">
        <v>67</v>
      </c>
      <c r="I2696">
        <v>20</v>
      </c>
      <c r="J2696">
        <v>3</v>
      </c>
      <c r="K2696">
        <v>1</v>
      </c>
      <c r="L2696">
        <v>1</v>
      </c>
      <c r="M2696">
        <v>30</v>
      </c>
      <c r="N2696">
        <v>354.12</v>
      </c>
      <c r="O2696">
        <v>0</v>
      </c>
      <c r="P26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696" t="str">
        <f>IF(Table1[[#This Row],[Fraud_Score]]&gt;=6, "High Risk",IF(Table1[[#This Row],[Fraud_Score]]&gt;=3, "Medium Risk", "Low Risk"))</f>
        <v>Low Risk</v>
      </c>
      <c r="R2696">
        <f>IF(Table1[[#This Row],[Seconds of Use]]=0,0,Table1[[#This Row],[Customer Value]]/Table1[[#This Row],[Seconds of Use]]*100)</f>
        <v>16.743262411347519</v>
      </c>
    </row>
    <row r="2697" spans="1:18" x14ac:dyDescent="0.35">
      <c r="A2697" s="3" t="s">
        <v>2718</v>
      </c>
      <c r="B2697">
        <v>21</v>
      </c>
      <c r="C2697">
        <v>0</v>
      </c>
      <c r="D2697">
        <v>20</v>
      </c>
      <c r="E2697">
        <v>3</v>
      </c>
      <c r="F2697">
        <v>6813</v>
      </c>
      <c r="G2697">
        <v>153</v>
      </c>
      <c r="H2697">
        <v>124</v>
      </c>
      <c r="I2697">
        <v>48</v>
      </c>
      <c r="J2697">
        <v>2</v>
      </c>
      <c r="K2697">
        <v>2</v>
      </c>
      <c r="L2697">
        <v>1</v>
      </c>
      <c r="M2697">
        <v>25</v>
      </c>
      <c r="N2697">
        <v>871.47</v>
      </c>
      <c r="O2697">
        <v>0</v>
      </c>
      <c r="P26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697" t="str">
        <f>IF(Table1[[#This Row],[Fraud_Score]]&gt;=6, "High Risk",IF(Table1[[#This Row],[Fraud_Score]]&gt;=3, "Medium Risk", "Low Risk"))</f>
        <v>Medium Risk</v>
      </c>
      <c r="R2697">
        <f>IF(Table1[[#This Row],[Seconds of Use]]=0,0,Table1[[#This Row],[Customer Value]]/Table1[[#This Row],[Seconds of Use]]*100)</f>
        <v>12.791281373844122</v>
      </c>
    </row>
    <row r="2698" spans="1:18" x14ac:dyDescent="0.35">
      <c r="A2698" s="3" t="s">
        <v>2719</v>
      </c>
      <c r="B2698">
        <v>17</v>
      </c>
      <c r="C2698">
        <v>0</v>
      </c>
      <c r="D2698">
        <v>18</v>
      </c>
      <c r="E2698">
        <v>2</v>
      </c>
      <c r="F2698">
        <v>9353</v>
      </c>
      <c r="G2698">
        <v>183</v>
      </c>
      <c r="H2698">
        <v>112</v>
      </c>
      <c r="I2698">
        <v>46</v>
      </c>
      <c r="J2698">
        <v>5</v>
      </c>
      <c r="K2698">
        <v>1</v>
      </c>
      <c r="L2698">
        <v>1</v>
      </c>
      <c r="M2698">
        <v>55</v>
      </c>
      <c r="N2698">
        <v>311.04000000000002</v>
      </c>
      <c r="O2698">
        <v>0</v>
      </c>
      <c r="P26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698" t="str">
        <f>IF(Table1[[#This Row],[Fraud_Score]]&gt;=6, "High Risk",IF(Table1[[#This Row],[Fraud_Score]]&gt;=3, "Medium Risk", "Low Risk"))</f>
        <v>Medium Risk</v>
      </c>
      <c r="R2698">
        <f>IF(Table1[[#This Row],[Seconds of Use]]=0,0,Table1[[#This Row],[Customer Value]]/Table1[[#This Row],[Seconds of Use]]*100)</f>
        <v>3.3255639901635838</v>
      </c>
    </row>
    <row r="2699" spans="1:18" x14ac:dyDescent="0.35">
      <c r="A2699" s="3" t="s">
        <v>2720</v>
      </c>
      <c r="B2699">
        <v>13</v>
      </c>
      <c r="C2699">
        <v>0</v>
      </c>
      <c r="D2699">
        <v>19</v>
      </c>
      <c r="E2699">
        <v>5</v>
      </c>
      <c r="F2699">
        <v>3273</v>
      </c>
      <c r="G2699">
        <v>57</v>
      </c>
      <c r="H2699">
        <v>70</v>
      </c>
      <c r="I2699">
        <v>25</v>
      </c>
      <c r="J2699">
        <v>4</v>
      </c>
      <c r="K2699">
        <v>1</v>
      </c>
      <c r="L2699">
        <v>1</v>
      </c>
      <c r="M2699">
        <v>45</v>
      </c>
      <c r="N2699">
        <v>258.25</v>
      </c>
      <c r="O2699">
        <v>0</v>
      </c>
      <c r="P26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699" t="str">
        <f>IF(Table1[[#This Row],[Fraud_Score]]&gt;=6, "High Risk",IF(Table1[[#This Row],[Fraud_Score]]&gt;=3, "Medium Risk", "Low Risk"))</f>
        <v>Low Risk</v>
      </c>
      <c r="R2699">
        <f>IF(Table1[[#This Row],[Seconds of Use]]=0,0,Table1[[#This Row],[Customer Value]]/Table1[[#This Row],[Seconds of Use]]*100)</f>
        <v>7.8903146959975548</v>
      </c>
    </row>
    <row r="2700" spans="1:18" x14ac:dyDescent="0.35">
      <c r="A2700" s="3" t="s">
        <v>2721</v>
      </c>
      <c r="B2700">
        <v>7</v>
      </c>
      <c r="C2700">
        <v>0</v>
      </c>
      <c r="D2700">
        <v>12</v>
      </c>
      <c r="E2700">
        <v>3</v>
      </c>
      <c r="F2700">
        <v>4810</v>
      </c>
      <c r="G2700">
        <v>52</v>
      </c>
      <c r="H2700">
        <v>254</v>
      </c>
      <c r="I2700">
        <v>16</v>
      </c>
      <c r="J2700">
        <v>3</v>
      </c>
      <c r="K2700">
        <v>1</v>
      </c>
      <c r="L2700">
        <v>1</v>
      </c>
      <c r="M2700">
        <v>30</v>
      </c>
      <c r="N2700">
        <v>1210.48</v>
      </c>
      <c r="O2700">
        <v>0</v>
      </c>
      <c r="P27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00" t="str">
        <f>IF(Table1[[#This Row],[Fraud_Score]]&gt;=6, "High Risk",IF(Table1[[#This Row],[Fraud_Score]]&gt;=3, "Medium Risk", "Low Risk"))</f>
        <v>Low Risk</v>
      </c>
      <c r="R2700">
        <f>IF(Table1[[#This Row],[Seconds of Use]]=0,0,Table1[[#This Row],[Customer Value]]/Table1[[#This Row],[Seconds of Use]]*100)</f>
        <v>25.165904365904368</v>
      </c>
    </row>
    <row r="2701" spans="1:18" x14ac:dyDescent="0.35">
      <c r="A2701" s="3" t="s">
        <v>2722</v>
      </c>
      <c r="B2701">
        <v>8</v>
      </c>
      <c r="C2701">
        <v>1</v>
      </c>
      <c r="D2701">
        <v>12</v>
      </c>
      <c r="E2701">
        <v>3</v>
      </c>
      <c r="F2701">
        <v>1908</v>
      </c>
      <c r="G2701">
        <v>31</v>
      </c>
      <c r="H2701">
        <v>39</v>
      </c>
      <c r="I2701">
        <v>13</v>
      </c>
      <c r="J2701">
        <v>3</v>
      </c>
      <c r="K2701">
        <v>1</v>
      </c>
      <c r="L2701">
        <v>1</v>
      </c>
      <c r="M2701">
        <v>30</v>
      </c>
      <c r="N2701">
        <v>233.56</v>
      </c>
      <c r="O2701">
        <v>1</v>
      </c>
      <c r="P27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01" t="str">
        <f>IF(Table1[[#This Row],[Fraud_Score]]&gt;=6, "High Risk",IF(Table1[[#This Row],[Fraud_Score]]&gt;=3, "Medium Risk", "Low Risk"))</f>
        <v>Low Risk</v>
      </c>
      <c r="R2701">
        <f>IF(Table1[[#This Row],[Seconds of Use]]=0,0,Table1[[#This Row],[Customer Value]]/Table1[[#This Row],[Seconds of Use]]*100)</f>
        <v>12.241090146750524</v>
      </c>
    </row>
    <row r="2702" spans="1:18" x14ac:dyDescent="0.35">
      <c r="A2702" s="3" t="s">
        <v>2723</v>
      </c>
      <c r="B2702">
        <v>13</v>
      </c>
      <c r="C2702">
        <v>0</v>
      </c>
      <c r="D2702">
        <v>39</v>
      </c>
      <c r="E2702">
        <v>0</v>
      </c>
      <c r="F2702">
        <v>4560</v>
      </c>
      <c r="G2702">
        <v>71</v>
      </c>
      <c r="H2702">
        <v>7</v>
      </c>
      <c r="I2702">
        <v>15</v>
      </c>
      <c r="J2702">
        <v>2</v>
      </c>
      <c r="K2702">
        <v>1</v>
      </c>
      <c r="L2702">
        <v>1</v>
      </c>
      <c r="M2702">
        <v>25</v>
      </c>
      <c r="N2702">
        <v>239.89500000000001</v>
      </c>
      <c r="O2702">
        <v>0</v>
      </c>
      <c r="P27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02" t="str">
        <f>IF(Table1[[#This Row],[Fraud_Score]]&gt;=6, "High Risk",IF(Table1[[#This Row],[Fraud_Score]]&gt;=3, "Medium Risk", "Low Risk"))</f>
        <v>Medium Risk</v>
      </c>
      <c r="R2702">
        <f>IF(Table1[[#This Row],[Seconds of Use]]=0,0,Table1[[#This Row],[Customer Value]]/Table1[[#This Row],[Seconds of Use]]*100)</f>
        <v>5.2608552631578949</v>
      </c>
    </row>
    <row r="2703" spans="1:18" x14ac:dyDescent="0.35">
      <c r="A2703" s="3" t="s">
        <v>2724</v>
      </c>
      <c r="B2703">
        <v>5</v>
      </c>
      <c r="C2703">
        <v>0</v>
      </c>
      <c r="D2703">
        <v>40</v>
      </c>
      <c r="E2703">
        <v>0</v>
      </c>
      <c r="F2703">
        <v>305</v>
      </c>
      <c r="G2703">
        <v>6</v>
      </c>
      <c r="H2703">
        <v>7</v>
      </c>
      <c r="I2703">
        <v>2</v>
      </c>
      <c r="J2703">
        <v>2</v>
      </c>
      <c r="K2703">
        <v>1</v>
      </c>
      <c r="L2703">
        <v>2</v>
      </c>
      <c r="M2703">
        <v>25</v>
      </c>
      <c r="N2703">
        <v>45.494999999999997</v>
      </c>
      <c r="O2703">
        <v>0</v>
      </c>
      <c r="P27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03" t="str">
        <f>IF(Table1[[#This Row],[Fraud_Score]]&gt;=6, "High Risk",IF(Table1[[#This Row],[Fraud_Score]]&gt;=3, "Medium Risk", "Low Risk"))</f>
        <v>Low Risk</v>
      </c>
      <c r="R2703">
        <f>IF(Table1[[#This Row],[Seconds of Use]]=0,0,Table1[[#This Row],[Customer Value]]/Table1[[#This Row],[Seconds of Use]]*100)</f>
        <v>14.916393442622949</v>
      </c>
    </row>
    <row r="2704" spans="1:18" x14ac:dyDescent="0.35">
      <c r="A2704" s="3" t="s">
        <v>2725</v>
      </c>
      <c r="B2704">
        <v>15</v>
      </c>
      <c r="C2704">
        <v>0</v>
      </c>
      <c r="D2704">
        <v>38</v>
      </c>
      <c r="E2704">
        <v>0</v>
      </c>
      <c r="F2704">
        <v>2643</v>
      </c>
      <c r="G2704">
        <v>60</v>
      </c>
      <c r="H2704">
        <v>334</v>
      </c>
      <c r="I2704">
        <v>22</v>
      </c>
      <c r="J2704">
        <v>2</v>
      </c>
      <c r="K2704">
        <v>1</v>
      </c>
      <c r="L2704">
        <v>1</v>
      </c>
      <c r="M2704">
        <v>25</v>
      </c>
      <c r="N2704">
        <v>1624.635</v>
      </c>
      <c r="O2704">
        <v>0</v>
      </c>
      <c r="P27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04" t="str">
        <f>IF(Table1[[#This Row],[Fraud_Score]]&gt;=6, "High Risk",IF(Table1[[#This Row],[Fraud_Score]]&gt;=3, "Medium Risk", "Low Risk"))</f>
        <v>Medium Risk</v>
      </c>
      <c r="R2704">
        <f>IF(Table1[[#This Row],[Seconds of Use]]=0,0,Table1[[#This Row],[Customer Value]]/Table1[[#This Row],[Seconds of Use]]*100)</f>
        <v>61.469353007945514</v>
      </c>
    </row>
    <row r="2705" spans="1:18" x14ac:dyDescent="0.35">
      <c r="A2705" s="3" t="s">
        <v>2726</v>
      </c>
      <c r="B2705">
        <v>15</v>
      </c>
      <c r="C2705">
        <v>0</v>
      </c>
      <c r="D2705">
        <v>39</v>
      </c>
      <c r="E2705">
        <v>0</v>
      </c>
      <c r="F2705">
        <v>4388</v>
      </c>
      <c r="G2705">
        <v>66</v>
      </c>
      <c r="H2705">
        <v>7</v>
      </c>
      <c r="I2705">
        <v>33</v>
      </c>
      <c r="J2705">
        <v>1</v>
      </c>
      <c r="K2705">
        <v>1</v>
      </c>
      <c r="L2705">
        <v>1</v>
      </c>
      <c r="M2705">
        <v>15</v>
      </c>
      <c r="N2705">
        <v>283.47000000000003</v>
      </c>
      <c r="O2705">
        <v>0</v>
      </c>
      <c r="P27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05" t="str">
        <f>IF(Table1[[#This Row],[Fraud_Score]]&gt;=6, "High Risk",IF(Table1[[#This Row],[Fraud_Score]]&gt;=3, "Medium Risk", "Low Risk"))</f>
        <v>Medium Risk</v>
      </c>
      <c r="R2705">
        <f>IF(Table1[[#This Row],[Seconds of Use]]=0,0,Table1[[#This Row],[Customer Value]]/Table1[[#This Row],[Seconds of Use]]*100)</f>
        <v>6.4601185050136749</v>
      </c>
    </row>
    <row r="2706" spans="1:18" x14ac:dyDescent="0.35">
      <c r="A2706" s="3" t="s">
        <v>2727</v>
      </c>
      <c r="B2706">
        <v>8</v>
      </c>
      <c r="C2706">
        <v>0</v>
      </c>
      <c r="D2706">
        <v>39</v>
      </c>
      <c r="E2706">
        <v>0</v>
      </c>
      <c r="F2706">
        <v>2583</v>
      </c>
      <c r="G2706">
        <v>58</v>
      </c>
      <c r="H2706">
        <v>7</v>
      </c>
      <c r="I2706">
        <v>31</v>
      </c>
      <c r="J2706">
        <v>1</v>
      </c>
      <c r="K2706">
        <v>1</v>
      </c>
      <c r="L2706">
        <v>1</v>
      </c>
      <c r="M2706">
        <v>15</v>
      </c>
      <c r="N2706">
        <v>183.755</v>
      </c>
      <c r="O2706">
        <v>0</v>
      </c>
      <c r="P27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06" t="str">
        <f>IF(Table1[[#This Row],[Fraud_Score]]&gt;=6, "High Risk",IF(Table1[[#This Row],[Fraud_Score]]&gt;=3, "Medium Risk", "Low Risk"))</f>
        <v>Low Risk</v>
      </c>
      <c r="R2706">
        <f>IF(Table1[[#This Row],[Seconds of Use]]=0,0,Table1[[#This Row],[Customer Value]]/Table1[[#This Row],[Seconds of Use]]*100)</f>
        <v>7.1140147115756864</v>
      </c>
    </row>
    <row r="2707" spans="1:18" x14ac:dyDescent="0.35">
      <c r="A2707" s="3" t="s">
        <v>2728</v>
      </c>
      <c r="B2707">
        <v>16</v>
      </c>
      <c r="C2707">
        <v>0</v>
      </c>
      <c r="D2707">
        <v>39</v>
      </c>
      <c r="E2707">
        <v>1</v>
      </c>
      <c r="F2707">
        <v>3965</v>
      </c>
      <c r="G2707">
        <v>82</v>
      </c>
      <c r="H2707">
        <v>7</v>
      </c>
      <c r="I2707">
        <v>26</v>
      </c>
      <c r="J2707">
        <v>3</v>
      </c>
      <c r="K2707">
        <v>1</v>
      </c>
      <c r="L2707">
        <v>1</v>
      </c>
      <c r="M2707">
        <v>30</v>
      </c>
      <c r="N2707">
        <v>189.88</v>
      </c>
      <c r="O2707">
        <v>0</v>
      </c>
      <c r="P27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07" t="str">
        <f>IF(Table1[[#This Row],[Fraud_Score]]&gt;=6, "High Risk",IF(Table1[[#This Row],[Fraud_Score]]&gt;=3, "Medium Risk", "Low Risk"))</f>
        <v>Low Risk</v>
      </c>
      <c r="R2707">
        <f>IF(Table1[[#This Row],[Seconds of Use]]=0,0,Table1[[#This Row],[Customer Value]]/Table1[[#This Row],[Seconds of Use]]*100)</f>
        <v>4.7889029003783099</v>
      </c>
    </row>
    <row r="2708" spans="1:18" x14ac:dyDescent="0.35">
      <c r="A2708" s="3" t="s">
        <v>2729</v>
      </c>
      <c r="B2708">
        <v>9</v>
      </c>
      <c r="C2708">
        <v>0</v>
      </c>
      <c r="D2708">
        <v>39</v>
      </c>
      <c r="E2708">
        <v>0</v>
      </c>
      <c r="F2708">
        <v>2550</v>
      </c>
      <c r="G2708">
        <v>39</v>
      </c>
      <c r="H2708">
        <v>260</v>
      </c>
      <c r="I2708">
        <v>16</v>
      </c>
      <c r="J2708">
        <v>3</v>
      </c>
      <c r="K2708">
        <v>1</v>
      </c>
      <c r="L2708">
        <v>1</v>
      </c>
      <c r="M2708">
        <v>30</v>
      </c>
      <c r="N2708">
        <v>1143.56</v>
      </c>
      <c r="O2708">
        <v>0</v>
      </c>
      <c r="P27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08" t="str">
        <f>IF(Table1[[#This Row],[Fraud_Score]]&gt;=6, "High Risk",IF(Table1[[#This Row],[Fraud_Score]]&gt;=3, "Medium Risk", "Low Risk"))</f>
        <v>Low Risk</v>
      </c>
      <c r="R2708">
        <f>IF(Table1[[#This Row],[Seconds of Use]]=0,0,Table1[[#This Row],[Customer Value]]/Table1[[#This Row],[Seconds of Use]]*100)</f>
        <v>44.84549019607843</v>
      </c>
    </row>
    <row r="2709" spans="1:18" x14ac:dyDescent="0.35">
      <c r="A2709" s="3" t="s">
        <v>2730</v>
      </c>
      <c r="B2709">
        <v>18</v>
      </c>
      <c r="C2709">
        <v>0</v>
      </c>
      <c r="D2709">
        <v>38</v>
      </c>
      <c r="E2709">
        <v>2</v>
      </c>
      <c r="F2709">
        <v>9305</v>
      </c>
      <c r="G2709">
        <v>121</v>
      </c>
      <c r="H2709">
        <v>119</v>
      </c>
      <c r="I2709">
        <v>41</v>
      </c>
      <c r="J2709">
        <v>3</v>
      </c>
      <c r="K2709">
        <v>1</v>
      </c>
      <c r="L2709">
        <v>1</v>
      </c>
      <c r="M2709">
        <v>30</v>
      </c>
      <c r="N2709">
        <v>853.04</v>
      </c>
      <c r="O2709">
        <v>0</v>
      </c>
      <c r="P27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09" t="str">
        <f>IF(Table1[[#This Row],[Fraud_Score]]&gt;=6, "High Risk",IF(Table1[[#This Row],[Fraud_Score]]&gt;=3, "Medium Risk", "Low Risk"))</f>
        <v>Low Risk</v>
      </c>
      <c r="R2709">
        <f>IF(Table1[[#This Row],[Seconds of Use]]=0,0,Table1[[#This Row],[Customer Value]]/Table1[[#This Row],[Seconds of Use]]*100)</f>
        <v>9.1675443310048355</v>
      </c>
    </row>
    <row r="2710" spans="1:18" x14ac:dyDescent="0.35">
      <c r="A2710" s="3" t="s">
        <v>2731</v>
      </c>
      <c r="B2710">
        <v>12</v>
      </c>
      <c r="C2710">
        <v>0</v>
      </c>
      <c r="D2710">
        <v>39</v>
      </c>
      <c r="E2710">
        <v>0</v>
      </c>
      <c r="F2710">
        <v>13963</v>
      </c>
      <c r="G2710">
        <v>169</v>
      </c>
      <c r="H2710">
        <v>7</v>
      </c>
      <c r="I2710">
        <v>42</v>
      </c>
      <c r="J2710">
        <v>3</v>
      </c>
      <c r="K2710">
        <v>1</v>
      </c>
      <c r="L2710">
        <v>1</v>
      </c>
      <c r="M2710">
        <v>30</v>
      </c>
      <c r="N2710">
        <v>593.28</v>
      </c>
      <c r="O2710">
        <v>0</v>
      </c>
      <c r="P27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10" t="str">
        <f>IF(Table1[[#This Row],[Fraud_Score]]&gt;=6, "High Risk",IF(Table1[[#This Row],[Fraud_Score]]&gt;=3, "Medium Risk", "Low Risk"))</f>
        <v>Medium Risk</v>
      </c>
      <c r="R2710">
        <f>IF(Table1[[#This Row],[Seconds of Use]]=0,0,Table1[[#This Row],[Customer Value]]/Table1[[#This Row],[Seconds of Use]]*100)</f>
        <v>4.2489436367542783</v>
      </c>
    </row>
    <row r="2711" spans="1:18" x14ac:dyDescent="0.35">
      <c r="A2711" s="3" t="s">
        <v>2732</v>
      </c>
      <c r="B2711">
        <v>12</v>
      </c>
      <c r="C2711">
        <v>0</v>
      </c>
      <c r="D2711">
        <v>39</v>
      </c>
      <c r="E2711">
        <v>1</v>
      </c>
      <c r="F2711">
        <v>4705</v>
      </c>
      <c r="G2711">
        <v>83</v>
      </c>
      <c r="H2711">
        <v>7</v>
      </c>
      <c r="I2711">
        <v>23</v>
      </c>
      <c r="J2711">
        <v>3</v>
      </c>
      <c r="K2711">
        <v>1</v>
      </c>
      <c r="L2711">
        <v>1</v>
      </c>
      <c r="M2711">
        <v>30</v>
      </c>
      <c r="N2711">
        <v>219.52</v>
      </c>
      <c r="O2711">
        <v>0</v>
      </c>
      <c r="P27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11" t="str">
        <f>IF(Table1[[#This Row],[Fraud_Score]]&gt;=6, "High Risk",IF(Table1[[#This Row],[Fraud_Score]]&gt;=3, "Medium Risk", "Low Risk"))</f>
        <v>Low Risk</v>
      </c>
      <c r="R2711">
        <f>IF(Table1[[#This Row],[Seconds of Use]]=0,0,Table1[[#This Row],[Customer Value]]/Table1[[#This Row],[Seconds of Use]]*100)</f>
        <v>4.6656748140276303</v>
      </c>
    </row>
    <row r="2712" spans="1:18" x14ac:dyDescent="0.35">
      <c r="A2712" s="3" t="s">
        <v>2733</v>
      </c>
      <c r="B2712">
        <v>11</v>
      </c>
      <c r="C2712">
        <v>0</v>
      </c>
      <c r="D2712">
        <v>39</v>
      </c>
      <c r="E2712">
        <v>0</v>
      </c>
      <c r="F2712">
        <v>6108</v>
      </c>
      <c r="G2712">
        <v>95</v>
      </c>
      <c r="H2712">
        <v>7</v>
      </c>
      <c r="I2712">
        <v>10</v>
      </c>
      <c r="J2712">
        <v>2</v>
      </c>
      <c r="K2712">
        <v>1</v>
      </c>
      <c r="L2712">
        <v>1</v>
      </c>
      <c r="M2712">
        <v>25</v>
      </c>
      <c r="N2712">
        <v>310.63499999999999</v>
      </c>
      <c r="O2712">
        <v>0</v>
      </c>
      <c r="P27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12" t="str">
        <f>IF(Table1[[#This Row],[Fraud_Score]]&gt;=6, "High Risk",IF(Table1[[#This Row],[Fraud_Score]]&gt;=3, "Medium Risk", "Low Risk"))</f>
        <v>Medium Risk</v>
      </c>
      <c r="R2712">
        <f>IF(Table1[[#This Row],[Seconds of Use]]=0,0,Table1[[#This Row],[Customer Value]]/Table1[[#This Row],[Seconds of Use]]*100)</f>
        <v>5.0857072691552059</v>
      </c>
    </row>
    <row r="2713" spans="1:18" x14ac:dyDescent="0.35">
      <c r="A2713" s="3" t="s">
        <v>2734</v>
      </c>
      <c r="B2713">
        <v>14</v>
      </c>
      <c r="C2713">
        <v>1</v>
      </c>
      <c r="D2713">
        <v>39</v>
      </c>
      <c r="E2713">
        <v>0</v>
      </c>
      <c r="F2713">
        <v>2428</v>
      </c>
      <c r="G2713">
        <v>54</v>
      </c>
      <c r="H2713">
        <v>7</v>
      </c>
      <c r="I2713">
        <v>15</v>
      </c>
      <c r="J2713">
        <v>3</v>
      </c>
      <c r="K2713">
        <v>1</v>
      </c>
      <c r="L2713">
        <v>2</v>
      </c>
      <c r="M2713">
        <v>30</v>
      </c>
      <c r="N2713">
        <v>127.28</v>
      </c>
      <c r="O2713">
        <v>0</v>
      </c>
      <c r="P27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13" t="str">
        <f>IF(Table1[[#This Row],[Fraud_Score]]&gt;=6, "High Risk",IF(Table1[[#This Row],[Fraud_Score]]&gt;=3, "Medium Risk", "Low Risk"))</f>
        <v>Medium Risk</v>
      </c>
      <c r="R2713">
        <f>IF(Table1[[#This Row],[Seconds of Use]]=0,0,Table1[[#This Row],[Customer Value]]/Table1[[#This Row],[Seconds of Use]]*100)</f>
        <v>5.2421746293245466</v>
      </c>
    </row>
    <row r="2714" spans="1:18" x14ac:dyDescent="0.35">
      <c r="A2714" s="3" t="s">
        <v>2735</v>
      </c>
      <c r="B2714">
        <v>30</v>
      </c>
      <c r="C2714">
        <v>0</v>
      </c>
      <c r="D2714">
        <v>39</v>
      </c>
      <c r="E2714">
        <v>3</v>
      </c>
      <c r="F2714">
        <v>15330</v>
      </c>
      <c r="G2714">
        <v>225</v>
      </c>
      <c r="H2714">
        <v>29</v>
      </c>
      <c r="I2714">
        <v>30</v>
      </c>
      <c r="J2714">
        <v>3</v>
      </c>
      <c r="K2714">
        <v>1</v>
      </c>
      <c r="L2714">
        <v>1</v>
      </c>
      <c r="M2714">
        <v>30</v>
      </c>
      <c r="N2714">
        <v>738.2</v>
      </c>
      <c r="O2714">
        <v>0</v>
      </c>
      <c r="P27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714" t="str">
        <f>IF(Table1[[#This Row],[Fraud_Score]]&gt;=6, "High Risk",IF(Table1[[#This Row],[Fraud_Score]]&gt;=3, "Medium Risk", "Low Risk"))</f>
        <v>Medium Risk</v>
      </c>
      <c r="R2714">
        <f>IF(Table1[[#This Row],[Seconds of Use]]=0,0,Table1[[#This Row],[Customer Value]]/Table1[[#This Row],[Seconds of Use]]*100)</f>
        <v>4.815394651011089</v>
      </c>
    </row>
    <row r="2715" spans="1:18" x14ac:dyDescent="0.35">
      <c r="A2715" s="3" t="s">
        <v>2736</v>
      </c>
      <c r="B2715">
        <v>9</v>
      </c>
      <c r="C2715">
        <v>0</v>
      </c>
      <c r="D2715">
        <v>39</v>
      </c>
      <c r="E2715">
        <v>1</v>
      </c>
      <c r="F2715">
        <v>3285</v>
      </c>
      <c r="G2715">
        <v>27</v>
      </c>
      <c r="H2715">
        <v>458</v>
      </c>
      <c r="I2715">
        <v>6</v>
      </c>
      <c r="J2715">
        <v>3</v>
      </c>
      <c r="K2715">
        <v>1</v>
      </c>
      <c r="L2715">
        <v>1</v>
      </c>
      <c r="M2715">
        <v>30</v>
      </c>
      <c r="N2715">
        <v>1964.48</v>
      </c>
      <c r="O2715">
        <v>0</v>
      </c>
      <c r="P27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15" t="str">
        <f>IF(Table1[[#This Row],[Fraud_Score]]&gt;=6, "High Risk",IF(Table1[[#This Row],[Fraud_Score]]&gt;=3, "Medium Risk", "Low Risk"))</f>
        <v>Low Risk</v>
      </c>
      <c r="R2715">
        <f>IF(Table1[[#This Row],[Seconds of Use]]=0,0,Table1[[#This Row],[Customer Value]]/Table1[[#This Row],[Seconds of Use]]*100)</f>
        <v>59.801522070015224</v>
      </c>
    </row>
    <row r="2716" spans="1:18" x14ac:dyDescent="0.35">
      <c r="A2716" s="3" t="s">
        <v>2737</v>
      </c>
      <c r="B2716">
        <v>14</v>
      </c>
      <c r="C2716">
        <v>0</v>
      </c>
      <c r="D2716">
        <v>38</v>
      </c>
      <c r="E2716">
        <v>0</v>
      </c>
      <c r="F2716">
        <v>15675</v>
      </c>
      <c r="G2716">
        <v>182</v>
      </c>
      <c r="H2716">
        <v>125</v>
      </c>
      <c r="I2716">
        <v>28</v>
      </c>
      <c r="J2716">
        <v>2</v>
      </c>
      <c r="K2716">
        <v>1</v>
      </c>
      <c r="L2716">
        <v>1</v>
      </c>
      <c r="M2716">
        <v>25</v>
      </c>
      <c r="N2716">
        <v>1276.0650000000001</v>
      </c>
      <c r="O2716">
        <v>0</v>
      </c>
      <c r="P27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16" t="str">
        <f>IF(Table1[[#This Row],[Fraud_Score]]&gt;=6, "High Risk",IF(Table1[[#This Row],[Fraud_Score]]&gt;=3, "Medium Risk", "Low Risk"))</f>
        <v>Medium Risk</v>
      </c>
      <c r="R2716">
        <f>IF(Table1[[#This Row],[Seconds of Use]]=0,0,Table1[[#This Row],[Customer Value]]/Table1[[#This Row],[Seconds of Use]]*100)</f>
        <v>8.1407655502392338</v>
      </c>
    </row>
    <row r="2717" spans="1:18" x14ac:dyDescent="0.35">
      <c r="A2717" s="3" t="s">
        <v>2738</v>
      </c>
      <c r="B2717">
        <v>8</v>
      </c>
      <c r="C2717">
        <v>0</v>
      </c>
      <c r="D2717">
        <v>38</v>
      </c>
      <c r="E2717">
        <v>1</v>
      </c>
      <c r="F2717">
        <v>6690</v>
      </c>
      <c r="G2717">
        <v>86</v>
      </c>
      <c r="H2717">
        <v>161</v>
      </c>
      <c r="I2717">
        <v>24</v>
      </c>
      <c r="J2717">
        <v>3</v>
      </c>
      <c r="K2717">
        <v>1</v>
      </c>
      <c r="L2717">
        <v>1</v>
      </c>
      <c r="M2717">
        <v>30</v>
      </c>
      <c r="N2717">
        <v>915.04</v>
      </c>
      <c r="O2717">
        <v>0</v>
      </c>
      <c r="P27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17" t="str">
        <f>IF(Table1[[#This Row],[Fraud_Score]]&gt;=6, "High Risk",IF(Table1[[#This Row],[Fraud_Score]]&gt;=3, "Medium Risk", "Low Risk"))</f>
        <v>Low Risk</v>
      </c>
      <c r="R2717">
        <f>IF(Table1[[#This Row],[Seconds of Use]]=0,0,Table1[[#This Row],[Customer Value]]/Table1[[#This Row],[Seconds of Use]]*100)</f>
        <v>13.677727952167412</v>
      </c>
    </row>
    <row r="2718" spans="1:18" x14ac:dyDescent="0.35">
      <c r="A2718" s="3" t="s">
        <v>2739</v>
      </c>
      <c r="B2718">
        <v>5</v>
      </c>
      <c r="C2718">
        <v>0</v>
      </c>
      <c r="D2718">
        <v>38</v>
      </c>
      <c r="E2718">
        <v>0</v>
      </c>
      <c r="F2718">
        <v>1065</v>
      </c>
      <c r="G2718">
        <v>14</v>
      </c>
      <c r="H2718">
        <v>7</v>
      </c>
      <c r="I2718">
        <v>9</v>
      </c>
      <c r="J2718">
        <v>2</v>
      </c>
      <c r="K2718">
        <v>1</v>
      </c>
      <c r="L2718">
        <v>2</v>
      </c>
      <c r="M2718">
        <v>25</v>
      </c>
      <c r="N2718">
        <v>80.055000000000007</v>
      </c>
      <c r="O2718">
        <v>0</v>
      </c>
      <c r="P27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18" t="str">
        <f>IF(Table1[[#This Row],[Fraud_Score]]&gt;=6, "High Risk",IF(Table1[[#This Row],[Fraud_Score]]&gt;=3, "Medium Risk", "Low Risk"))</f>
        <v>Low Risk</v>
      </c>
      <c r="R2718">
        <f>IF(Table1[[#This Row],[Seconds of Use]]=0,0,Table1[[#This Row],[Customer Value]]/Table1[[#This Row],[Seconds of Use]]*100)</f>
        <v>7.5169014084507051</v>
      </c>
    </row>
    <row r="2719" spans="1:18" x14ac:dyDescent="0.35">
      <c r="A2719" s="3" t="s">
        <v>2740</v>
      </c>
      <c r="B2719">
        <v>7</v>
      </c>
      <c r="C2719">
        <v>0</v>
      </c>
      <c r="D2719">
        <v>39</v>
      </c>
      <c r="E2719">
        <v>0</v>
      </c>
      <c r="F2719">
        <v>900</v>
      </c>
      <c r="G2719">
        <v>14</v>
      </c>
      <c r="H2719">
        <v>7</v>
      </c>
      <c r="I2719">
        <v>6</v>
      </c>
      <c r="J2719">
        <v>2</v>
      </c>
      <c r="K2719">
        <v>1</v>
      </c>
      <c r="L2719">
        <v>2</v>
      </c>
      <c r="M2719">
        <v>25</v>
      </c>
      <c r="N2719">
        <v>72.63</v>
      </c>
      <c r="O2719">
        <v>0</v>
      </c>
      <c r="P27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19" t="str">
        <f>IF(Table1[[#This Row],[Fraud_Score]]&gt;=6, "High Risk",IF(Table1[[#This Row],[Fraud_Score]]&gt;=3, "Medium Risk", "Low Risk"))</f>
        <v>Low Risk</v>
      </c>
      <c r="R2719">
        <f>IF(Table1[[#This Row],[Seconds of Use]]=0,0,Table1[[#This Row],[Customer Value]]/Table1[[#This Row],[Seconds of Use]]*100)</f>
        <v>8.07</v>
      </c>
    </row>
    <row r="2720" spans="1:18" x14ac:dyDescent="0.35">
      <c r="A2720" s="3" t="s">
        <v>2741</v>
      </c>
      <c r="B2720">
        <v>5</v>
      </c>
      <c r="C2720">
        <v>0</v>
      </c>
      <c r="D2720">
        <v>38</v>
      </c>
      <c r="E2720">
        <v>0</v>
      </c>
      <c r="F2720">
        <v>305</v>
      </c>
      <c r="G2720">
        <v>6</v>
      </c>
      <c r="H2720">
        <v>7</v>
      </c>
      <c r="I2720">
        <v>2</v>
      </c>
      <c r="J2720">
        <v>2</v>
      </c>
      <c r="K2720">
        <v>1</v>
      </c>
      <c r="L2720">
        <v>2</v>
      </c>
      <c r="M2720">
        <v>25</v>
      </c>
      <c r="N2720">
        <v>45.494999999999997</v>
      </c>
      <c r="O2720">
        <v>1</v>
      </c>
      <c r="P27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20" t="str">
        <f>IF(Table1[[#This Row],[Fraud_Score]]&gt;=6, "High Risk",IF(Table1[[#This Row],[Fraud_Score]]&gt;=3, "Medium Risk", "Low Risk"))</f>
        <v>Low Risk</v>
      </c>
      <c r="R2720">
        <f>IF(Table1[[#This Row],[Seconds of Use]]=0,0,Table1[[#This Row],[Customer Value]]/Table1[[#This Row],[Seconds of Use]]*100)</f>
        <v>14.916393442622949</v>
      </c>
    </row>
    <row r="2721" spans="1:18" x14ac:dyDescent="0.35">
      <c r="A2721" s="3" t="s">
        <v>2742</v>
      </c>
      <c r="B2721">
        <v>8</v>
      </c>
      <c r="C2721">
        <v>0</v>
      </c>
      <c r="D2721">
        <v>38</v>
      </c>
      <c r="E2721">
        <v>0</v>
      </c>
      <c r="F2721">
        <v>7698</v>
      </c>
      <c r="G2721">
        <v>127</v>
      </c>
      <c r="H2721">
        <v>359</v>
      </c>
      <c r="I2721">
        <v>41</v>
      </c>
      <c r="J2721">
        <v>2</v>
      </c>
      <c r="K2721">
        <v>1</v>
      </c>
      <c r="L2721">
        <v>1</v>
      </c>
      <c r="M2721">
        <v>25</v>
      </c>
      <c r="N2721">
        <v>1967.625</v>
      </c>
      <c r="O2721">
        <v>0</v>
      </c>
      <c r="P27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21" t="str">
        <f>IF(Table1[[#This Row],[Fraud_Score]]&gt;=6, "High Risk",IF(Table1[[#This Row],[Fraud_Score]]&gt;=3, "Medium Risk", "Low Risk"))</f>
        <v>Low Risk</v>
      </c>
      <c r="R2721">
        <f>IF(Table1[[#This Row],[Seconds of Use]]=0,0,Table1[[#This Row],[Customer Value]]/Table1[[#This Row],[Seconds of Use]]*100)</f>
        <v>25.560210444271242</v>
      </c>
    </row>
    <row r="2722" spans="1:18" x14ac:dyDescent="0.35">
      <c r="A2722" s="3" t="s">
        <v>2743</v>
      </c>
      <c r="B2722">
        <v>12</v>
      </c>
      <c r="C2722">
        <v>0</v>
      </c>
      <c r="D2722">
        <v>38</v>
      </c>
      <c r="E2722">
        <v>1</v>
      </c>
      <c r="F2722">
        <v>11655</v>
      </c>
      <c r="G2722">
        <v>154</v>
      </c>
      <c r="H2722">
        <v>7</v>
      </c>
      <c r="I2722">
        <v>45</v>
      </c>
      <c r="J2722">
        <v>3</v>
      </c>
      <c r="K2722">
        <v>1</v>
      </c>
      <c r="L2722">
        <v>1</v>
      </c>
      <c r="M2722">
        <v>30</v>
      </c>
      <c r="N2722">
        <v>500.36</v>
      </c>
      <c r="O2722">
        <v>0</v>
      </c>
      <c r="P27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722" t="str">
        <f>IF(Table1[[#This Row],[Fraud_Score]]&gt;=6, "High Risk",IF(Table1[[#This Row],[Fraud_Score]]&gt;=3, "Medium Risk", "Low Risk"))</f>
        <v>Medium Risk</v>
      </c>
      <c r="R2722">
        <f>IF(Table1[[#This Row],[Seconds of Use]]=0,0,Table1[[#This Row],[Customer Value]]/Table1[[#This Row],[Seconds of Use]]*100)</f>
        <v>4.2930930930930931</v>
      </c>
    </row>
    <row r="2723" spans="1:18" x14ac:dyDescent="0.35">
      <c r="A2723" s="3" t="s">
        <v>2744</v>
      </c>
      <c r="B2723">
        <v>13</v>
      </c>
      <c r="C2723">
        <v>0</v>
      </c>
      <c r="D2723">
        <v>38</v>
      </c>
      <c r="E2723">
        <v>1</v>
      </c>
      <c r="F2723">
        <v>6908</v>
      </c>
      <c r="G2723">
        <v>75</v>
      </c>
      <c r="H2723">
        <v>83</v>
      </c>
      <c r="I2723">
        <v>35</v>
      </c>
      <c r="J2723">
        <v>2</v>
      </c>
      <c r="K2723">
        <v>1</v>
      </c>
      <c r="L2723">
        <v>1</v>
      </c>
      <c r="M2723">
        <v>25</v>
      </c>
      <c r="N2723">
        <v>687.73500000000001</v>
      </c>
      <c r="O2723">
        <v>0</v>
      </c>
      <c r="P27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23" t="str">
        <f>IF(Table1[[#This Row],[Fraud_Score]]&gt;=6, "High Risk",IF(Table1[[#This Row],[Fraud_Score]]&gt;=3, "Medium Risk", "Low Risk"))</f>
        <v>Low Risk</v>
      </c>
      <c r="R2723">
        <f>IF(Table1[[#This Row],[Seconds of Use]]=0,0,Table1[[#This Row],[Customer Value]]/Table1[[#This Row],[Seconds of Use]]*100)</f>
        <v>9.9556311522872036</v>
      </c>
    </row>
    <row r="2724" spans="1:18" x14ac:dyDescent="0.35">
      <c r="A2724" s="3" t="s">
        <v>2745</v>
      </c>
      <c r="B2724">
        <v>28</v>
      </c>
      <c r="C2724">
        <v>1</v>
      </c>
      <c r="D2724">
        <v>34</v>
      </c>
      <c r="E2724">
        <v>0</v>
      </c>
      <c r="F2724">
        <v>1145</v>
      </c>
      <c r="G2724">
        <v>47</v>
      </c>
      <c r="H2724">
        <v>7</v>
      </c>
      <c r="I2724">
        <v>15</v>
      </c>
      <c r="J2724">
        <v>2</v>
      </c>
      <c r="K2724">
        <v>1</v>
      </c>
      <c r="L2724">
        <v>2</v>
      </c>
      <c r="M2724">
        <v>25</v>
      </c>
      <c r="N2724">
        <v>85.14</v>
      </c>
      <c r="O2724">
        <v>1</v>
      </c>
      <c r="P27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24" t="str">
        <f>IF(Table1[[#This Row],[Fraud_Score]]&gt;=6, "High Risk",IF(Table1[[#This Row],[Fraud_Score]]&gt;=3, "Medium Risk", "Low Risk"))</f>
        <v>Medium Risk</v>
      </c>
      <c r="R2724">
        <f>IF(Table1[[#This Row],[Seconds of Use]]=0,0,Table1[[#This Row],[Customer Value]]/Table1[[#This Row],[Seconds of Use]]*100)</f>
        <v>7.4358078602620088</v>
      </c>
    </row>
    <row r="2725" spans="1:18" x14ac:dyDescent="0.35">
      <c r="A2725" s="3" t="s">
        <v>2746</v>
      </c>
      <c r="B2725">
        <v>26</v>
      </c>
      <c r="C2725">
        <v>0</v>
      </c>
      <c r="D2725">
        <v>37</v>
      </c>
      <c r="E2725">
        <v>8</v>
      </c>
      <c r="F2725">
        <v>10625</v>
      </c>
      <c r="G2725">
        <v>93</v>
      </c>
      <c r="H2725">
        <v>7</v>
      </c>
      <c r="I2725">
        <v>40</v>
      </c>
      <c r="J2725">
        <v>4</v>
      </c>
      <c r="K2725">
        <v>1</v>
      </c>
      <c r="L2725">
        <v>1</v>
      </c>
      <c r="M2725">
        <v>45</v>
      </c>
      <c r="N2725">
        <v>285.45</v>
      </c>
      <c r="O2725">
        <v>0</v>
      </c>
      <c r="P27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25" t="str">
        <f>IF(Table1[[#This Row],[Fraud_Score]]&gt;=6, "High Risk",IF(Table1[[#This Row],[Fraud_Score]]&gt;=3, "Medium Risk", "Low Risk"))</f>
        <v>Low Risk</v>
      </c>
      <c r="R2725">
        <f>IF(Table1[[#This Row],[Seconds of Use]]=0,0,Table1[[#This Row],[Customer Value]]/Table1[[#This Row],[Seconds of Use]]*100)</f>
        <v>2.6865882352941175</v>
      </c>
    </row>
    <row r="2726" spans="1:18" x14ac:dyDescent="0.35">
      <c r="A2726" s="3" t="s">
        <v>2747</v>
      </c>
      <c r="B2726">
        <v>18</v>
      </c>
      <c r="C2726">
        <v>0</v>
      </c>
      <c r="D2726">
        <v>37</v>
      </c>
      <c r="E2726">
        <v>1</v>
      </c>
      <c r="F2726">
        <v>6008</v>
      </c>
      <c r="G2726">
        <v>98</v>
      </c>
      <c r="H2726">
        <v>7</v>
      </c>
      <c r="I2726">
        <v>22</v>
      </c>
      <c r="J2726">
        <v>2</v>
      </c>
      <c r="K2726">
        <v>1</v>
      </c>
      <c r="L2726">
        <v>1</v>
      </c>
      <c r="M2726">
        <v>25</v>
      </c>
      <c r="N2726">
        <v>306.27</v>
      </c>
      <c r="O2726">
        <v>1</v>
      </c>
      <c r="P27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26" t="str">
        <f>IF(Table1[[#This Row],[Fraud_Score]]&gt;=6, "High Risk",IF(Table1[[#This Row],[Fraud_Score]]&gt;=3, "Medium Risk", "Low Risk"))</f>
        <v>Low Risk</v>
      </c>
      <c r="R2726">
        <f>IF(Table1[[#This Row],[Seconds of Use]]=0,0,Table1[[#This Row],[Customer Value]]/Table1[[#This Row],[Seconds of Use]]*100)</f>
        <v>5.0977030625832223</v>
      </c>
    </row>
    <row r="2727" spans="1:18" x14ac:dyDescent="0.35">
      <c r="A2727" s="3" t="s">
        <v>2748</v>
      </c>
      <c r="B2727">
        <v>6</v>
      </c>
      <c r="C2727">
        <v>0</v>
      </c>
      <c r="D2727">
        <v>35</v>
      </c>
      <c r="E2727">
        <v>0</v>
      </c>
      <c r="F2727">
        <v>3030</v>
      </c>
      <c r="G2727">
        <v>22</v>
      </c>
      <c r="H2727">
        <v>7</v>
      </c>
      <c r="I2727">
        <v>12</v>
      </c>
      <c r="J2727">
        <v>3</v>
      </c>
      <c r="K2727">
        <v>1</v>
      </c>
      <c r="L2727">
        <v>1</v>
      </c>
      <c r="M2727">
        <v>30</v>
      </c>
      <c r="N2727">
        <v>150.08000000000001</v>
      </c>
      <c r="O2727">
        <v>0</v>
      </c>
      <c r="P27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27" t="str">
        <f>IF(Table1[[#This Row],[Fraud_Score]]&gt;=6, "High Risk",IF(Table1[[#This Row],[Fraud_Score]]&gt;=3, "Medium Risk", "Low Risk"))</f>
        <v>Low Risk</v>
      </c>
      <c r="R2727">
        <f>IF(Table1[[#This Row],[Seconds of Use]]=0,0,Table1[[#This Row],[Customer Value]]/Table1[[#This Row],[Seconds of Use]]*100)</f>
        <v>4.9531353135313534</v>
      </c>
    </row>
    <row r="2728" spans="1:18" x14ac:dyDescent="0.35">
      <c r="A2728" s="3" t="s">
        <v>2749</v>
      </c>
      <c r="B2728">
        <v>14</v>
      </c>
      <c r="C2728">
        <v>0</v>
      </c>
      <c r="D2728">
        <v>36</v>
      </c>
      <c r="E2728">
        <v>0</v>
      </c>
      <c r="F2728">
        <v>3180</v>
      </c>
      <c r="G2728">
        <v>41</v>
      </c>
      <c r="H2728">
        <v>7</v>
      </c>
      <c r="I2728">
        <v>14</v>
      </c>
      <c r="J2728">
        <v>3</v>
      </c>
      <c r="K2728">
        <v>1</v>
      </c>
      <c r="L2728">
        <v>2</v>
      </c>
      <c r="M2728">
        <v>30</v>
      </c>
      <c r="N2728">
        <v>156.84</v>
      </c>
      <c r="O2728">
        <v>1</v>
      </c>
      <c r="P27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28" t="str">
        <f>IF(Table1[[#This Row],[Fraud_Score]]&gt;=6, "High Risk",IF(Table1[[#This Row],[Fraud_Score]]&gt;=3, "Medium Risk", "Low Risk"))</f>
        <v>Medium Risk</v>
      </c>
      <c r="R2728">
        <f>IF(Table1[[#This Row],[Seconds of Use]]=0,0,Table1[[#This Row],[Customer Value]]/Table1[[#This Row],[Seconds of Use]]*100)</f>
        <v>4.9320754716981137</v>
      </c>
    </row>
    <row r="2729" spans="1:18" x14ac:dyDescent="0.35">
      <c r="A2729" s="3" t="s">
        <v>2750</v>
      </c>
      <c r="B2729">
        <v>14</v>
      </c>
      <c r="C2729">
        <v>0</v>
      </c>
      <c r="D2729">
        <v>37</v>
      </c>
      <c r="E2729">
        <v>0</v>
      </c>
      <c r="F2729">
        <v>2458</v>
      </c>
      <c r="G2729">
        <v>44</v>
      </c>
      <c r="H2729">
        <v>9</v>
      </c>
      <c r="I2729">
        <v>29</v>
      </c>
      <c r="J2729">
        <v>3</v>
      </c>
      <c r="K2729">
        <v>1</v>
      </c>
      <c r="L2729">
        <v>2</v>
      </c>
      <c r="M2729">
        <v>30</v>
      </c>
      <c r="N2729">
        <v>136.08000000000001</v>
      </c>
      <c r="O2729">
        <v>1</v>
      </c>
      <c r="P27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29" t="str">
        <f>IF(Table1[[#This Row],[Fraud_Score]]&gt;=6, "High Risk",IF(Table1[[#This Row],[Fraud_Score]]&gt;=3, "Medium Risk", "Low Risk"))</f>
        <v>Medium Risk</v>
      </c>
      <c r="R2729">
        <f>IF(Table1[[#This Row],[Seconds of Use]]=0,0,Table1[[#This Row],[Customer Value]]/Table1[[#This Row],[Seconds of Use]]*100)</f>
        <v>5.5362082994304318</v>
      </c>
    </row>
    <row r="2730" spans="1:18" x14ac:dyDescent="0.35">
      <c r="A2730" s="3" t="s">
        <v>2751</v>
      </c>
      <c r="B2730">
        <v>5</v>
      </c>
      <c r="C2730">
        <v>1</v>
      </c>
      <c r="D2730">
        <v>37</v>
      </c>
      <c r="E2730">
        <v>0</v>
      </c>
      <c r="F2730">
        <v>305</v>
      </c>
      <c r="G2730">
        <v>6</v>
      </c>
      <c r="H2730">
        <v>7</v>
      </c>
      <c r="I2730">
        <v>2</v>
      </c>
      <c r="J2730">
        <v>3</v>
      </c>
      <c r="K2730">
        <v>1</v>
      </c>
      <c r="L2730">
        <v>2</v>
      </c>
      <c r="M2730">
        <v>30</v>
      </c>
      <c r="N2730">
        <v>40.44</v>
      </c>
      <c r="O2730">
        <v>1</v>
      </c>
      <c r="P27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30" t="str">
        <f>IF(Table1[[#This Row],[Fraud_Score]]&gt;=6, "High Risk",IF(Table1[[#This Row],[Fraud_Score]]&gt;=3, "Medium Risk", "Low Risk"))</f>
        <v>Medium Risk</v>
      </c>
      <c r="R2730">
        <f>IF(Table1[[#This Row],[Seconds of Use]]=0,0,Table1[[#This Row],[Customer Value]]/Table1[[#This Row],[Seconds of Use]]*100)</f>
        <v>13.259016393442622</v>
      </c>
    </row>
    <row r="2731" spans="1:18" x14ac:dyDescent="0.35">
      <c r="A2731" s="3" t="s">
        <v>2752</v>
      </c>
      <c r="B2731">
        <v>6</v>
      </c>
      <c r="C2731">
        <v>0</v>
      </c>
      <c r="D2731">
        <v>37</v>
      </c>
      <c r="E2731">
        <v>0</v>
      </c>
      <c r="F2731">
        <v>1858</v>
      </c>
      <c r="G2731">
        <v>25</v>
      </c>
      <c r="H2731">
        <v>7</v>
      </c>
      <c r="I2731">
        <v>4</v>
      </c>
      <c r="J2731">
        <v>3</v>
      </c>
      <c r="K2731">
        <v>1</v>
      </c>
      <c r="L2731">
        <v>1</v>
      </c>
      <c r="M2731">
        <v>30</v>
      </c>
      <c r="N2731">
        <v>103.32</v>
      </c>
      <c r="O2731">
        <v>0</v>
      </c>
      <c r="P27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31" t="str">
        <f>IF(Table1[[#This Row],[Fraud_Score]]&gt;=6, "High Risk",IF(Table1[[#This Row],[Fraud_Score]]&gt;=3, "Medium Risk", "Low Risk"))</f>
        <v>Low Risk</v>
      </c>
      <c r="R2731">
        <f>IF(Table1[[#This Row],[Seconds of Use]]=0,0,Table1[[#This Row],[Customer Value]]/Table1[[#This Row],[Seconds of Use]]*100)</f>
        <v>5.560818083961248</v>
      </c>
    </row>
    <row r="2732" spans="1:18" x14ac:dyDescent="0.35">
      <c r="A2732" s="3" t="s">
        <v>2753</v>
      </c>
      <c r="B2732">
        <v>8</v>
      </c>
      <c r="C2732">
        <v>0</v>
      </c>
      <c r="D2732">
        <v>34</v>
      </c>
      <c r="E2732">
        <v>1</v>
      </c>
      <c r="F2732">
        <v>6975</v>
      </c>
      <c r="G2732">
        <v>97</v>
      </c>
      <c r="H2732">
        <v>7</v>
      </c>
      <c r="I2732">
        <v>20</v>
      </c>
      <c r="J2732">
        <v>4</v>
      </c>
      <c r="K2732">
        <v>1</v>
      </c>
      <c r="L2732">
        <v>1</v>
      </c>
      <c r="M2732">
        <v>45</v>
      </c>
      <c r="N2732">
        <v>194.3</v>
      </c>
      <c r="O2732">
        <v>0</v>
      </c>
      <c r="P27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32" t="str">
        <f>IF(Table1[[#This Row],[Fraud_Score]]&gt;=6, "High Risk",IF(Table1[[#This Row],[Fraud_Score]]&gt;=3, "Medium Risk", "Low Risk"))</f>
        <v>Low Risk</v>
      </c>
      <c r="R2732">
        <f>IF(Table1[[#This Row],[Seconds of Use]]=0,0,Table1[[#This Row],[Customer Value]]/Table1[[#This Row],[Seconds of Use]]*100)</f>
        <v>2.7856630824372761</v>
      </c>
    </row>
    <row r="2733" spans="1:18" x14ac:dyDescent="0.35">
      <c r="A2733" s="3" t="s">
        <v>2754</v>
      </c>
      <c r="B2733">
        <v>5</v>
      </c>
      <c r="C2733">
        <v>0</v>
      </c>
      <c r="D2733">
        <v>37</v>
      </c>
      <c r="E2733">
        <v>0</v>
      </c>
      <c r="F2733">
        <v>818</v>
      </c>
      <c r="G2733">
        <v>7</v>
      </c>
      <c r="H2733">
        <v>7</v>
      </c>
      <c r="I2733">
        <v>2</v>
      </c>
      <c r="J2733">
        <v>4</v>
      </c>
      <c r="K2733">
        <v>1</v>
      </c>
      <c r="L2733">
        <v>2</v>
      </c>
      <c r="M2733">
        <v>45</v>
      </c>
      <c r="N2733">
        <v>38.125</v>
      </c>
      <c r="O2733">
        <v>1</v>
      </c>
      <c r="P27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33" t="str">
        <f>IF(Table1[[#This Row],[Fraud_Score]]&gt;=6, "High Risk",IF(Table1[[#This Row],[Fraud_Score]]&gt;=3, "Medium Risk", "Low Risk"))</f>
        <v>Low Risk</v>
      </c>
      <c r="R2733">
        <f>IF(Table1[[#This Row],[Seconds of Use]]=0,0,Table1[[#This Row],[Customer Value]]/Table1[[#This Row],[Seconds of Use]]*100)</f>
        <v>4.6607579462102695</v>
      </c>
    </row>
    <row r="2734" spans="1:18" x14ac:dyDescent="0.35">
      <c r="A2734" s="3" t="s">
        <v>2755</v>
      </c>
      <c r="B2734">
        <v>5</v>
      </c>
      <c r="C2734">
        <v>0</v>
      </c>
      <c r="D2734">
        <v>37</v>
      </c>
      <c r="E2734">
        <v>1</v>
      </c>
      <c r="F2734">
        <v>305</v>
      </c>
      <c r="G2734">
        <v>6</v>
      </c>
      <c r="H2734">
        <v>7</v>
      </c>
      <c r="I2734">
        <v>2</v>
      </c>
      <c r="J2734">
        <v>5</v>
      </c>
      <c r="K2734">
        <v>1</v>
      </c>
      <c r="L2734">
        <v>1</v>
      </c>
      <c r="M2734">
        <v>55</v>
      </c>
      <c r="N2734">
        <v>15.164999999999999</v>
      </c>
      <c r="O2734">
        <v>0</v>
      </c>
      <c r="P27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34" t="str">
        <f>IF(Table1[[#This Row],[Fraud_Score]]&gt;=6, "High Risk",IF(Table1[[#This Row],[Fraud_Score]]&gt;=3, "Medium Risk", "Low Risk"))</f>
        <v>Low Risk</v>
      </c>
      <c r="R2734">
        <f>IF(Table1[[#This Row],[Seconds of Use]]=0,0,Table1[[#This Row],[Customer Value]]/Table1[[#This Row],[Seconds of Use]]*100)</f>
        <v>4.9721311475409831</v>
      </c>
    </row>
    <row r="2735" spans="1:18" x14ac:dyDescent="0.35">
      <c r="A2735" s="3" t="s">
        <v>2756</v>
      </c>
      <c r="B2735">
        <v>30</v>
      </c>
      <c r="C2735">
        <v>0</v>
      </c>
      <c r="D2735">
        <v>32</v>
      </c>
      <c r="E2735">
        <v>3</v>
      </c>
      <c r="F2735">
        <v>16265</v>
      </c>
      <c r="G2735">
        <v>238</v>
      </c>
      <c r="H2735">
        <v>7</v>
      </c>
      <c r="I2735">
        <v>78</v>
      </c>
      <c r="J2735">
        <v>2</v>
      </c>
      <c r="K2735">
        <v>1</v>
      </c>
      <c r="L2735">
        <v>1</v>
      </c>
      <c r="M2735">
        <v>25</v>
      </c>
      <c r="N2735">
        <v>774.13499999999999</v>
      </c>
      <c r="O2735">
        <v>0</v>
      </c>
      <c r="P27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35" t="str">
        <f>IF(Table1[[#This Row],[Fraud_Score]]&gt;=6, "High Risk",IF(Table1[[#This Row],[Fraud_Score]]&gt;=3, "Medium Risk", "Low Risk"))</f>
        <v>Medium Risk</v>
      </c>
      <c r="R2735">
        <f>IF(Table1[[#This Row],[Seconds of Use]]=0,0,Table1[[#This Row],[Customer Value]]/Table1[[#This Row],[Seconds of Use]]*100)</f>
        <v>4.7595142944973867</v>
      </c>
    </row>
    <row r="2736" spans="1:18" x14ac:dyDescent="0.35">
      <c r="A2736" s="3" t="s">
        <v>2757</v>
      </c>
      <c r="B2736">
        <v>11</v>
      </c>
      <c r="C2736">
        <v>0</v>
      </c>
      <c r="D2736">
        <v>35</v>
      </c>
      <c r="E2736">
        <v>3</v>
      </c>
      <c r="F2736">
        <v>7155</v>
      </c>
      <c r="G2736">
        <v>116</v>
      </c>
      <c r="H2736">
        <v>246</v>
      </c>
      <c r="I2736">
        <v>31</v>
      </c>
      <c r="J2736">
        <v>2</v>
      </c>
      <c r="K2736">
        <v>2</v>
      </c>
      <c r="L2736">
        <v>1</v>
      </c>
      <c r="M2736">
        <v>25</v>
      </c>
      <c r="N2736">
        <v>1434.1949999999999</v>
      </c>
      <c r="O2736">
        <v>0</v>
      </c>
      <c r="P27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36" t="str">
        <f>IF(Table1[[#This Row],[Fraud_Score]]&gt;=6, "High Risk",IF(Table1[[#This Row],[Fraud_Score]]&gt;=3, "Medium Risk", "Low Risk"))</f>
        <v>Low Risk</v>
      </c>
      <c r="R2736">
        <f>IF(Table1[[#This Row],[Seconds of Use]]=0,0,Table1[[#This Row],[Customer Value]]/Table1[[#This Row],[Seconds of Use]]*100)</f>
        <v>20.044654088050315</v>
      </c>
    </row>
    <row r="2737" spans="1:18" x14ac:dyDescent="0.35">
      <c r="A2737" s="3" t="s">
        <v>2758</v>
      </c>
      <c r="B2737">
        <v>7</v>
      </c>
      <c r="C2737">
        <v>0</v>
      </c>
      <c r="D2737">
        <v>37</v>
      </c>
      <c r="E2737">
        <v>0</v>
      </c>
      <c r="F2737">
        <v>3908</v>
      </c>
      <c r="G2737">
        <v>82</v>
      </c>
      <c r="H2737">
        <v>7</v>
      </c>
      <c r="I2737">
        <v>26</v>
      </c>
      <c r="J2737">
        <v>2</v>
      </c>
      <c r="K2737">
        <v>1</v>
      </c>
      <c r="L2737">
        <v>1</v>
      </c>
      <c r="M2737">
        <v>25</v>
      </c>
      <c r="N2737">
        <v>211.05</v>
      </c>
      <c r="O2737">
        <v>0</v>
      </c>
      <c r="P27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37" t="str">
        <f>IF(Table1[[#This Row],[Fraud_Score]]&gt;=6, "High Risk",IF(Table1[[#This Row],[Fraud_Score]]&gt;=3, "Medium Risk", "Low Risk"))</f>
        <v>Low Risk</v>
      </c>
      <c r="R2737">
        <f>IF(Table1[[#This Row],[Seconds of Use]]=0,0,Table1[[#This Row],[Customer Value]]/Table1[[#This Row],[Seconds of Use]]*100)</f>
        <v>5.4004605936540431</v>
      </c>
    </row>
    <row r="2738" spans="1:18" x14ac:dyDescent="0.35">
      <c r="A2738" s="3" t="s">
        <v>2759</v>
      </c>
      <c r="B2738">
        <v>8</v>
      </c>
      <c r="C2738">
        <v>0</v>
      </c>
      <c r="D2738">
        <v>36</v>
      </c>
      <c r="E2738">
        <v>0</v>
      </c>
      <c r="F2738">
        <v>1855</v>
      </c>
      <c r="G2738">
        <v>44</v>
      </c>
      <c r="H2738">
        <v>13</v>
      </c>
      <c r="I2738">
        <v>18</v>
      </c>
      <c r="J2738">
        <v>3</v>
      </c>
      <c r="K2738">
        <v>1</v>
      </c>
      <c r="L2738">
        <v>2</v>
      </c>
      <c r="M2738">
        <v>30</v>
      </c>
      <c r="N2738">
        <v>127.96</v>
      </c>
      <c r="O2738">
        <v>0</v>
      </c>
      <c r="P27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38" t="str">
        <f>IF(Table1[[#This Row],[Fraud_Score]]&gt;=6, "High Risk",IF(Table1[[#This Row],[Fraud_Score]]&gt;=3, "Medium Risk", "Low Risk"))</f>
        <v>Low Risk</v>
      </c>
      <c r="R2738">
        <f>IF(Table1[[#This Row],[Seconds of Use]]=0,0,Table1[[#This Row],[Customer Value]]/Table1[[#This Row],[Seconds of Use]]*100)</f>
        <v>6.8981132075471701</v>
      </c>
    </row>
    <row r="2739" spans="1:18" x14ac:dyDescent="0.35">
      <c r="A2739" s="3" t="s">
        <v>2760</v>
      </c>
      <c r="B2739">
        <v>11</v>
      </c>
      <c r="C2739">
        <v>0</v>
      </c>
      <c r="D2739">
        <v>37</v>
      </c>
      <c r="E2739">
        <v>0</v>
      </c>
      <c r="F2739">
        <v>2970</v>
      </c>
      <c r="G2739">
        <v>53</v>
      </c>
      <c r="H2739">
        <v>150</v>
      </c>
      <c r="I2739">
        <v>21</v>
      </c>
      <c r="J2739">
        <v>2</v>
      </c>
      <c r="K2739">
        <v>1</v>
      </c>
      <c r="L2739">
        <v>1</v>
      </c>
      <c r="M2739">
        <v>25</v>
      </c>
      <c r="N2739">
        <v>811.03499999999997</v>
      </c>
      <c r="O2739">
        <v>0</v>
      </c>
      <c r="P27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39" t="str">
        <f>IF(Table1[[#This Row],[Fraud_Score]]&gt;=6, "High Risk",IF(Table1[[#This Row],[Fraud_Score]]&gt;=3, "Medium Risk", "Low Risk"))</f>
        <v>Medium Risk</v>
      </c>
      <c r="R2739">
        <f>IF(Table1[[#This Row],[Seconds of Use]]=0,0,Table1[[#This Row],[Customer Value]]/Table1[[#This Row],[Seconds of Use]]*100)</f>
        <v>27.307575757575759</v>
      </c>
    </row>
    <row r="2740" spans="1:18" x14ac:dyDescent="0.35">
      <c r="A2740" s="3" t="s">
        <v>2761</v>
      </c>
      <c r="B2740">
        <v>9</v>
      </c>
      <c r="C2740">
        <v>0</v>
      </c>
      <c r="D2740">
        <v>28</v>
      </c>
      <c r="E2740">
        <v>1</v>
      </c>
      <c r="F2740">
        <v>1505</v>
      </c>
      <c r="G2740">
        <v>36</v>
      </c>
      <c r="H2740">
        <v>168</v>
      </c>
      <c r="I2740">
        <v>9</v>
      </c>
      <c r="J2740">
        <v>2</v>
      </c>
      <c r="K2740">
        <v>2</v>
      </c>
      <c r="L2740">
        <v>1</v>
      </c>
      <c r="M2740">
        <v>25</v>
      </c>
      <c r="N2740">
        <v>825.34500000000003</v>
      </c>
      <c r="O2740">
        <v>0</v>
      </c>
      <c r="P27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40" t="str">
        <f>IF(Table1[[#This Row],[Fraud_Score]]&gt;=6, "High Risk",IF(Table1[[#This Row],[Fraud_Score]]&gt;=3, "Medium Risk", "Low Risk"))</f>
        <v>Low Risk</v>
      </c>
      <c r="R2740">
        <f>IF(Table1[[#This Row],[Seconds of Use]]=0,0,Table1[[#This Row],[Customer Value]]/Table1[[#This Row],[Seconds of Use]]*100)</f>
        <v>54.840199335548178</v>
      </c>
    </row>
    <row r="2741" spans="1:18" x14ac:dyDescent="0.35">
      <c r="A2741" s="3" t="s">
        <v>2762</v>
      </c>
      <c r="B2741">
        <v>9</v>
      </c>
      <c r="C2741">
        <v>0</v>
      </c>
      <c r="D2741">
        <v>27</v>
      </c>
      <c r="E2741">
        <v>0</v>
      </c>
      <c r="F2741">
        <v>1758</v>
      </c>
      <c r="G2741">
        <v>39</v>
      </c>
      <c r="H2741">
        <v>7</v>
      </c>
      <c r="I2741">
        <v>66</v>
      </c>
      <c r="J2741">
        <v>4</v>
      </c>
      <c r="K2741">
        <v>1</v>
      </c>
      <c r="L2741">
        <v>1</v>
      </c>
      <c r="M2741">
        <v>45</v>
      </c>
      <c r="N2741">
        <v>62.424999999999997</v>
      </c>
      <c r="O2741">
        <v>0</v>
      </c>
      <c r="P27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41" t="str">
        <f>IF(Table1[[#This Row],[Fraud_Score]]&gt;=6, "High Risk",IF(Table1[[#This Row],[Fraud_Score]]&gt;=3, "Medium Risk", "Low Risk"))</f>
        <v>Low Risk</v>
      </c>
      <c r="R2741">
        <f>IF(Table1[[#This Row],[Seconds of Use]]=0,0,Table1[[#This Row],[Customer Value]]/Table1[[#This Row],[Seconds of Use]]*100)</f>
        <v>3.5509101251422073</v>
      </c>
    </row>
    <row r="2742" spans="1:18" x14ac:dyDescent="0.35">
      <c r="A2742" s="3" t="s">
        <v>2763</v>
      </c>
      <c r="B2742">
        <v>16</v>
      </c>
      <c r="C2742">
        <v>0</v>
      </c>
      <c r="D2742">
        <v>28</v>
      </c>
      <c r="E2742">
        <v>0</v>
      </c>
      <c r="F2742">
        <v>890</v>
      </c>
      <c r="G2742">
        <v>25</v>
      </c>
      <c r="H2742">
        <v>7</v>
      </c>
      <c r="I2742">
        <v>5</v>
      </c>
      <c r="J2742">
        <v>2</v>
      </c>
      <c r="K2742">
        <v>1</v>
      </c>
      <c r="L2742">
        <v>2</v>
      </c>
      <c r="M2742">
        <v>25</v>
      </c>
      <c r="N2742">
        <v>72.674999999999997</v>
      </c>
      <c r="O2742">
        <v>0</v>
      </c>
      <c r="P27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42" t="str">
        <f>IF(Table1[[#This Row],[Fraud_Score]]&gt;=6, "High Risk",IF(Table1[[#This Row],[Fraud_Score]]&gt;=3, "Medium Risk", "Low Risk"))</f>
        <v>Medium Risk</v>
      </c>
      <c r="R2742">
        <f>IF(Table1[[#This Row],[Seconds of Use]]=0,0,Table1[[#This Row],[Customer Value]]/Table1[[#This Row],[Seconds of Use]]*100)</f>
        <v>8.1657303370786511</v>
      </c>
    </row>
    <row r="2743" spans="1:18" x14ac:dyDescent="0.35">
      <c r="A2743" s="3" t="s">
        <v>2764</v>
      </c>
      <c r="B2743">
        <v>5</v>
      </c>
      <c r="C2743">
        <v>0</v>
      </c>
      <c r="D2743">
        <v>27</v>
      </c>
      <c r="E2743">
        <v>0</v>
      </c>
      <c r="F2743">
        <v>1015</v>
      </c>
      <c r="G2743">
        <v>10</v>
      </c>
      <c r="H2743">
        <v>7</v>
      </c>
      <c r="I2743">
        <v>2</v>
      </c>
      <c r="J2743">
        <v>4</v>
      </c>
      <c r="K2743">
        <v>1</v>
      </c>
      <c r="L2743">
        <v>2</v>
      </c>
      <c r="M2743">
        <v>45</v>
      </c>
      <c r="N2743">
        <v>43.125</v>
      </c>
      <c r="O2743">
        <v>0</v>
      </c>
      <c r="P27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43" t="str">
        <f>IF(Table1[[#This Row],[Fraud_Score]]&gt;=6, "High Risk",IF(Table1[[#This Row],[Fraud_Score]]&gt;=3, "Medium Risk", "Low Risk"))</f>
        <v>Low Risk</v>
      </c>
      <c r="R2743">
        <f>IF(Table1[[#This Row],[Seconds of Use]]=0,0,Table1[[#This Row],[Customer Value]]/Table1[[#This Row],[Seconds of Use]]*100)</f>
        <v>4.2487684729064039</v>
      </c>
    </row>
    <row r="2744" spans="1:18" x14ac:dyDescent="0.35">
      <c r="A2744" s="3" t="s">
        <v>2765</v>
      </c>
      <c r="B2744">
        <v>15</v>
      </c>
      <c r="C2744">
        <v>0</v>
      </c>
      <c r="D2744">
        <v>26</v>
      </c>
      <c r="E2744">
        <v>0</v>
      </c>
      <c r="F2744">
        <v>1415</v>
      </c>
      <c r="G2744">
        <v>32</v>
      </c>
      <c r="H2744">
        <v>7</v>
      </c>
      <c r="I2744">
        <v>11</v>
      </c>
      <c r="J2744">
        <v>2</v>
      </c>
      <c r="K2744">
        <v>1</v>
      </c>
      <c r="L2744">
        <v>1</v>
      </c>
      <c r="M2744">
        <v>25</v>
      </c>
      <c r="N2744">
        <v>96.614999999999995</v>
      </c>
      <c r="O2744">
        <v>0</v>
      </c>
      <c r="P27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44" t="str">
        <f>IF(Table1[[#This Row],[Fraud_Score]]&gt;=6, "High Risk",IF(Table1[[#This Row],[Fraud_Score]]&gt;=3, "Medium Risk", "Low Risk"))</f>
        <v>Medium Risk</v>
      </c>
      <c r="R2744">
        <f>IF(Table1[[#This Row],[Seconds of Use]]=0,0,Table1[[#This Row],[Customer Value]]/Table1[[#This Row],[Seconds of Use]]*100)</f>
        <v>6.8279151943462884</v>
      </c>
    </row>
    <row r="2745" spans="1:18" x14ac:dyDescent="0.35">
      <c r="A2745" s="3" t="s">
        <v>2766</v>
      </c>
      <c r="B2745">
        <v>7</v>
      </c>
      <c r="C2745">
        <v>0</v>
      </c>
      <c r="D2745">
        <v>26</v>
      </c>
      <c r="E2745">
        <v>0</v>
      </c>
      <c r="F2745">
        <v>3415</v>
      </c>
      <c r="G2745">
        <v>61</v>
      </c>
      <c r="H2745">
        <v>7</v>
      </c>
      <c r="I2745">
        <v>21</v>
      </c>
      <c r="J2745">
        <v>3</v>
      </c>
      <c r="K2745">
        <v>1</v>
      </c>
      <c r="L2745">
        <v>1</v>
      </c>
      <c r="M2745">
        <v>30</v>
      </c>
      <c r="N2745">
        <v>167.04</v>
      </c>
      <c r="O2745">
        <v>0</v>
      </c>
      <c r="P27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45" t="str">
        <f>IF(Table1[[#This Row],[Fraud_Score]]&gt;=6, "High Risk",IF(Table1[[#This Row],[Fraud_Score]]&gt;=3, "Medium Risk", "Low Risk"))</f>
        <v>Low Risk</v>
      </c>
      <c r="R2745">
        <f>IF(Table1[[#This Row],[Seconds of Use]]=0,0,Table1[[#This Row],[Customer Value]]/Table1[[#This Row],[Seconds of Use]]*100)</f>
        <v>4.8913616398243045</v>
      </c>
    </row>
    <row r="2746" spans="1:18" x14ac:dyDescent="0.35">
      <c r="A2746" s="3" t="s">
        <v>2767</v>
      </c>
      <c r="B2746">
        <v>7</v>
      </c>
      <c r="C2746">
        <v>0</v>
      </c>
      <c r="D2746">
        <v>19</v>
      </c>
      <c r="E2746">
        <v>0</v>
      </c>
      <c r="F2746">
        <v>1885</v>
      </c>
      <c r="G2746">
        <v>26</v>
      </c>
      <c r="H2746">
        <v>7</v>
      </c>
      <c r="I2746">
        <v>12</v>
      </c>
      <c r="J2746">
        <v>2</v>
      </c>
      <c r="K2746">
        <v>1</v>
      </c>
      <c r="L2746">
        <v>1</v>
      </c>
      <c r="M2746">
        <v>25</v>
      </c>
      <c r="N2746">
        <v>117.495</v>
      </c>
      <c r="O2746">
        <v>0</v>
      </c>
      <c r="P27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46" t="str">
        <f>IF(Table1[[#This Row],[Fraud_Score]]&gt;=6, "High Risk",IF(Table1[[#This Row],[Fraud_Score]]&gt;=3, "Medium Risk", "Low Risk"))</f>
        <v>Low Risk</v>
      </c>
      <c r="R2746">
        <f>IF(Table1[[#This Row],[Seconds of Use]]=0,0,Table1[[#This Row],[Customer Value]]/Table1[[#This Row],[Seconds of Use]]*100)</f>
        <v>6.2331564986737407</v>
      </c>
    </row>
    <row r="2747" spans="1:18" x14ac:dyDescent="0.35">
      <c r="A2747" s="3" t="s">
        <v>2768</v>
      </c>
      <c r="B2747">
        <v>21</v>
      </c>
      <c r="C2747">
        <v>0</v>
      </c>
      <c r="D2747">
        <v>18</v>
      </c>
      <c r="E2747">
        <v>1</v>
      </c>
      <c r="F2747">
        <v>6583</v>
      </c>
      <c r="G2747">
        <v>141</v>
      </c>
      <c r="H2747">
        <v>60</v>
      </c>
      <c r="I2747">
        <v>40</v>
      </c>
      <c r="J2747">
        <v>1</v>
      </c>
      <c r="K2747">
        <v>2</v>
      </c>
      <c r="L2747">
        <v>1</v>
      </c>
      <c r="M2747">
        <v>15</v>
      </c>
      <c r="N2747">
        <v>699.82</v>
      </c>
      <c r="O2747">
        <v>0</v>
      </c>
      <c r="P27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747" t="str">
        <f>IF(Table1[[#This Row],[Fraud_Score]]&gt;=6, "High Risk",IF(Table1[[#This Row],[Fraud_Score]]&gt;=3, "Medium Risk", "Low Risk"))</f>
        <v>Medium Risk</v>
      </c>
      <c r="R2747">
        <f>IF(Table1[[#This Row],[Seconds of Use]]=0,0,Table1[[#This Row],[Customer Value]]/Table1[[#This Row],[Seconds of Use]]*100)</f>
        <v>10.630715479264774</v>
      </c>
    </row>
    <row r="2748" spans="1:18" x14ac:dyDescent="0.35">
      <c r="A2748" s="3" t="s">
        <v>2769</v>
      </c>
      <c r="B2748">
        <v>17</v>
      </c>
      <c r="C2748">
        <v>0</v>
      </c>
      <c r="D2748">
        <v>16</v>
      </c>
      <c r="E2748">
        <v>0</v>
      </c>
      <c r="F2748">
        <v>9123</v>
      </c>
      <c r="G2748">
        <v>171</v>
      </c>
      <c r="H2748">
        <v>48</v>
      </c>
      <c r="I2748">
        <v>38</v>
      </c>
      <c r="J2748">
        <v>4</v>
      </c>
      <c r="K2748">
        <v>1</v>
      </c>
      <c r="L2748">
        <v>1</v>
      </c>
      <c r="M2748">
        <v>45</v>
      </c>
      <c r="N2748">
        <v>352.35</v>
      </c>
      <c r="O2748">
        <v>0</v>
      </c>
      <c r="P27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48" t="str">
        <f>IF(Table1[[#This Row],[Fraud_Score]]&gt;=6, "High Risk",IF(Table1[[#This Row],[Fraud_Score]]&gt;=3, "Medium Risk", "Low Risk"))</f>
        <v>Medium Risk</v>
      </c>
      <c r="R2748">
        <f>IF(Table1[[#This Row],[Seconds of Use]]=0,0,Table1[[#This Row],[Customer Value]]/Table1[[#This Row],[Seconds of Use]]*100)</f>
        <v>3.8622163761920425</v>
      </c>
    </row>
    <row r="2749" spans="1:18" x14ac:dyDescent="0.35">
      <c r="A2749" s="3" t="s">
        <v>2770</v>
      </c>
      <c r="B2749">
        <v>13</v>
      </c>
      <c r="C2749">
        <v>0</v>
      </c>
      <c r="D2749">
        <v>17</v>
      </c>
      <c r="E2749">
        <v>3</v>
      </c>
      <c r="F2749">
        <v>3043</v>
      </c>
      <c r="G2749">
        <v>45</v>
      </c>
      <c r="H2749">
        <v>7</v>
      </c>
      <c r="I2749">
        <v>17</v>
      </c>
      <c r="J2749">
        <v>3</v>
      </c>
      <c r="K2749">
        <v>1</v>
      </c>
      <c r="L2749">
        <v>1</v>
      </c>
      <c r="M2749">
        <v>30</v>
      </c>
      <c r="N2749">
        <v>151.52000000000001</v>
      </c>
      <c r="O2749">
        <v>0</v>
      </c>
      <c r="P27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49" t="str">
        <f>IF(Table1[[#This Row],[Fraud_Score]]&gt;=6, "High Risk",IF(Table1[[#This Row],[Fraud_Score]]&gt;=3, "Medium Risk", "Low Risk"))</f>
        <v>Low Risk</v>
      </c>
      <c r="R2749">
        <f>IF(Table1[[#This Row],[Seconds of Use]]=0,0,Table1[[#This Row],[Customer Value]]/Table1[[#This Row],[Seconds of Use]]*100)</f>
        <v>4.979296746631614</v>
      </c>
    </row>
    <row r="2750" spans="1:18" x14ac:dyDescent="0.35">
      <c r="A2750" s="3" t="s">
        <v>2771</v>
      </c>
      <c r="B2750">
        <v>7</v>
      </c>
      <c r="C2750">
        <v>0</v>
      </c>
      <c r="D2750">
        <v>10</v>
      </c>
      <c r="E2750">
        <v>1</v>
      </c>
      <c r="F2750">
        <v>4580</v>
      </c>
      <c r="G2750">
        <v>40</v>
      </c>
      <c r="H2750">
        <v>190</v>
      </c>
      <c r="I2750">
        <v>8</v>
      </c>
      <c r="J2750">
        <v>3</v>
      </c>
      <c r="K2750">
        <v>1</v>
      </c>
      <c r="L2750">
        <v>1</v>
      </c>
      <c r="M2750">
        <v>30</v>
      </c>
      <c r="N2750">
        <v>944.8</v>
      </c>
      <c r="O2750">
        <v>0</v>
      </c>
      <c r="P27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50" t="str">
        <f>IF(Table1[[#This Row],[Fraud_Score]]&gt;=6, "High Risk",IF(Table1[[#This Row],[Fraud_Score]]&gt;=3, "Medium Risk", "Low Risk"))</f>
        <v>Low Risk</v>
      </c>
      <c r="R2750">
        <f>IF(Table1[[#This Row],[Seconds of Use]]=0,0,Table1[[#This Row],[Customer Value]]/Table1[[#This Row],[Seconds of Use]]*100)</f>
        <v>20.628820960698686</v>
      </c>
    </row>
    <row r="2751" spans="1:18" x14ac:dyDescent="0.35">
      <c r="A2751" s="3" t="s">
        <v>2772</v>
      </c>
      <c r="B2751">
        <v>8</v>
      </c>
      <c r="C2751">
        <v>0</v>
      </c>
      <c r="D2751">
        <v>10</v>
      </c>
      <c r="E2751">
        <v>1</v>
      </c>
      <c r="F2751">
        <v>1678</v>
      </c>
      <c r="G2751">
        <v>19</v>
      </c>
      <c r="H2751">
        <v>7</v>
      </c>
      <c r="I2751">
        <v>5</v>
      </c>
      <c r="J2751">
        <v>3</v>
      </c>
      <c r="K2751">
        <v>1</v>
      </c>
      <c r="L2751">
        <v>1</v>
      </c>
      <c r="M2751">
        <v>30</v>
      </c>
      <c r="N2751">
        <v>95.88</v>
      </c>
      <c r="O2751">
        <v>1</v>
      </c>
      <c r="P27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51" t="str">
        <f>IF(Table1[[#This Row],[Fraud_Score]]&gt;=6, "High Risk",IF(Table1[[#This Row],[Fraud_Score]]&gt;=3, "Medium Risk", "Low Risk"))</f>
        <v>Low Risk</v>
      </c>
      <c r="R2751">
        <f>IF(Table1[[#This Row],[Seconds of Use]]=0,0,Table1[[#This Row],[Customer Value]]/Table1[[#This Row],[Seconds of Use]]*100)</f>
        <v>5.7139451728247916</v>
      </c>
    </row>
    <row r="2752" spans="1:18" x14ac:dyDescent="0.35">
      <c r="A2752" s="3" t="s">
        <v>2773</v>
      </c>
      <c r="B2752">
        <v>15</v>
      </c>
      <c r="C2752">
        <v>0</v>
      </c>
      <c r="D2752">
        <v>40</v>
      </c>
      <c r="E2752">
        <v>1</v>
      </c>
      <c r="F2752">
        <v>4865</v>
      </c>
      <c r="G2752">
        <v>78</v>
      </c>
      <c r="H2752">
        <v>21</v>
      </c>
      <c r="I2752">
        <v>22</v>
      </c>
      <c r="J2752">
        <v>3</v>
      </c>
      <c r="K2752">
        <v>1</v>
      </c>
      <c r="L2752">
        <v>1</v>
      </c>
      <c r="M2752">
        <v>30</v>
      </c>
      <c r="N2752">
        <v>281.72000000000003</v>
      </c>
      <c r="O2752">
        <v>0</v>
      </c>
      <c r="P27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52" t="str">
        <f>IF(Table1[[#This Row],[Fraud_Score]]&gt;=6, "High Risk",IF(Table1[[#This Row],[Fraud_Score]]&gt;=3, "Medium Risk", "Low Risk"))</f>
        <v>Low Risk</v>
      </c>
      <c r="R2752">
        <f>IF(Table1[[#This Row],[Seconds of Use]]=0,0,Table1[[#This Row],[Customer Value]]/Table1[[#This Row],[Seconds of Use]]*100)</f>
        <v>5.7907502569373079</v>
      </c>
    </row>
    <row r="2753" spans="1:18" x14ac:dyDescent="0.35">
      <c r="A2753" s="3" t="s">
        <v>2774</v>
      </c>
      <c r="B2753">
        <v>7</v>
      </c>
      <c r="C2753">
        <v>0</v>
      </c>
      <c r="D2753">
        <v>41</v>
      </c>
      <c r="E2753">
        <v>0</v>
      </c>
      <c r="F2753">
        <v>813</v>
      </c>
      <c r="G2753">
        <v>12</v>
      </c>
      <c r="H2753">
        <v>23</v>
      </c>
      <c r="I2753">
        <v>9</v>
      </c>
      <c r="J2753">
        <v>3</v>
      </c>
      <c r="K2753">
        <v>1</v>
      </c>
      <c r="L2753">
        <v>2</v>
      </c>
      <c r="M2753">
        <v>30</v>
      </c>
      <c r="N2753">
        <v>125</v>
      </c>
      <c r="O2753">
        <v>0</v>
      </c>
      <c r="P27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53" t="str">
        <f>IF(Table1[[#This Row],[Fraud_Score]]&gt;=6, "High Risk",IF(Table1[[#This Row],[Fraud_Score]]&gt;=3, "Medium Risk", "Low Risk"))</f>
        <v>Low Risk</v>
      </c>
      <c r="R2753">
        <f>IF(Table1[[#This Row],[Seconds of Use]]=0,0,Table1[[#This Row],[Customer Value]]/Table1[[#This Row],[Seconds of Use]]*100)</f>
        <v>15.375153751537516</v>
      </c>
    </row>
    <row r="2754" spans="1:18" x14ac:dyDescent="0.35">
      <c r="A2754" s="3" t="s">
        <v>2775</v>
      </c>
      <c r="B2754">
        <v>17</v>
      </c>
      <c r="C2754">
        <v>0</v>
      </c>
      <c r="D2754">
        <v>39</v>
      </c>
      <c r="E2754">
        <v>1</v>
      </c>
      <c r="F2754">
        <v>2948</v>
      </c>
      <c r="G2754">
        <v>67</v>
      </c>
      <c r="H2754">
        <v>375</v>
      </c>
      <c r="I2754">
        <v>29</v>
      </c>
      <c r="J2754">
        <v>3</v>
      </c>
      <c r="K2754">
        <v>1</v>
      </c>
      <c r="L2754">
        <v>1</v>
      </c>
      <c r="M2754">
        <v>30</v>
      </c>
      <c r="N2754">
        <v>1620.6</v>
      </c>
      <c r="O2754">
        <v>0</v>
      </c>
      <c r="P27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54" t="str">
        <f>IF(Table1[[#This Row],[Fraud_Score]]&gt;=6, "High Risk",IF(Table1[[#This Row],[Fraud_Score]]&gt;=3, "Medium Risk", "Low Risk"))</f>
        <v>Low Risk</v>
      </c>
      <c r="R2754">
        <f>IF(Table1[[#This Row],[Seconds of Use]]=0,0,Table1[[#This Row],[Customer Value]]/Table1[[#This Row],[Seconds of Use]]*100)</f>
        <v>54.972862957937586</v>
      </c>
    </row>
    <row r="2755" spans="1:18" x14ac:dyDescent="0.35">
      <c r="A2755" s="3" t="s">
        <v>2776</v>
      </c>
      <c r="B2755">
        <v>17</v>
      </c>
      <c r="C2755">
        <v>0</v>
      </c>
      <c r="D2755">
        <v>40</v>
      </c>
      <c r="E2755">
        <v>1</v>
      </c>
      <c r="F2755">
        <v>4693</v>
      </c>
      <c r="G2755">
        <v>73</v>
      </c>
      <c r="H2755">
        <v>17</v>
      </c>
      <c r="I2755">
        <v>40</v>
      </c>
      <c r="J2755">
        <v>1</v>
      </c>
      <c r="K2755">
        <v>1</v>
      </c>
      <c r="L2755">
        <v>1</v>
      </c>
      <c r="M2755">
        <v>15</v>
      </c>
      <c r="N2755">
        <v>355.63</v>
      </c>
      <c r="O2755">
        <v>0</v>
      </c>
      <c r="P27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55" t="str">
        <f>IF(Table1[[#This Row],[Fraud_Score]]&gt;=6, "High Risk",IF(Table1[[#This Row],[Fraud_Score]]&gt;=3, "Medium Risk", "Low Risk"))</f>
        <v>Low Risk</v>
      </c>
      <c r="R2755">
        <f>IF(Table1[[#This Row],[Seconds of Use]]=0,0,Table1[[#This Row],[Customer Value]]/Table1[[#This Row],[Seconds of Use]]*100)</f>
        <v>7.577881951843171</v>
      </c>
    </row>
    <row r="2756" spans="1:18" x14ac:dyDescent="0.35">
      <c r="A2756" s="3" t="s">
        <v>2777</v>
      </c>
      <c r="B2756">
        <v>10</v>
      </c>
      <c r="C2756">
        <v>0</v>
      </c>
      <c r="D2756">
        <v>40</v>
      </c>
      <c r="E2756">
        <v>1</v>
      </c>
      <c r="F2756">
        <v>2888</v>
      </c>
      <c r="G2756">
        <v>65</v>
      </c>
      <c r="H2756">
        <v>18</v>
      </c>
      <c r="I2756">
        <v>38</v>
      </c>
      <c r="J2756">
        <v>2</v>
      </c>
      <c r="K2756">
        <v>1</v>
      </c>
      <c r="L2756">
        <v>1</v>
      </c>
      <c r="M2756">
        <v>25</v>
      </c>
      <c r="N2756">
        <v>213.88499999999999</v>
      </c>
      <c r="O2756">
        <v>0</v>
      </c>
      <c r="P27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56" t="str">
        <f>IF(Table1[[#This Row],[Fraud_Score]]&gt;=6, "High Risk",IF(Table1[[#This Row],[Fraud_Score]]&gt;=3, "Medium Risk", "Low Risk"))</f>
        <v>Low Risk</v>
      </c>
      <c r="R2756">
        <f>IF(Table1[[#This Row],[Seconds of Use]]=0,0,Table1[[#This Row],[Customer Value]]/Table1[[#This Row],[Seconds of Use]]*100)</f>
        <v>7.4059903047091407</v>
      </c>
    </row>
    <row r="2757" spans="1:18" x14ac:dyDescent="0.35">
      <c r="A2757" s="3" t="s">
        <v>2778</v>
      </c>
      <c r="B2757">
        <v>18</v>
      </c>
      <c r="C2757">
        <v>0</v>
      </c>
      <c r="D2757">
        <v>40</v>
      </c>
      <c r="E2757">
        <v>2</v>
      </c>
      <c r="F2757">
        <v>4270</v>
      </c>
      <c r="G2757">
        <v>89</v>
      </c>
      <c r="H2757">
        <v>48</v>
      </c>
      <c r="I2757">
        <v>33</v>
      </c>
      <c r="J2757">
        <v>3</v>
      </c>
      <c r="K2757">
        <v>1</v>
      </c>
      <c r="L2757">
        <v>1</v>
      </c>
      <c r="M2757">
        <v>30</v>
      </c>
      <c r="N2757">
        <v>366.36</v>
      </c>
      <c r="O2757">
        <v>0</v>
      </c>
      <c r="P27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57" t="str">
        <f>IF(Table1[[#This Row],[Fraud_Score]]&gt;=6, "High Risk",IF(Table1[[#This Row],[Fraud_Score]]&gt;=3, "Medium Risk", "Low Risk"))</f>
        <v>Low Risk</v>
      </c>
      <c r="R2757">
        <f>IF(Table1[[#This Row],[Seconds of Use]]=0,0,Table1[[#This Row],[Customer Value]]/Table1[[#This Row],[Seconds of Use]]*100)</f>
        <v>8.5798594847775167</v>
      </c>
    </row>
    <row r="2758" spans="1:18" x14ac:dyDescent="0.35">
      <c r="A2758" s="3" t="s">
        <v>2779</v>
      </c>
      <c r="B2758">
        <v>11</v>
      </c>
      <c r="C2758">
        <v>0</v>
      </c>
      <c r="D2758">
        <v>40</v>
      </c>
      <c r="E2758">
        <v>1</v>
      </c>
      <c r="F2758">
        <v>2855</v>
      </c>
      <c r="G2758">
        <v>46</v>
      </c>
      <c r="H2758">
        <v>301</v>
      </c>
      <c r="I2758">
        <v>23</v>
      </c>
      <c r="J2758">
        <v>3</v>
      </c>
      <c r="K2758">
        <v>1</v>
      </c>
      <c r="L2758">
        <v>1</v>
      </c>
      <c r="M2758">
        <v>30</v>
      </c>
      <c r="N2758">
        <v>1320.04</v>
      </c>
      <c r="O2758">
        <v>0</v>
      </c>
      <c r="P27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58" t="str">
        <f>IF(Table1[[#This Row],[Fraud_Score]]&gt;=6, "High Risk",IF(Table1[[#This Row],[Fraud_Score]]&gt;=3, "Medium Risk", "Low Risk"))</f>
        <v>Low Risk</v>
      </c>
      <c r="R2758">
        <f>IF(Table1[[#This Row],[Seconds of Use]]=0,0,Table1[[#This Row],[Customer Value]]/Table1[[#This Row],[Seconds of Use]]*100)</f>
        <v>46.236077057793345</v>
      </c>
    </row>
    <row r="2759" spans="1:18" x14ac:dyDescent="0.35">
      <c r="A2759" s="3" t="s">
        <v>2780</v>
      </c>
      <c r="B2759">
        <v>20</v>
      </c>
      <c r="C2759">
        <v>0</v>
      </c>
      <c r="D2759">
        <v>39</v>
      </c>
      <c r="E2759">
        <v>3</v>
      </c>
      <c r="F2759">
        <v>9610</v>
      </c>
      <c r="G2759">
        <v>128</v>
      </c>
      <c r="H2759">
        <v>160</v>
      </c>
      <c r="I2759">
        <v>48</v>
      </c>
      <c r="J2759">
        <v>3</v>
      </c>
      <c r="K2759">
        <v>1</v>
      </c>
      <c r="L2759">
        <v>1</v>
      </c>
      <c r="M2759">
        <v>30</v>
      </c>
      <c r="N2759">
        <v>1029.52</v>
      </c>
      <c r="O2759">
        <v>0</v>
      </c>
      <c r="P27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59" t="str">
        <f>IF(Table1[[#This Row],[Fraud_Score]]&gt;=6, "High Risk",IF(Table1[[#This Row],[Fraud_Score]]&gt;=3, "Medium Risk", "Low Risk"))</f>
        <v>Medium Risk</v>
      </c>
      <c r="R2759">
        <f>IF(Table1[[#This Row],[Seconds of Use]]=0,0,Table1[[#This Row],[Customer Value]]/Table1[[#This Row],[Seconds of Use]]*100)</f>
        <v>10.713007284079085</v>
      </c>
    </row>
    <row r="2760" spans="1:18" x14ac:dyDescent="0.35">
      <c r="A2760" s="3" t="s">
        <v>2781</v>
      </c>
      <c r="B2760">
        <v>14</v>
      </c>
      <c r="C2760">
        <v>0</v>
      </c>
      <c r="D2760">
        <v>40</v>
      </c>
      <c r="E2760">
        <v>1</v>
      </c>
      <c r="F2760">
        <v>14268</v>
      </c>
      <c r="G2760">
        <v>176</v>
      </c>
      <c r="H2760">
        <v>16</v>
      </c>
      <c r="I2760">
        <v>49</v>
      </c>
      <c r="J2760">
        <v>3</v>
      </c>
      <c r="K2760">
        <v>1</v>
      </c>
      <c r="L2760">
        <v>1</v>
      </c>
      <c r="M2760">
        <v>30</v>
      </c>
      <c r="N2760">
        <v>641.76</v>
      </c>
      <c r="O2760">
        <v>0</v>
      </c>
      <c r="P27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60" t="str">
        <f>IF(Table1[[#This Row],[Fraud_Score]]&gt;=6, "High Risk",IF(Table1[[#This Row],[Fraud_Score]]&gt;=3, "Medium Risk", "Low Risk"))</f>
        <v>Medium Risk</v>
      </c>
      <c r="R2760">
        <f>IF(Table1[[#This Row],[Seconds of Use]]=0,0,Table1[[#This Row],[Customer Value]]/Table1[[#This Row],[Seconds of Use]]*100)</f>
        <v>4.4978973927670305</v>
      </c>
    </row>
    <row r="2761" spans="1:18" x14ac:dyDescent="0.35">
      <c r="A2761" s="3" t="s">
        <v>2782</v>
      </c>
      <c r="B2761">
        <v>14</v>
      </c>
      <c r="C2761">
        <v>0</v>
      </c>
      <c r="D2761">
        <v>40</v>
      </c>
      <c r="E2761">
        <v>2</v>
      </c>
      <c r="F2761">
        <v>5010</v>
      </c>
      <c r="G2761">
        <v>90</v>
      </c>
      <c r="H2761">
        <v>18</v>
      </c>
      <c r="I2761">
        <v>30</v>
      </c>
      <c r="J2761">
        <v>3</v>
      </c>
      <c r="K2761">
        <v>1</v>
      </c>
      <c r="L2761">
        <v>1</v>
      </c>
      <c r="M2761">
        <v>30</v>
      </c>
      <c r="N2761">
        <v>276</v>
      </c>
      <c r="O2761">
        <v>0</v>
      </c>
      <c r="P27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61" t="str">
        <f>IF(Table1[[#This Row],[Fraud_Score]]&gt;=6, "High Risk",IF(Table1[[#This Row],[Fraud_Score]]&gt;=3, "Medium Risk", "Low Risk"))</f>
        <v>Low Risk</v>
      </c>
      <c r="R2761">
        <f>IF(Table1[[#This Row],[Seconds of Use]]=0,0,Table1[[#This Row],[Customer Value]]/Table1[[#This Row],[Seconds of Use]]*100)</f>
        <v>5.5089820359281436</v>
      </c>
    </row>
    <row r="2762" spans="1:18" x14ac:dyDescent="0.35">
      <c r="A2762" s="3" t="s">
        <v>2783</v>
      </c>
      <c r="B2762">
        <v>13</v>
      </c>
      <c r="C2762">
        <v>0</v>
      </c>
      <c r="D2762">
        <v>40</v>
      </c>
      <c r="E2762">
        <v>1</v>
      </c>
      <c r="F2762">
        <v>6413</v>
      </c>
      <c r="G2762">
        <v>102</v>
      </c>
      <c r="H2762">
        <v>23</v>
      </c>
      <c r="I2762">
        <v>17</v>
      </c>
      <c r="J2762">
        <v>3</v>
      </c>
      <c r="K2762">
        <v>1</v>
      </c>
      <c r="L2762">
        <v>1</v>
      </c>
      <c r="M2762">
        <v>30</v>
      </c>
      <c r="N2762">
        <v>352.6</v>
      </c>
      <c r="O2762">
        <v>0</v>
      </c>
      <c r="P27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62" t="str">
        <f>IF(Table1[[#This Row],[Fraud_Score]]&gt;=6, "High Risk",IF(Table1[[#This Row],[Fraud_Score]]&gt;=3, "Medium Risk", "Low Risk"))</f>
        <v>Low Risk</v>
      </c>
      <c r="R2762">
        <f>IF(Table1[[#This Row],[Seconds of Use]]=0,0,Table1[[#This Row],[Customer Value]]/Table1[[#This Row],[Seconds of Use]]*100)</f>
        <v>5.4982067675035085</v>
      </c>
    </row>
    <row r="2763" spans="1:18" x14ac:dyDescent="0.35">
      <c r="A2763" s="3" t="s">
        <v>2784</v>
      </c>
      <c r="B2763">
        <v>16</v>
      </c>
      <c r="C2763">
        <v>0</v>
      </c>
      <c r="D2763">
        <v>40</v>
      </c>
      <c r="E2763">
        <v>0</v>
      </c>
      <c r="F2763">
        <v>2733</v>
      </c>
      <c r="G2763">
        <v>61</v>
      </c>
      <c r="H2763">
        <v>24</v>
      </c>
      <c r="I2763">
        <v>22</v>
      </c>
      <c r="J2763">
        <v>3</v>
      </c>
      <c r="K2763">
        <v>1</v>
      </c>
      <c r="L2763">
        <v>2</v>
      </c>
      <c r="M2763">
        <v>30</v>
      </c>
      <c r="N2763">
        <v>207.76</v>
      </c>
      <c r="O2763">
        <v>0</v>
      </c>
      <c r="P27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63" t="str">
        <f>IF(Table1[[#This Row],[Fraud_Score]]&gt;=6, "High Risk",IF(Table1[[#This Row],[Fraud_Score]]&gt;=3, "Medium Risk", "Low Risk"))</f>
        <v>Medium Risk</v>
      </c>
      <c r="R2763">
        <f>IF(Table1[[#This Row],[Seconds of Use]]=0,0,Table1[[#This Row],[Customer Value]]/Table1[[#This Row],[Seconds of Use]]*100)</f>
        <v>7.601902671057446</v>
      </c>
    </row>
    <row r="2764" spans="1:18" x14ac:dyDescent="0.35">
      <c r="A2764" s="3" t="s">
        <v>2785</v>
      </c>
      <c r="B2764">
        <v>32</v>
      </c>
      <c r="C2764">
        <v>1</v>
      </c>
      <c r="D2764">
        <v>40</v>
      </c>
      <c r="E2764">
        <v>4</v>
      </c>
      <c r="F2764">
        <v>15635</v>
      </c>
      <c r="G2764">
        <v>232</v>
      </c>
      <c r="H2764">
        <v>70</v>
      </c>
      <c r="I2764">
        <v>37</v>
      </c>
      <c r="J2764">
        <v>3</v>
      </c>
      <c r="K2764">
        <v>1</v>
      </c>
      <c r="L2764">
        <v>1</v>
      </c>
      <c r="M2764">
        <v>30</v>
      </c>
      <c r="N2764">
        <v>914.68</v>
      </c>
      <c r="O2764">
        <v>0</v>
      </c>
      <c r="P27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6</v>
      </c>
      <c r="Q2764" t="str">
        <f>IF(Table1[[#This Row],[Fraud_Score]]&gt;=6, "High Risk",IF(Table1[[#This Row],[Fraud_Score]]&gt;=3, "Medium Risk", "Low Risk"))</f>
        <v>High Risk</v>
      </c>
      <c r="R2764">
        <f>IF(Table1[[#This Row],[Seconds of Use]]=0,0,Table1[[#This Row],[Customer Value]]/Table1[[#This Row],[Seconds of Use]]*100)</f>
        <v>5.8502078669651416</v>
      </c>
    </row>
    <row r="2765" spans="1:18" x14ac:dyDescent="0.35">
      <c r="A2765" s="3" t="s">
        <v>2786</v>
      </c>
      <c r="B2765">
        <v>11</v>
      </c>
      <c r="C2765">
        <v>0</v>
      </c>
      <c r="D2765">
        <v>40</v>
      </c>
      <c r="E2765">
        <v>2</v>
      </c>
      <c r="F2765">
        <v>3590</v>
      </c>
      <c r="G2765">
        <v>34</v>
      </c>
      <c r="H2765">
        <v>499</v>
      </c>
      <c r="I2765">
        <v>13</v>
      </c>
      <c r="J2765">
        <v>3</v>
      </c>
      <c r="K2765">
        <v>1</v>
      </c>
      <c r="L2765">
        <v>1</v>
      </c>
      <c r="M2765">
        <v>30</v>
      </c>
      <c r="N2765">
        <v>2140.96</v>
      </c>
      <c r="O2765">
        <v>0</v>
      </c>
      <c r="P27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65" t="str">
        <f>IF(Table1[[#This Row],[Fraud_Score]]&gt;=6, "High Risk",IF(Table1[[#This Row],[Fraud_Score]]&gt;=3, "Medium Risk", "Low Risk"))</f>
        <v>Low Risk</v>
      </c>
      <c r="R2765">
        <f>IF(Table1[[#This Row],[Seconds of Use]]=0,0,Table1[[#This Row],[Customer Value]]/Table1[[#This Row],[Seconds of Use]]*100)</f>
        <v>59.63676880222841</v>
      </c>
    </row>
    <row r="2766" spans="1:18" x14ac:dyDescent="0.35">
      <c r="A2766" s="3" t="s">
        <v>2787</v>
      </c>
      <c r="B2766">
        <v>16</v>
      </c>
      <c r="C2766">
        <v>0</v>
      </c>
      <c r="D2766">
        <v>39</v>
      </c>
      <c r="E2766">
        <v>1</v>
      </c>
      <c r="F2766">
        <v>15980</v>
      </c>
      <c r="G2766">
        <v>189</v>
      </c>
      <c r="H2766">
        <v>166</v>
      </c>
      <c r="I2766">
        <v>35</v>
      </c>
      <c r="J2766">
        <v>2</v>
      </c>
      <c r="K2766">
        <v>1</v>
      </c>
      <c r="L2766">
        <v>1</v>
      </c>
      <c r="M2766">
        <v>25</v>
      </c>
      <c r="N2766">
        <v>1474.605</v>
      </c>
      <c r="O2766">
        <v>0</v>
      </c>
      <c r="P27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766" t="str">
        <f>IF(Table1[[#This Row],[Fraud_Score]]&gt;=6, "High Risk",IF(Table1[[#This Row],[Fraud_Score]]&gt;=3, "Medium Risk", "Low Risk"))</f>
        <v>Medium Risk</v>
      </c>
      <c r="R2766">
        <f>IF(Table1[[#This Row],[Seconds of Use]]=0,0,Table1[[#This Row],[Customer Value]]/Table1[[#This Row],[Seconds of Use]]*100)</f>
        <v>9.2278160200250312</v>
      </c>
    </row>
    <row r="2767" spans="1:18" x14ac:dyDescent="0.35">
      <c r="A2767" s="3" t="s">
        <v>2788</v>
      </c>
      <c r="B2767">
        <v>10</v>
      </c>
      <c r="C2767">
        <v>0</v>
      </c>
      <c r="D2767">
        <v>39</v>
      </c>
      <c r="E2767">
        <v>2</v>
      </c>
      <c r="F2767">
        <v>6995</v>
      </c>
      <c r="G2767">
        <v>93</v>
      </c>
      <c r="H2767">
        <v>202</v>
      </c>
      <c r="I2767">
        <v>31</v>
      </c>
      <c r="J2767">
        <v>3</v>
      </c>
      <c r="K2767">
        <v>1</v>
      </c>
      <c r="L2767">
        <v>1</v>
      </c>
      <c r="M2767">
        <v>30</v>
      </c>
      <c r="N2767">
        <v>1091.52</v>
      </c>
      <c r="O2767">
        <v>0</v>
      </c>
      <c r="P27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67" t="str">
        <f>IF(Table1[[#This Row],[Fraud_Score]]&gt;=6, "High Risk",IF(Table1[[#This Row],[Fraud_Score]]&gt;=3, "Medium Risk", "Low Risk"))</f>
        <v>Low Risk</v>
      </c>
      <c r="R2767">
        <f>IF(Table1[[#This Row],[Seconds of Use]]=0,0,Table1[[#This Row],[Customer Value]]/Table1[[#This Row],[Seconds of Use]]*100)</f>
        <v>15.604288777698356</v>
      </c>
    </row>
    <row r="2768" spans="1:18" x14ac:dyDescent="0.35">
      <c r="A2768" s="3" t="s">
        <v>2789</v>
      </c>
      <c r="B2768">
        <v>7</v>
      </c>
      <c r="C2768">
        <v>0</v>
      </c>
      <c r="D2768">
        <v>39</v>
      </c>
      <c r="E2768">
        <v>0</v>
      </c>
      <c r="F2768">
        <v>1370</v>
      </c>
      <c r="G2768">
        <v>21</v>
      </c>
      <c r="H2768">
        <v>16</v>
      </c>
      <c r="I2768">
        <v>16</v>
      </c>
      <c r="J2768">
        <v>2</v>
      </c>
      <c r="K2768">
        <v>1</v>
      </c>
      <c r="L2768">
        <v>2</v>
      </c>
      <c r="M2768">
        <v>25</v>
      </c>
      <c r="N2768">
        <v>134.595</v>
      </c>
      <c r="O2768">
        <v>0</v>
      </c>
      <c r="P27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68" t="str">
        <f>IF(Table1[[#This Row],[Fraud_Score]]&gt;=6, "High Risk",IF(Table1[[#This Row],[Fraud_Score]]&gt;=3, "Medium Risk", "Low Risk"))</f>
        <v>Low Risk</v>
      </c>
      <c r="R2768">
        <f>IF(Table1[[#This Row],[Seconds of Use]]=0,0,Table1[[#This Row],[Customer Value]]/Table1[[#This Row],[Seconds of Use]]*100)</f>
        <v>9.8244525547445249</v>
      </c>
    </row>
    <row r="2769" spans="1:18" x14ac:dyDescent="0.35">
      <c r="A2769" s="3" t="s">
        <v>2790</v>
      </c>
      <c r="B2769">
        <v>9</v>
      </c>
      <c r="C2769">
        <v>0</v>
      </c>
      <c r="D2769">
        <v>40</v>
      </c>
      <c r="E2769">
        <v>0</v>
      </c>
      <c r="F2769">
        <v>1205</v>
      </c>
      <c r="G2769">
        <v>21</v>
      </c>
      <c r="H2769">
        <v>29</v>
      </c>
      <c r="I2769">
        <v>13</v>
      </c>
      <c r="J2769">
        <v>3</v>
      </c>
      <c r="K2769">
        <v>1</v>
      </c>
      <c r="L2769">
        <v>2</v>
      </c>
      <c r="M2769">
        <v>30</v>
      </c>
      <c r="N2769">
        <v>165.04</v>
      </c>
      <c r="O2769">
        <v>0</v>
      </c>
      <c r="P27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69" t="str">
        <f>IF(Table1[[#This Row],[Fraud_Score]]&gt;=6, "High Risk",IF(Table1[[#This Row],[Fraud_Score]]&gt;=3, "Medium Risk", "Low Risk"))</f>
        <v>Low Risk</v>
      </c>
      <c r="R2769">
        <f>IF(Table1[[#This Row],[Seconds of Use]]=0,0,Table1[[#This Row],[Customer Value]]/Table1[[#This Row],[Seconds of Use]]*100)</f>
        <v>13.696265560165974</v>
      </c>
    </row>
    <row r="2770" spans="1:18" x14ac:dyDescent="0.35">
      <c r="A2770" s="3" t="s">
        <v>2791</v>
      </c>
      <c r="B2770">
        <v>7</v>
      </c>
      <c r="C2770">
        <v>0</v>
      </c>
      <c r="D2770">
        <v>39</v>
      </c>
      <c r="E2770">
        <v>0</v>
      </c>
      <c r="F2770">
        <v>495</v>
      </c>
      <c r="G2770">
        <v>7</v>
      </c>
      <c r="H2770">
        <v>16</v>
      </c>
      <c r="I2770">
        <v>5</v>
      </c>
      <c r="J2770">
        <v>2</v>
      </c>
      <c r="K2770">
        <v>1</v>
      </c>
      <c r="L2770">
        <v>2</v>
      </c>
      <c r="M2770">
        <v>25</v>
      </c>
      <c r="N2770">
        <v>94.59</v>
      </c>
      <c r="O2770">
        <v>1</v>
      </c>
      <c r="P27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70" t="str">
        <f>IF(Table1[[#This Row],[Fraud_Score]]&gt;=6, "High Risk",IF(Table1[[#This Row],[Fraud_Score]]&gt;=3, "Medium Risk", "Low Risk"))</f>
        <v>Low Risk</v>
      </c>
      <c r="R2770">
        <f>IF(Table1[[#This Row],[Seconds of Use]]=0,0,Table1[[#This Row],[Customer Value]]/Table1[[#This Row],[Seconds of Use]]*100)</f>
        <v>19.109090909090909</v>
      </c>
    </row>
    <row r="2771" spans="1:18" x14ac:dyDescent="0.35">
      <c r="A2771" s="3" t="s">
        <v>2792</v>
      </c>
      <c r="B2771">
        <v>10</v>
      </c>
      <c r="C2771">
        <v>0</v>
      </c>
      <c r="D2771">
        <v>39</v>
      </c>
      <c r="E2771">
        <v>1</v>
      </c>
      <c r="F2771">
        <v>8003</v>
      </c>
      <c r="G2771">
        <v>134</v>
      </c>
      <c r="H2771">
        <v>400</v>
      </c>
      <c r="I2771">
        <v>48</v>
      </c>
      <c r="J2771">
        <v>3</v>
      </c>
      <c r="K2771">
        <v>1</v>
      </c>
      <c r="L2771">
        <v>1</v>
      </c>
      <c r="M2771">
        <v>30</v>
      </c>
      <c r="N2771">
        <v>1925.48</v>
      </c>
      <c r="O2771">
        <v>0</v>
      </c>
      <c r="P27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71" t="str">
        <f>IF(Table1[[#This Row],[Fraud_Score]]&gt;=6, "High Risk",IF(Table1[[#This Row],[Fraud_Score]]&gt;=3, "Medium Risk", "Low Risk"))</f>
        <v>Low Risk</v>
      </c>
      <c r="R2771">
        <f>IF(Table1[[#This Row],[Seconds of Use]]=0,0,Table1[[#This Row],[Customer Value]]/Table1[[#This Row],[Seconds of Use]]*100)</f>
        <v>24.05947769586405</v>
      </c>
    </row>
    <row r="2772" spans="1:18" x14ac:dyDescent="0.35">
      <c r="A2772" s="3" t="s">
        <v>2793</v>
      </c>
      <c r="B2772">
        <v>14</v>
      </c>
      <c r="C2772">
        <v>0</v>
      </c>
      <c r="D2772">
        <v>39</v>
      </c>
      <c r="E2772">
        <v>2</v>
      </c>
      <c r="F2772">
        <v>11960</v>
      </c>
      <c r="G2772">
        <v>161</v>
      </c>
      <c r="H2772">
        <v>27</v>
      </c>
      <c r="I2772">
        <v>52</v>
      </c>
      <c r="J2772">
        <v>4</v>
      </c>
      <c r="K2772">
        <v>1</v>
      </c>
      <c r="L2772">
        <v>1</v>
      </c>
      <c r="M2772">
        <v>45</v>
      </c>
      <c r="N2772">
        <v>370.52499999999998</v>
      </c>
      <c r="O2772">
        <v>0</v>
      </c>
      <c r="P27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72" t="str">
        <f>IF(Table1[[#This Row],[Fraud_Score]]&gt;=6, "High Risk",IF(Table1[[#This Row],[Fraud_Score]]&gt;=3, "Medium Risk", "Low Risk"))</f>
        <v>Medium Risk</v>
      </c>
      <c r="R2772">
        <f>IF(Table1[[#This Row],[Seconds of Use]]=0,0,Table1[[#This Row],[Customer Value]]/Table1[[#This Row],[Seconds of Use]]*100)</f>
        <v>3.0980351170568561</v>
      </c>
    </row>
    <row r="2773" spans="1:18" x14ac:dyDescent="0.35">
      <c r="A2773" s="3" t="s">
        <v>2794</v>
      </c>
      <c r="B2773">
        <v>15</v>
      </c>
      <c r="C2773">
        <v>0</v>
      </c>
      <c r="D2773">
        <v>39</v>
      </c>
      <c r="E2773">
        <v>2</v>
      </c>
      <c r="F2773">
        <v>7213</v>
      </c>
      <c r="G2773">
        <v>82</v>
      </c>
      <c r="H2773">
        <v>124</v>
      </c>
      <c r="I2773">
        <v>42</v>
      </c>
      <c r="J2773">
        <v>2</v>
      </c>
      <c r="K2773">
        <v>1</v>
      </c>
      <c r="L2773">
        <v>1</v>
      </c>
      <c r="M2773">
        <v>25</v>
      </c>
      <c r="N2773">
        <v>886.27499999999998</v>
      </c>
      <c r="O2773">
        <v>0</v>
      </c>
      <c r="P27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73" t="str">
        <f>IF(Table1[[#This Row],[Fraud_Score]]&gt;=6, "High Risk",IF(Table1[[#This Row],[Fraud_Score]]&gt;=3, "Medium Risk", "Low Risk"))</f>
        <v>Low Risk</v>
      </c>
      <c r="R2773">
        <f>IF(Table1[[#This Row],[Seconds of Use]]=0,0,Table1[[#This Row],[Customer Value]]/Table1[[#This Row],[Seconds of Use]]*100)</f>
        <v>12.287189796201304</v>
      </c>
    </row>
    <row r="2774" spans="1:18" x14ac:dyDescent="0.35">
      <c r="A2774" s="3" t="s">
        <v>2795</v>
      </c>
      <c r="B2774">
        <v>30</v>
      </c>
      <c r="C2774">
        <v>1</v>
      </c>
      <c r="D2774">
        <v>35</v>
      </c>
      <c r="E2774">
        <v>0</v>
      </c>
      <c r="F2774">
        <v>1450</v>
      </c>
      <c r="G2774">
        <v>54</v>
      </c>
      <c r="H2774">
        <v>32</v>
      </c>
      <c r="I2774">
        <v>22</v>
      </c>
      <c r="J2774">
        <v>3</v>
      </c>
      <c r="K2774">
        <v>1</v>
      </c>
      <c r="L2774">
        <v>2</v>
      </c>
      <c r="M2774">
        <v>30</v>
      </c>
      <c r="N2774">
        <v>188.16</v>
      </c>
      <c r="O2774">
        <v>1</v>
      </c>
      <c r="P27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74" t="str">
        <f>IF(Table1[[#This Row],[Fraud_Score]]&gt;=6, "High Risk",IF(Table1[[#This Row],[Fraud_Score]]&gt;=3, "Medium Risk", "Low Risk"))</f>
        <v>Medium Risk</v>
      </c>
      <c r="R2774">
        <f>IF(Table1[[#This Row],[Seconds of Use]]=0,0,Table1[[#This Row],[Customer Value]]/Table1[[#This Row],[Seconds of Use]]*100)</f>
        <v>12.976551724137931</v>
      </c>
    </row>
    <row r="2775" spans="1:18" x14ac:dyDescent="0.35">
      <c r="A2775" s="3" t="s">
        <v>2796</v>
      </c>
      <c r="B2775">
        <v>28</v>
      </c>
      <c r="C2775">
        <v>0</v>
      </c>
      <c r="D2775">
        <v>38</v>
      </c>
      <c r="E2775">
        <v>9</v>
      </c>
      <c r="F2775">
        <v>10930</v>
      </c>
      <c r="G2775">
        <v>100</v>
      </c>
      <c r="H2775">
        <v>17</v>
      </c>
      <c r="I2775">
        <v>47</v>
      </c>
      <c r="J2775">
        <v>5</v>
      </c>
      <c r="K2775">
        <v>1</v>
      </c>
      <c r="L2775">
        <v>1</v>
      </c>
      <c r="M2775">
        <v>55</v>
      </c>
      <c r="N2775">
        <v>190.95</v>
      </c>
      <c r="O2775">
        <v>0</v>
      </c>
      <c r="P27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75" t="str">
        <f>IF(Table1[[#This Row],[Fraud_Score]]&gt;=6, "High Risk",IF(Table1[[#This Row],[Fraud_Score]]&gt;=3, "Medium Risk", "Low Risk"))</f>
        <v>Low Risk</v>
      </c>
      <c r="R2775">
        <f>IF(Table1[[#This Row],[Seconds of Use]]=0,0,Table1[[#This Row],[Customer Value]]/Table1[[#This Row],[Seconds of Use]]*100)</f>
        <v>1.7470265324794145</v>
      </c>
    </row>
    <row r="2776" spans="1:18" x14ac:dyDescent="0.35">
      <c r="A2776" s="3" t="s">
        <v>2797</v>
      </c>
      <c r="B2776">
        <v>20</v>
      </c>
      <c r="C2776">
        <v>0</v>
      </c>
      <c r="D2776">
        <v>38</v>
      </c>
      <c r="E2776">
        <v>2</v>
      </c>
      <c r="F2776">
        <v>6313</v>
      </c>
      <c r="G2776">
        <v>105</v>
      </c>
      <c r="H2776">
        <v>42</v>
      </c>
      <c r="I2776">
        <v>29</v>
      </c>
      <c r="J2776">
        <v>2</v>
      </c>
      <c r="K2776">
        <v>1</v>
      </c>
      <c r="L2776">
        <v>1</v>
      </c>
      <c r="M2776">
        <v>25</v>
      </c>
      <c r="N2776">
        <v>477.81</v>
      </c>
      <c r="O2776">
        <v>0</v>
      </c>
      <c r="P27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76" t="str">
        <f>IF(Table1[[#This Row],[Fraud_Score]]&gt;=6, "High Risk",IF(Table1[[#This Row],[Fraud_Score]]&gt;=3, "Medium Risk", "Low Risk"))</f>
        <v>Low Risk</v>
      </c>
      <c r="R2776">
        <f>IF(Table1[[#This Row],[Seconds of Use]]=0,0,Table1[[#This Row],[Customer Value]]/Table1[[#This Row],[Seconds of Use]]*100)</f>
        <v>7.5686678282908284</v>
      </c>
    </row>
    <row r="2777" spans="1:18" x14ac:dyDescent="0.35">
      <c r="A2777" s="3" t="s">
        <v>2798</v>
      </c>
      <c r="B2777">
        <v>8</v>
      </c>
      <c r="C2777">
        <v>0</v>
      </c>
      <c r="D2777">
        <v>36</v>
      </c>
      <c r="E2777">
        <v>1</v>
      </c>
      <c r="F2777">
        <v>3335</v>
      </c>
      <c r="G2777">
        <v>29</v>
      </c>
      <c r="H2777">
        <v>16</v>
      </c>
      <c r="I2777">
        <v>19</v>
      </c>
      <c r="J2777">
        <v>3</v>
      </c>
      <c r="K2777">
        <v>1</v>
      </c>
      <c r="L2777">
        <v>1</v>
      </c>
      <c r="M2777">
        <v>30</v>
      </c>
      <c r="N2777">
        <v>198.56</v>
      </c>
      <c r="O2777">
        <v>0</v>
      </c>
      <c r="P27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77" t="str">
        <f>IF(Table1[[#This Row],[Fraud_Score]]&gt;=6, "High Risk",IF(Table1[[#This Row],[Fraud_Score]]&gt;=3, "Medium Risk", "Low Risk"))</f>
        <v>Low Risk</v>
      </c>
      <c r="R2777">
        <f>IF(Table1[[#This Row],[Seconds of Use]]=0,0,Table1[[#This Row],[Customer Value]]/Table1[[#This Row],[Seconds of Use]]*100)</f>
        <v>5.9538230884557723</v>
      </c>
    </row>
    <row r="2778" spans="1:18" x14ac:dyDescent="0.35">
      <c r="A2778" s="3" t="s">
        <v>2799</v>
      </c>
      <c r="B2778">
        <v>16</v>
      </c>
      <c r="C2778">
        <v>1</v>
      </c>
      <c r="D2778">
        <v>37</v>
      </c>
      <c r="E2778">
        <v>0</v>
      </c>
      <c r="F2778">
        <v>3485</v>
      </c>
      <c r="G2778">
        <v>48</v>
      </c>
      <c r="H2778">
        <v>25</v>
      </c>
      <c r="I2778">
        <v>21</v>
      </c>
      <c r="J2778">
        <v>3</v>
      </c>
      <c r="K2778">
        <v>1</v>
      </c>
      <c r="L2778">
        <v>2</v>
      </c>
      <c r="M2778">
        <v>30</v>
      </c>
      <c r="N2778">
        <v>241.32</v>
      </c>
      <c r="O2778">
        <v>1</v>
      </c>
      <c r="P27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78" t="str">
        <f>IF(Table1[[#This Row],[Fraud_Score]]&gt;=6, "High Risk",IF(Table1[[#This Row],[Fraud_Score]]&gt;=3, "Medium Risk", "Low Risk"))</f>
        <v>Medium Risk</v>
      </c>
      <c r="R2778">
        <f>IF(Table1[[#This Row],[Seconds of Use]]=0,0,Table1[[#This Row],[Customer Value]]/Table1[[#This Row],[Seconds of Use]]*100)</f>
        <v>6.9245337159253948</v>
      </c>
    </row>
    <row r="2779" spans="1:18" x14ac:dyDescent="0.35">
      <c r="A2779" s="3" t="s">
        <v>2800</v>
      </c>
      <c r="B2779">
        <v>16</v>
      </c>
      <c r="C2779">
        <v>1</v>
      </c>
      <c r="D2779">
        <v>38</v>
      </c>
      <c r="E2779">
        <v>0</v>
      </c>
      <c r="F2779">
        <v>2763</v>
      </c>
      <c r="G2779">
        <v>51</v>
      </c>
      <c r="H2779">
        <v>50</v>
      </c>
      <c r="I2779">
        <v>36</v>
      </c>
      <c r="J2779">
        <v>4</v>
      </c>
      <c r="K2779">
        <v>1</v>
      </c>
      <c r="L2779">
        <v>2</v>
      </c>
      <c r="M2779">
        <v>45</v>
      </c>
      <c r="N2779">
        <v>195.35</v>
      </c>
      <c r="O2779">
        <v>1</v>
      </c>
      <c r="P27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79" t="str">
        <f>IF(Table1[[#This Row],[Fraud_Score]]&gt;=6, "High Risk",IF(Table1[[#This Row],[Fraud_Score]]&gt;=3, "Medium Risk", "Low Risk"))</f>
        <v>Medium Risk</v>
      </c>
      <c r="R2779">
        <f>IF(Table1[[#This Row],[Seconds of Use]]=0,0,Table1[[#This Row],[Customer Value]]/Table1[[#This Row],[Seconds of Use]]*100)</f>
        <v>7.0702135360115808</v>
      </c>
    </row>
    <row r="2780" spans="1:18" x14ac:dyDescent="0.35">
      <c r="A2780" s="3" t="s">
        <v>2801</v>
      </c>
      <c r="B2780">
        <v>7</v>
      </c>
      <c r="C2780">
        <v>0</v>
      </c>
      <c r="D2780">
        <v>38</v>
      </c>
      <c r="E2780">
        <v>0</v>
      </c>
      <c r="F2780">
        <v>628</v>
      </c>
      <c r="G2780">
        <v>9</v>
      </c>
      <c r="H2780">
        <v>16</v>
      </c>
      <c r="I2780">
        <v>7</v>
      </c>
      <c r="J2780">
        <v>3</v>
      </c>
      <c r="K2780">
        <v>1</v>
      </c>
      <c r="L2780">
        <v>2</v>
      </c>
      <c r="M2780">
        <v>30</v>
      </c>
      <c r="N2780">
        <v>89.48</v>
      </c>
      <c r="O2780">
        <v>1</v>
      </c>
      <c r="P27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80" t="str">
        <f>IF(Table1[[#This Row],[Fraud_Score]]&gt;=6, "High Risk",IF(Table1[[#This Row],[Fraud_Score]]&gt;=3, "Medium Risk", "Low Risk"))</f>
        <v>Low Risk</v>
      </c>
      <c r="R2780">
        <f>IF(Table1[[#This Row],[Seconds of Use]]=0,0,Table1[[#This Row],[Customer Value]]/Table1[[#This Row],[Seconds of Use]]*100)</f>
        <v>14.248407643312103</v>
      </c>
    </row>
    <row r="2781" spans="1:18" x14ac:dyDescent="0.35">
      <c r="A2781" s="3" t="s">
        <v>2802</v>
      </c>
      <c r="B2781">
        <v>8</v>
      </c>
      <c r="C2781">
        <v>0</v>
      </c>
      <c r="D2781">
        <v>38</v>
      </c>
      <c r="E2781">
        <v>1</v>
      </c>
      <c r="F2781">
        <v>2163</v>
      </c>
      <c r="G2781">
        <v>32</v>
      </c>
      <c r="H2781">
        <v>16</v>
      </c>
      <c r="I2781">
        <v>11</v>
      </c>
      <c r="J2781">
        <v>4</v>
      </c>
      <c r="K2781">
        <v>1</v>
      </c>
      <c r="L2781">
        <v>1</v>
      </c>
      <c r="M2781">
        <v>45</v>
      </c>
      <c r="N2781">
        <v>94.875</v>
      </c>
      <c r="O2781">
        <v>0</v>
      </c>
      <c r="P27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81" t="str">
        <f>IF(Table1[[#This Row],[Fraud_Score]]&gt;=6, "High Risk",IF(Table1[[#This Row],[Fraud_Score]]&gt;=3, "Medium Risk", "Low Risk"))</f>
        <v>Low Risk</v>
      </c>
      <c r="R2781">
        <f>IF(Table1[[#This Row],[Seconds of Use]]=0,0,Table1[[#This Row],[Customer Value]]/Table1[[#This Row],[Seconds of Use]]*100)</f>
        <v>4.3862690707350902</v>
      </c>
    </row>
    <row r="2782" spans="1:18" x14ac:dyDescent="0.35">
      <c r="A2782" s="3" t="s">
        <v>2803</v>
      </c>
      <c r="B2782">
        <v>10</v>
      </c>
      <c r="C2782">
        <v>0</v>
      </c>
      <c r="D2782">
        <v>35</v>
      </c>
      <c r="E2782">
        <v>2</v>
      </c>
      <c r="F2782">
        <v>7280</v>
      </c>
      <c r="G2782">
        <v>104</v>
      </c>
      <c r="H2782">
        <v>30</v>
      </c>
      <c r="I2782">
        <v>27</v>
      </c>
      <c r="J2782">
        <v>5</v>
      </c>
      <c r="K2782">
        <v>1</v>
      </c>
      <c r="L2782">
        <v>1</v>
      </c>
      <c r="M2782">
        <v>55</v>
      </c>
      <c r="N2782">
        <v>155.76</v>
      </c>
      <c r="O2782">
        <v>0</v>
      </c>
      <c r="P27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82" t="str">
        <f>IF(Table1[[#This Row],[Fraud_Score]]&gt;=6, "High Risk",IF(Table1[[#This Row],[Fraud_Score]]&gt;=3, "Medium Risk", "Low Risk"))</f>
        <v>Low Risk</v>
      </c>
      <c r="R2782">
        <f>IF(Table1[[#This Row],[Seconds of Use]]=0,0,Table1[[#This Row],[Customer Value]]/Table1[[#This Row],[Seconds of Use]]*100)</f>
        <v>2.1395604395604395</v>
      </c>
    </row>
    <row r="2783" spans="1:18" x14ac:dyDescent="0.35">
      <c r="A2783" s="3" t="s">
        <v>2804</v>
      </c>
      <c r="B2783">
        <v>7</v>
      </c>
      <c r="C2783">
        <v>0</v>
      </c>
      <c r="D2783">
        <v>38</v>
      </c>
      <c r="E2783">
        <v>0</v>
      </c>
      <c r="F2783">
        <v>1123</v>
      </c>
      <c r="G2783">
        <v>14</v>
      </c>
      <c r="H2783">
        <v>25</v>
      </c>
      <c r="I2783">
        <v>9</v>
      </c>
      <c r="J2783">
        <v>4</v>
      </c>
      <c r="K2783">
        <v>1</v>
      </c>
      <c r="L2783">
        <v>2</v>
      </c>
      <c r="M2783">
        <v>45</v>
      </c>
      <c r="N2783">
        <v>90.924999999999997</v>
      </c>
      <c r="O2783">
        <v>1</v>
      </c>
      <c r="P27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83" t="str">
        <f>IF(Table1[[#This Row],[Fraud_Score]]&gt;=6, "High Risk",IF(Table1[[#This Row],[Fraud_Score]]&gt;=3, "Medium Risk", "Low Risk"))</f>
        <v>Low Risk</v>
      </c>
      <c r="R2783">
        <f>IF(Table1[[#This Row],[Seconds of Use]]=0,0,Table1[[#This Row],[Customer Value]]/Table1[[#This Row],[Seconds of Use]]*100)</f>
        <v>8.0966162065894931</v>
      </c>
    </row>
    <row r="2784" spans="1:18" x14ac:dyDescent="0.35">
      <c r="A2784" s="3" t="s">
        <v>2805</v>
      </c>
      <c r="B2784">
        <v>7</v>
      </c>
      <c r="C2784">
        <v>0</v>
      </c>
      <c r="D2784">
        <v>38</v>
      </c>
      <c r="E2784">
        <v>2</v>
      </c>
      <c r="F2784">
        <v>833</v>
      </c>
      <c r="G2784">
        <v>11</v>
      </c>
      <c r="H2784">
        <v>20</v>
      </c>
      <c r="I2784">
        <v>7</v>
      </c>
      <c r="J2784">
        <v>5</v>
      </c>
      <c r="K2784">
        <v>1</v>
      </c>
      <c r="L2784">
        <v>1</v>
      </c>
      <c r="M2784">
        <v>55</v>
      </c>
      <c r="N2784">
        <v>42.66</v>
      </c>
      <c r="O2784">
        <v>0</v>
      </c>
      <c r="P27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84" t="str">
        <f>IF(Table1[[#This Row],[Fraud_Score]]&gt;=6, "High Risk",IF(Table1[[#This Row],[Fraud_Score]]&gt;=3, "Medium Risk", "Low Risk"))</f>
        <v>Low Risk</v>
      </c>
      <c r="R2784">
        <f>IF(Table1[[#This Row],[Seconds of Use]]=0,0,Table1[[#This Row],[Customer Value]]/Table1[[#This Row],[Seconds of Use]]*100)</f>
        <v>5.1212484993997593</v>
      </c>
    </row>
    <row r="2785" spans="1:18" x14ac:dyDescent="0.35">
      <c r="A2785" s="3" t="s">
        <v>2806</v>
      </c>
      <c r="B2785">
        <v>32</v>
      </c>
      <c r="C2785">
        <v>0</v>
      </c>
      <c r="D2785">
        <v>33</v>
      </c>
      <c r="E2785">
        <v>4</v>
      </c>
      <c r="F2785">
        <v>16570</v>
      </c>
      <c r="G2785">
        <v>245</v>
      </c>
      <c r="H2785">
        <v>16</v>
      </c>
      <c r="I2785">
        <v>85</v>
      </c>
      <c r="J2785">
        <v>2</v>
      </c>
      <c r="K2785">
        <v>2</v>
      </c>
      <c r="L2785">
        <v>1</v>
      </c>
      <c r="M2785">
        <v>25</v>
      </c>
      <c r="N2785">
        <v>828.67499999999995</v>
      </c>
      <c r="O2785">
        <v>0</v>
      </c>
      <c r="P27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785" t="str">
        <f>IF(Table1[[#This Row],[Fraud_Score]]&gt;=6, "High Risk",IF(Table1[[#This Row],[Fraud_Score]]&gt;=3, "Medium Risk", "Low Risk"))</f>
        <v>Medium Risk</v>
      </c>
      <c r="R2785">
        <f>IF(Table1[[#This Row],[Seconds of Use]]=0,0,Table1[[#This Row],[Customer Value]]/Table1[[#This Row],[Seconds of Use]]*100)</f>
        <v>5.0010561255280628</v>
      </c>
    </row>
    <row r="2786" spans="1:18" x14ac:dyDescent="0.35">
      <c r="A2786" s="3" t="s">
        <v>2807</v>
      </c>
      <c r="B2786">
        <v>13</v>
      </c>
      <c r="C2786">
        <v>0</v>
      </c>
      <c r="D2786">
        <v>36</v>
      </c>
      <c r="E2786">
        <v>4</v>
      </c>
      <c r="F2786">
        <v>7460</v>
      </c>
      <c r="G2786">
        <v>123</v>
      </c>
      <c r="H2786">
        <v>287</v>
      </c>
      <c r="I2786">
        <v>38</v>
      </c>
      <c r="J2786">
        <v>3</v>
      </c>
      <c r="K2786">
        <v>2</v>
      </c>
      <c r="L2786">
        <v>1</v>
      </c>
      <c r="M2786">
        <v>30</v>
      </c>
      <c r="N2786">
        <v>1451.32</v>
      </c>
      <c r="O2786">
        <v>0</v>
      </c>
      <c r="P27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86" t="str">
        <f>IF(Table1[[#This Row],[Fraud_Score]]&gt;=6, "High Risk",IF(Table1[[#This Row],[Fraud_Score]]&gt;=3, "Medium Risk", "Low Risk"))</f>
        <v>Low Risk</v>
      </c>
      <c r="R2786">
        <f>IF(Table1[[#This Row],[Seconds of Use]]=0,0,Table1[[#This Row],[Customer Value]]/Table1[[#This Row],[Seconds of Use]]*100)</f>
        <v>19.45469168900804</v>
      </c>
    </row>
    <row r="2787" spans="1:18" x14ac:dyDescent="0.35">
      <c r="A2787" s="3" t="s">
        <v>2808</v>
      </c>
      <c r="B2787">
        <v>9</v>
      </c>
      <c r="C2787">
        <v>0</v>
      </c>
      <c r="D2787">
        <v>38</v>
      </c>
      <c r="E2787">
        <v>1</v>
      </c>
      <c r="F2787">
        <v>4213</v>
      </c>
      <c r="G2787">
        <v>89</v>
      </c>
      <c r="H2787">
        <v>18</v>
      </c>
      <c r="I2787">
        <v>33</v>
      </c>
      <c r="J2787">
        <v>3</v>
      </c>
      <c r="K2787">
        <v>1</v>
      </c>
      <c r="L2787">
        <v>1</v>
      </c>
      <c r="M2787">
        <v>30</v>
      </c>
      <c r="N2787">
        <v>244.08</v>
      </c>
      <c r="O2787">
        <v>0</v>
      </c>
      <c r="P27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87" t="str">
        <f>IF(Table1[[#This Row],[Fraud_Score]]&gt;=6, "High Risk",IF(Table1[[#This Row],[Fraud_Score]]&gt;=3, "Medium Risk", "Low Risk"))</f>
        <v>Low Risk</v>
      </c>
      <c r="R2787">
        <f>IF(Table1[[#This Row],[Seconds of Use]]=0,0,Table1[[#This Row],[Customer Value]]/Table1[[#This Row],[Seconds of Use]]*100)</f>
        <v>5.7934963209114647</v>
      </c>
    </row>
    <row r="2788" spans="1:18" x14ac:dyDescent="0.35">
      <c r="A2788" s="3" t="s">
        <v>2809</v>
      </c>
      <c r="B2788">
        <v>10</v>
      </c>
      <c r="C2788">
        <v>0</v>
      </c>
      <c r="D2788">
        <v>37</v>
      </c>
      <c r="E2788">
        <v>0</v>
      </c>
      <c r="F2788">
        <v>2160</v>
      </c>
      <c r="G2788">
        <v>51</v>
      </c>
      <c r="H2788">
        <v>54</v>
      </c>
      <c r="I2788">
        <v>25</v>
      </c>
      <c r="J2788">
        <v>3</v>
      </c>
      <c r="K2788">
        <v>1</v>
      </c>
      <c r="L2788">
        <v>2</v>
      </c>
      <c r="M2788">
        <v>30</v>
      </c>
      <c r="N2788">
        <v>304.44</v>
      </c>
      <c r="O2788">
        <v>0</v>
      </c>
      <c r="P27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88" t="str">
        <f>IF(Table1[[#This Row],[Fraud_Score]]&gt;=6, "High Risk",IF(Table1[[#This Row],[Fraud_Score]]&gt;=3, "Medium Risk", "Low Risk"))</f>
        <v>Low Risk</v>
      </c>
      <c r="R2788">
        <f>IF(Table1[[#This Row],[Seconds of Use]]=0,0,Table1[[#This Row],[Customer Value]]/Table1[[#This Row],[Seconds of Use]]*100)</f>
        <v>14.094444444444445</v>
      </c>
    </row>
    <row r="2789" spans="1:18" x14ac:dyDescent="0.35">
      <c r="A2789" s="3" t="s">
        <v>2810</v>
      </c>
      <c r="B2789">
        <v>13</v>
      </c>
      <c r="C2789">
        <v>0</v>
      </c>
      <c r="D2789">
        <v>38</v>
      </c>
      <c r="E2789">
        <v>1</v>
      </c>
      <c r="F2789">
        <v>3275</v>
      </c>
      <c r="G2789">
        <v>60</v>
      </c>
      <c r="H2789">
        <v>191</v>
      </c>
      <c r="I2789">
        <v>28</v>
      </c>
      <c r="J2789">
        <v>2</v>
      </c>
      <c r="K2789">
        <v>1</v>
      </c>
      <c r="L2789">
        <v>1</v>
      </c>
      <c r="M2789">
        <v>25</v>
      </c>
      <c r="N2789">
        <v>1009.575</v>
      </c>
      <c r="O2789">
        <v>0</v>
      </c>
      <c r="P27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89" t="str">
        <f>IF(Table1[[#This Row],[Fraud_Score]]&gt;=6, "High Risk",IF(Table1[[#This Row],[Fraud_Score]]&gt;=3, "Medium Risk", "Low Risk"))</f>
        <v>Low Risk</v>
      </c>
      <c r="R2789">
        <f>IF(Table1[[#This Row],[Seconds of Use]]=0,0,Table1[[#This Row],[Customer Value]]/Table1[[#This Row],[Seconds of Use]]*100)</f>
        <v>30.826717557251911</v>
      </c>
    </row>
    <row r="2790" spans="1:18" x14ac:dyDescent="0.35">
      <c r="A2790" s="3" t="s">
        <v>2811</v>
      </c>
      <c r="B2790">
        <v>11</v>
      </c>
      <c r="C2790">
        <v>0</v>
      </c>
      <c r="D2790">
        <v>29</v>
      </c>
      <c r="E2790">
        <v>2</v>
      </c>
      <c r="F2790">
        <v>1810</v>
      </c>
      <c r="G2790">
        <v>43</v>
      </c>
      <c r="H2790">
        <v>209</v>
      </c>
      <c r="I2790">
        <v>16</v>
      </c>
      <c r="J2790">
        <v>3</v>
      </c>
      <c r="K2790">
        <v>2</v>
      </c>
      <c r="L2790">
        <v>1</v>
      </c>
      <c r="M2790">
        <v>30</v>
      </c>
      <c r="N2790">
        <v>910.12</v>
      </c>
      <c r="O2790">
        <v>0</v>
      </c>
      <c r="P27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90" t="str">
        <f>IF(Table1[[#This Row],[Fraud_Score]]&gt;=6, "High Risk",IF(Table1[[#This Row],[Fraud_Score]]&gt;=3, "Medium Risk", "Low Risk"))</f>
        <v>Low Risk</v>
      </c>
      <c r="R2790">
        <f>IF(Table1[[#This Row],[Seconds of Use]]=0,0,Table1[[#This Row],[Customer Value]]/Table1[[#This Row],[Seconds of Use]]*100)</f>
        <v>50.282872928176793</v>
      </c>
    </row>
    <row r="2791" spans="1:18" x14ac:dyDescent="0.35">
      <c r="A2791" s="3" t="s">
        <v>2812</v>
      </c>
      <c r="B2791">
        <v>11</v>
      </c>
      <c r="C2791">
        <v>0</v>
      </c>
      <c r="D2791">
        <v>28</v>
      </c>
      <c r="E2791">
        <v>1</v>
      </c>
      <c r="F2791">
        <v>2063</v>
      </c>
      <c r="G2791">
        <v>46</v>
      </c>
      <c r="H2791">
        <v>46</v>
      </c>
      <c r="I2791">
        <v>73</v>
      </c>
      <c r="J2791">
        <v>5</v>
      </c>
      <c r="K2791">
        <v>1</v>
      </c>
      <c r="L2791">
        <v>1</v>
      </c>
      <c r="M2791">
        <v>55</v>
      </c>
      <c r="N2791">
        <v>100.63500000000001</v>
      </c>
      <c r="O2791">
        <v>0</v>
      </c>
      <c r="P27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91" t="str">
        <f>IF(Table1[[#This Row],[Fraud_Score]]&gt;=6, "High Risk",IF(Table1[[#This Row],[Fraud_Score]]&gt;=3, "Medium Risk", "Low Risk"))</f>
        <v>Medium Risk</v>
      </c>
      <c r="R2791">
        <f>IF(Table1[[#This Row],[Seconds of Use]]=0,0,Table1[[#This Row],[Customer Value]]/Table1[[#This Row],[Seconds of Use]]*100)</f>
        <v>4.8780901599612214</v>
      </c>
    </row>
    <row r="2792" spans="1:18" x14ac:dyDescent="0.35">
      <c r="A2792" s="3" t="s">
        <v>2813</v>
      </c>
      <c r="B2792">
        <v>18</v>
      </c>
      <c r="C2792">
        <v>0</v>
      </c>
      <c r="D2792">
        <v>29</v>
      </c>
      <c r="E2792">
        <v>0</v>
      </c>
      <c r="F2792">
        <v>1195</v>
      </c>
      <c r="G2792">
        <v>32</v>
      </c>
      <c r="H2792">
        <v>26</v>
      </c>
      <c r="I2792">
        <v>12</v>
      </c>
      <c r="J2792">
        <v>3</v>
      </c>
      <c r="K2792">
        <v>1</v>
      </c>
      <c r="L2792">
        <v>2</v>
      </c>
      <c r="M2792">
        <v>30</v>
      </c>
      <c r="N2792">
        <v>153.08000000000001</v>
      </c>
      <c r="O2792">
        <v>0</v>
      </c>
      <c r="P27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792" t="str">
        <f>IF(Table1[[#This Row],[Fraud_Score]]&gt;=6, "High Risk",IF(Table1[[#This Row],[Fraud_Score]]&gt;=3, "Medium Risk", "Low Risk"))</f>
        <v>Medium Risk</v>
      </c>
      <c r="R2792">
        <f>IF(Table1[[#This Row],[Seconds of Use]]=0,0,Table1[[#This Row],[Customer Value]]/Table1[[#This Row],[Seconds of Use]]*100)</f>
        <v>12.810041841004185</v>
      </c>
    </row>
    <row r="2793" spans="1:18" x14ac:dyDescent="0.35">
      <c r="A2793" s="3" t="s">
        <v>2814</v>
      </c>
      <c r="B2793">
        <v>7</v>
      </c>
      <c r="C2793">
        <v>0</v>
      </c>
      <c r="D2793">
        <v>28</v>
      </c>
      <c r="E2793">
        <v>0</v>
      </c>
      <c r="F2793">
        <v>1320</v>
      </c>
      <c r="G2793">
        <v>17</v>
      </c>
      <c r="H2793">
        <v>37</v>
      </c>
      <c r="I2793">
        <v>8</v>
      </c>
      <c r="J2793">
        <v>4</v>
      </c>
      <c r="K2793">
        <v>1</v>
      </c>
      <c r="L2793">
        <v>2</v>
      </c>
      <c r="M2793">
        <v>45</v>
      </c>
      <c r="N2793">
        <v>125.925</v>
      </c>
      <c r="O2793">
        <v>0</v>
      </c>
      <c r="P27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793" t="str">
        <f>IF(Table1[[#This Row],[Fraud_Score]]&gt;=6, "High Risk",IF(Table1[[#This Row],[Fraud_Score]]&gt;=3, "Medium Risk", "Low Risk"))</f>
        <v>Low Risk</v>
      </c>
      <c r="R2793">
        <f>IF(Table1[[#This Row],[Seconds of Use]]=0,0,Table1[[#This Row],[Customer Value]]/Table1[[#This Row],[Seconds of Use]]*100)</f>
        <v>9.5397727272727266</v>
      </c>
    </row>
    <row r="2794" spans="1:18" x14ac:dyDescent="0.35">
      <c r="A2794" s="3" t="s">
        <v>2815</v>
      </c>
      <c r="B2794">
        <v>17</v>
      </c>
      <c r="C2794">
        <v>0</v>
      </c>
      <c r="D2794">
        <v>27</v>
      </c>
      <c r="E2794">
        <v>1</v>
      </c>
      <c r="F2794">
        <v>1720</v>
      </c>
      <c r="G2794">
        <v>39</v>
      </c>
      <c r="H2794">
        <v>35</v>
      </c>
      <c r="I2794">
        <v>18</v>
      </c>
      <c r="J2794">
        <v>2</v>
      </c>
      <c r="K2794">
        <v>1</v>
      </c>
      <c r="L2794">
        <v>1</v>
      </c>
      <c r="M2794">
        <v>25</v>
      </c>
      <c r="N2794">
        <v>236.655</v>
      </c>
      <c r="O2794">
        <v>0</v>
      </c>
      <c r="P27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94" t="str">
        <f>IF(Table1[[#This Row],[Fraud_Score]]&gt;=6, "High Risk",IF(Table1[[#This Row],[Fraud_Score]]&gt;=3, "Medium Risk", "Low Risk"))</f>
        <v>Low Risk</v>
      </c>
      <c r="R2794">
        <f>IF(Table1[[#This Row],[Seconds of Use]]=0,0,Table1[[#This Row],[Customer Value]]/Table1[[#This Row],[Seconds of Use]]*100)</f>
        <v>13.759011627906977</v>
      </c>
    </row>
    <row r="2795" spans="1:18" x14ac:dyDescent="0.35">
      <c r="A2795" s="3" t="s">
        <v>2816</v>
      </c>
      <c r="B2795">
        <v>9</v>
      </c>
      <c r="C2795">
        <v>0</v>
      </c>
      <c r="D2795">
        <v>27</v>
      </c>
      <c r="E2795">
        <v>1</v>
      </c>
      <c r="F2795">
        <v>3720</v>
      </c>
      <c r="G2795">
        <v>68</v>
      </c>
      <c r="H2795">
        <v>24</v>
      </c>
      <c r="I2795">
        <v>28</v>
      </c>
      <c r="J2795">
        <v>3</v>
      </c>
      <c r="K2795">
        <v>1</v>
      </c>
      <c r="L2795">
        <v>1</v>
      </c>
      <c r="M2795">
        <v>30</v>
      </c>
      <c r="N2795">
        <v>247.52</v>
      </c>
      <c r="O2795">
        <v>0</v>
      </c>
      <c r="P27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95" t="str">
        <f>IF(Table1[[#This Row],[Fraud_Score]]&gt;=6, "High Risk",IF(Table1[[#This Row],[Fraud_Score]]&gt;=3, "Medium Risk", "Low Risk"))</f>
        <v>Low Risk</v>
      </c>
      <c r="R2795">
        <f>IF(Table1[[#This Row],[Seconds of Use]]=0,0,Table1[[#This Row],[Customer Value]]/Table1[[#This Row],[Seconds of Use]]*100)</f>
        <v>6.6537634408602147</v>
      </c>
    </row>
    <row r="2796" spans="1:18" x14ac:dyDescent="0.35">
      <c r="A2796" s="3" t="s">
        <v>2817</v>
      </c>
      <c r="B2796">
        <v>9</v>
      </c>
      <c r="C2796">
        <v>0</v>
      </c>
      <c r="D2796">
        <v>20</v>
      </c>
      <c r="E2796">
        <v>1</v>
      </c>
      <c r="F2796">
        <v>2190</v>
      </c>
      <c r="G2796">
        <v>33</v>
      </c>
      <c r="H2796">
        <v>44</v>
      </c>
      <c r="I2796">
        <v>19</v>
      </c>
      <c r="J2796">
        <v>3</v>
      </c>
      <c r="K2796">
        <v>1</v>
      </c>
      <c r="L2796">
        <v>1</v>
      </c>
      <c r="M2796">
        <v>30</v>
      </c>
      <c r="N2796">
        <v>264.92</v>
      </c>
      <c r="O2796">
        <v>0</v>
      </c>
      <c r="P27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796" t="str">
        <f>IF(Table1[[#This Row],[Fraud_Score]]&gt;=6, "High Risk",IF(Table1[[#This Row],[Fraud_Score]]&gt;=3, "Medium Risk", "Low Risk"))</f>
        <v>Low Risk</v>
      </c>
      <c r="R2796">
        <f>IF(Table1[[#This Row],[Seconds of Use]]=0,0,Table1[[#This Row],[Customer Value]]/Table1[[#This Row],[Seconds of Use]]*100)</f>
        <v>12.096803652968037</v>
      </c>
    </row>
    <row r="2797" spans="1:18" x14ac:dyDescent="0.35">
      <c r="A2797" s="3" t="s">
        <v>2818</v>
      </c>
      <c r="B2797">
        <v>23</v>
      </c>
      <c r="C2797">
        <v>0</v>
      </c>
      <c r="D2797">
        <v>19</v>
      </c>
      <c r="E2797">
        <v>2</v>
      </c>
      <c r="F2797">
        <v>6887</v>
      </c>
      <c r="G2797">
        <v>148</v>
      </c>
      <c r="H2797">
        <v>101</v>
      </c>
      <c r="I2797">
        <v>47</v>
      </c>
      <c r="J2797">
        <v>2</v>
      </c>
      <c r="K2797">
        <v>2</v>
      </c>
      <c r="L2797">
        <v>1</v>
      </c>
      <c r="M2797">
        <v>25</v>
      </c>
      <c r="N2797">
        <v>771.07500000000005</v>
      </c>
      <c r="O2797">
        <v>0</v>
      </c>
      <c r="P27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797" t="str">
        <f>IF(Table1[[#This Row],[Fraud_Score]]&gt;=6, "High Risk",IF(Table1[[#This Row],[Fraud_Score]]&gt;=3, "Medium Risk", "Low Risk"))</f>
        <v>Medium Risk</v>
      </c>
      <c r="R2797">
        <f>IF(Table1[[#This Row],[Seconds of Use]]=0,0,Table1[[#This Row],[Customer Value]]/Table1[[#This Row],[Seconds of Use]]*100)</f>
        <v>11.196094090315087</v>
      </c>
    </row>
    <row r="2798" spans="1:18" x14ac:dyDescent="0.35">
      <c r="A2798" s="3" t="s">
        <v>2819</v>
      </c>
      <c r="B2798">
        <v>19</v>
      </c>
      <c r="C2798">
        <v>0</v>
      </c>
      <c r="D2798">
        <v>17</v>
      </c>
      <c r="E2798">
        <v>1</v>
      </c>
      <c r="F2798">
        <v>9427</v>
      </c>
      <c r="G2798">
        <v>178</v>
      </c>
      <c r="H2798">
        <v>89</v>
      </c>
      <c r="I2798">
        <v>45</v>
      </c>
      <c r="J2798">
        <v>5</v>
      </c>
      <c r="K2798">
        <v>1</v>
      </c>
      <c r="L2798">
        <v>1</v>
      </c>
      <c r="M2798">
        <v>55</v>
      </c>
      <c r="N2798">
        <v>277.57499999999999</v>
      </c>
      <c r="O2798">
        <v>0</v>
      </c>
      <c r="P27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798" t="str">
        <f>IF(Table1[[#This Row],[Fraud_Score]]&gt;=6, "High Risk",IF(Table1[[#This Row],[Fraud_Score]]&gt;=3, "Medium Risk", "Low Risk"))</f>
        <v>Medium Risk</v>
      </c>
      <c r="R2798">
        <f>IF(Table1[[#This Row],[Seconds of Use]]=0,0,Table1[[#This Row],[Customer Value]]/Table1[[#This Row],[Seconds of Use]]*100)</f>
        <v>2.9444680173968387</v>
      </c>
    </row>
    <row r="2799" spans="1:18" x14ac:dyDescent="0.35">
      <c r="A2799" s="3" t="s">
        <v>2820</v>
      </c>
      <c r="B2799">
        <v>15</v>
      </c>
      <c r="C2799">
        <v>0</v>
      </c>
      <c r="D2799">
        <v>18</v>
      </c>
      <c r="E2799">
        <v>4</v>
      </c>
      <c r="F2799">
        <v>3347</v>
      </c>
      <c r="G2799">
        <v>52</v>
      </c>
      <c r="H2799">
        <v>47</v>
      </c>
      <c r="I2799">
        <v>24</v>
      </c>
      <c r="J2799">
        <v>3</v>
      </c>
      <c r="K2799">
        <v>1</v>
      </c>
      <c r="L2799">
        <v>1</v>
      </c>
      <c r="M2799">
        <v>30</v>
      </c>
      <c r="N2799">
        <v>323.95999999999998</v>
      </c>
      <c r="O2799">
        <v>0</v>
      </c>
      <c r="P27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799" t="str">
        <f>IF(Table1[[#This Row],[Fraud_Score]]&gt;=6, "High Risk",IF(Table1[[#This Row],[Fraud_Score]]&gt;=3, "Medium Risk", "Low Risk"))</f>
        <v>Low Risk</v>
      </c>
      <c r="R2799">
        <f>IF(Table1[[#This Row],[Seconds of Use]]=0,0,Table1[[#This Row],[Customer Value]]/Table1[[#This Row],[Seconds of Use]]*100)</f>
        <v>9.6791156259336706</v>
      </c>
    </row>
    <row r="2800" spans="1:18" x14ac:dyDescent="0.35">
      <c r="A2800" s="3" t="s">
        <v>2821</v>
      </c>
      <c r="B2800">
        <v>9</v>
      </c>
      <c r="C2800">
        <v>0</v>
      </c>
      <c r="D2800">
        <v>11</v>
      </c>
      <c r="E2800">
        <v>2</v>
      </c>
      <c r="F2800">
        <v>4885</v>
      </c>
      <c r="G2800">
        <v>47</v>
      </c>
      <c r="H2800">
        <v>231</v>
      </c>
      <c r="I2800">
        <v>15</v>
      </c>
      <c r="J2800">
        <v>3</v>
      </c>
      <c r="K2800">
        <v>1</v>
      </c>
      <c r="L2800">
        <v>1</v>
      </c>
      <c r="M2800">
        <v>30</v>
      </c>
      <c r="N2800">
        <v>1121.28</v>
      </c>
      <c r="O2800">
        <v>0</v>
      </c>
      <c r="P28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00" t="str">
        <f>IF(Table1[[#This Row],[Fraud_Score]]&gt;=6, "High Risk",IF(Table1[[#This Row],[Fraud_Score]]&gt;=3, "Medium Risk", "Low Risk"))</f>
        <v>Low Risk</v>
      </c>
      <c r="R2800">
        <f>IF(Table1[[#This Row],[Seconds of Use]]=0,0,Table1[[#This Row],[Customer Value]]/Table1[[#This Row],[Seconds of Use]]*100)</f>
        <v>22.953531218014326</v>
      </c>
    </row>
    <row r="2801" spans="1:18" x14ac:dyDescent="0.35">
      <c r="A2801" s="3" t="s">
        <v>2822</v>
      </c>
      <c r="B2801">
        <v>10</v>
      </c>
      <c r="C2801">
        <v>1</v>
      </c>
      <c r="D2801">
        <v>11</v>
      </c>
      <c r="E2801">
        <v>2</v>
      </c>
      <c r="F2801">
        <v>1982</v>
      </c>
      <c r="G2801">
        <v>26</v>
      </c>
      <c r="H2801">
        <v>16</v>
      </c>
      <c r="I2801">
        <v>12</v>
      </c>
      <c r="J2801">
        <v>3</v>
      </c>
      <c r="K2801">
        <v>1</v>
      </c>
      <c r="L2801">
        <v>1</v>
      </c>
      <c r="M2801">
        <v>30</v>
      </c>
      <c r="N2801">
        <v>144.32</v>
      </c>
      <c r="O2801">
        <v>1</v>
      </c>
      <c r="P28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01" t="str">
        <f>IF(Table1[[#This Row],[Fraud_Score]]&gt;=6, "High Risk",IF(Table1[[#This Row],[Fraud_Score]]&gt;=3, "Medium Risk", "Low Risk"))</f>
        <v>Low Risk</v>
      </c>
      <c r="R2801">
        <f>IF(Table1[[#This Row],[Seconds of Use]]=0,0,Table1[[#This Row],[Customer Value]]/Table1[[#This Row],[Seconds of Use]]*100)</f>
        <v>7.2815338042381423</v>
      </c>
    </row>
    <row r="2802" spans="1:18" x14ac:dyDescent="0.35">
      <c r="A2802" s="3" t="s">
        <v>2823</v>
      </c>
      <c r="B2802">
        <v>11</v>
      </c>
      <c r="C2802">
        <v>0</v>
      </c>
      <c r="D2802">
        <v>40</v>
      </c>
      <c r="E2802">
        <v>1</v>
      </c>
      <c r="F2802">
        <v>4485</v>
      </c>
      <c r="G2802">
        <v>76</v>
      </c>
      <c r="H2802">
        <v>3</v>
      </c>
      <c r="I2802">
        <v>16</v>
      </c>
      <c r="J2802">
        <v>3</v>
      </c>
      <c r="K2802">
        <v>1</v>
      </c>
      <c r="L2802">
        <v>1</v>
      </c>
      <c r="M2802">
        <v>30</v>
      </c>
      <c r="N2802">
        <v>194.44</v>
      </c>
      <c r="O2802">
        <v>0</v>
      </c>
      <c r="P28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02" t="str">
        <f>IF(Table1[[#This Row],[Fraud_Score]]&gt;=6, "High Risk",IF(Table1[[#This Row],[Fraud_Score]]&gt;=3, "Medium Risk", "Low Risk"))</f>
        <v>Low Risk</v>
      </c>
      <c r="R2802">
        <f>IF(Table1[[#This Row],[Seconds of Use]]=0,0,Table1[[#This Row],[Customer Value]]/Table1[[#This Row],[Seconds of Use]]*100)</f>
        <v>4.3353400222965437</v>
      </c>
    </row>
    <row r="2803" spans="1:18" x14ac:dyDescent="0.35">
      <c r="A2803" s="3" t="s">
        <v>2824</v>
      </c>
      <c r="B2803">
        <v>3</v>
      </c>
      <c r="C2803">
        <v>0</v>
      </c>
      <c r="D2803">
        <v>41</v>
      </c>
      <c r="E2803">
        <v>0</v>
      </c>
      <c r="F2803">
        <v>433</v>
      </c>
      <c r="G2803">
        <v>10</v>
      </c>
      <c r="H2803">
        <v>5</v>
      </c>
      <c r="I2803">
        <v>3</v>
      </c>
      <c r="J2803">
        <v>3</v>
      </c>
      <c r="K2803">
        <v>1</v>
      </c>
      <c r="L2803">
        <v>2</v>
      </c>
      <c r="M2803">
        <v>30</v>
      </c>
      <c r="N2803">
        <v>37.72</v>
      </c>
      <c r="O2803">
        <v>0</v>
      </c>
      <c r="P28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03" t="str">
        <f>IF(Table1[[#This Row],[Fraud_Score]]&gt;=6, "High Risk",IF(Table1[[#This Row],[Fraud_Score]]&gt;=3, "Medium Risk", "Low Risk"))</f>
        <v>Low Risk</v>
      </c>
      <c r="R2803">
        <f>IF(Table1[[#This Row],[Seconds of Use]]=0,0,Table1[[#This Row],[Customer Value]]/Table1[[#This Row],[Seconds of Use]]*100)</f>
        <v>8.7113163972286376</v>
      </c>
    </row>
    <row r="2804" spans="1:18" x14ac:dyDescent="0.35">
      <c r="A2804" s="3" t="s">
        <v>2825</v>
      </c>
      <c r="B2804">
        <v>13</v>
      </c>
      <c r="C2804">
        <v>0</v>
      </c>
      <c r="D2804">
        <v>39</v>
      </c>
      <c r="E2804">
        <v>1</v>
      </c>
      <c r="F2804">
        <v>2568</v>
      </c>
      <c r="G2804">
        <v>65</v>
      </c>
      <c r="H2804">
        <v>357</v>
      </c>
      <c r="I2804">
        <v>23</v>
      </c>
      <c r="J2804">
        <v>3</v>
      </c>
      <c r="K2804">
        <v>1</v>
      </c>
      <c r="L2804">
        <v>1</v>
      </c>
      <c r="M2804">
        <v>30</v>
      </c>
      <c r="N2804">
        <v>1533.32</v>
      </c>
      <c r="O2804">
        <v>0</v>
      </c>
      <c r="P28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04" t="str">
        <f>IF(Table1[[#This Row],[Fraud_Score]]&gt;=6, "High Risk",IF(Table1[[#This Row],[Fraud_Score]]&gt;=3, "Medium Risk", "Low Risk"))</f>
        <v>Low Risk</v>
      </c>
      <c r="R2804">
        <f>IF(Table1[[#This Row],[Seconds of Use]]=0,0,Table1[[#This Row],[Customer Value]]/Table1[[#This Row],[Seconds of Use]]*100)</f>
        <v>59.708722741433021</v>
      </c>
    </row>
    <row r="2805" spans="1:18" x14ac:dyDescent="0.35">
      <c r="A2805" s="3" t="s">
        <v>2826</v>
      </c>
      <c r="B2805">
        <v>13</v>
      </c>
      <c r="C2805">
        <v>0</v>
      </c>
      <c r="D2805">
        <v>40</v>
      </c>
      <c r="E2805">
        <v>1</v>
      </c>
      <c r="F2805">
        <v>4313</v>
      </c>
      <c r="G2805">
        <v>71</v>
      </c>
      <c r="H2805">
        <v>0</v>
      </c>
      <c r="I2805">
        <v>34</v>
      </c>
      <c r="J2805">
        <v>1</v>
      </c>
      <c r="K2805">
        <v>1</v>
      </c>
      <c r="L2805">
        <v>1</v>
      </c>
      <c r="M2805">
        <v>15</v>
      </c>
      <c r="N2805">
        <v>241.12</v>
      </c>
      <c r="O2805">
        <v>0</v>
      </c>
      <c r="P28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05" t="str">
        <f>IF(Table1[[#This Row],[Fraud_Score]]&gt;=6, "High Risk",IF(Table1[[#This Row],[Fraud_Score]]&gt;=3, "Medium Risk", "Low Risk"))</f>
        <v>Low Risk</v>
      </c>
      <c r="R2805">
        <f>IF(Table1[[#This Row],[Seconds of Use]]=0,0,Table1[[#This Row],[Customer Value]]/Table1[[#This Row],[Seconds of Use]]*100)</f>
        <v>5.5905402272200329</v>
      </c>
    </row>
    <row r="2806" spans="1:18" x14ac:dyDescent="0.35">
      <c r="A2806" s="3" t="s">
        <v>2827</v>
      </c>
      <c r="B2806">
        <v>6</v>
      </c>
      <c r="C2806">
        <v>0</v>
      </c>
      <c r="D2806">
        <v>40</v>
      </c>
      <c r="E2806">
        <v>1</v>
      </c>
      <c r="F2806">
        <v>2508</v>
      </c>
      <c r="G2806">
        <v>63</v>
      </c>
      <c r="H2806">
        <v>0</v>
      </c>
      <c r="I2806">
        <v>32</v>
      </c>
      <c r="J2806">
        <v>2</v>
      </c>
      <c r="K2806">
        <v>1</v>
      </c>
      <c r="L2806">
        <v>1</v>
      </c>
      <c r="M2806">
        <v>25</v>
      </c>
      <c r="N2806">
        <v>115.69499999999999</v>
      </c>
      <c r="O2806">
        <v>0</v>
      </c>
      <c r="P28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06" t="str">
        <f>IF(Table1[[#This Row],[Fraud_Score]]&gt;=6, "High Risk",IF(Table1[[#This Row],[Fraud_Score]]&gt;=3, "Medium Risk", "Low Risk"))</f>
        <v>Low Risk</v>
      </c>
      <c r="R2806">
        <f>IF(Table1[[#This Row],[Seconds of Use]]=0,0,Table1[[#This Row],[Customer Value]]/Table1[[#This Row],[Seconds of Use]]*100)</f>
        <v>4.6130382775119614</v>
      </c>
    </row>
    <row r="2807" spans="1:18" x14ac:dyDescent="0.35">
      <c r="A2807" s="3" t="s">
        <v>2828</v>
      </c>
      <c r="B2807">
        <v>14</v>
      </c>
      <c r="C2807">
        <v>0</v>
      </c>
      <c r="D2807">
        <v>40</v>
      </c>
      <c r="E2807">
        <v>2</v>
      </c>
      <c r="F2807">
        <v>3890</v>
      </c>
      <c r="G2807">
        <v>87</v>
      </c>
      <c r="H2807">
        <v>30</v>
      </c>
      <c r="I2807">
        <v>27</v>
      </c>
      <c r="J2807">
        <v>3</v>
      </c>
      <c r="K2807">
        <v>1</v>
      </c>
      <c r="L2807">
        <v>1</v>
      </c>
      <c r="M2807">
        <v>30</v>
      </c>
      <c r="N2807">
        <v>279.08</v>
      </c>
      <c r="O2807">
        <v>0</v>
      </c>
      <c r="P28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07" t="str">
        <f>IF(Table1[[#This Row],[Fraud_Score]]&gt;=6, "High Risk",IF(Table1[[#This Row],[Fraud_Score]]&gt;=3, "Medium Risk", "Low Risk"))</f>
        <v>Low Risk</v>
      </c>
      <c r="R2807">
        <f>IF(Table1[[#This Row],[Seconds of Use]]=0,0,Table1[[#This Row],[Customer Value]]/Table1[[#This Row],[Seconds of Use]]*100)</f>
        <v>7.1742930591259633</v>
      </c>
    </row>
    <row r="2808" spans="1:18" x14ac:dyDescent="0.35">
      <c r="A2808" s="3" t="s">
        <v>2829</v>
      </c>
      <c r="B2808">
        <v>7</v>
      </c>
      <c r="C2808">
        <v>0</v>
      </c>
      <c r="D2808">
        <v>40</v>
      </c>
      <c r="E2808">
        <v>1</v>
      </c>
      <c r="F2808">
        <v>2475</v>
      </c>
      <c r="G2808">
        <v>44</v>
      </c>
      <c r="H2808">
        <v>283</v>
      </c>
      <c r="I2808">
        <v>17</v>
      </c>
      <c r="J2808">
        <v>3</v>
      </c>
      <c r="K2808">
        <v>1</v>
      </c>
      <c r="L2808">
        <v>1</v>
      </c>
      <c r="M2808">
        <v>30</v>
      </c>
      <c r="N2808">
        <v>1232.76</v>
      </c>
      <c r="O2808">
        <v>0</v>
      </c>
      <c r="P28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08" t="str">
        <f>IF(Table1[[#This Row],[Fraud_Score]]&gt;=6, "High Risk",IF(Table1[[#This Row],[Fraud_Score]]&gt;=3, "Medium Risk", "Low Risk"))</f>
        <v>Low Risk</v>
      </c>
      <c r="R2808">
        <f>IF(Table1[[#This Row],[Seconds of Use]]=0,0,Table1[[#This Row],[Customer Value]]/Table1[[#This Row],[Seconds of Use]]*100)</f>
        <v>49.808484848484845</v>
      </c>
    </row>
    <row r="2809" spans="1:18" x14ac:dyDescent="0.35">
      <c r="A2809" s="3" t="s">
        <v>2830</v>
      </c>
      <c r="B2809">
        <v>16</v>
      </c>
      <c r="C2809">
        <v>0</v>
      </c>
      <c r="D2809">
        <v>39</v>
      </c>
      <c r="E2809">
        <v>3</v>
      </c>
      <c r="F2809">
        <v>9230</v>
      </c>
      <c r="G2809">
        <v>126</v>
      </c>
      <c r="H2809">
        <v>142</v>
      </c>
      <c r="I2809">
        <v>42</v>
      </c>
      <c r="J2809">
        <v>3</v>
      </c>
      <c r="K2809">
        <v>1</v>
      </c>
      <c r="L2809">
        <v>1</v>
      </c>
      <c r="M2809">
        <v>30</v>
      </c>
      <c r="N2809">
        <v>942.24</v>
      </c>
      <c r="O2809">
        <v>0</v>
      </c>
      <c r="P28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09" t="str">
        <f>IF(Table1[[#This Row],[Fraud_Score]]&gt;=6, "High Risk",IF(Table1[[#This Row],[Fraud_Score]]&gt;=3, "Medium Risk", "Low Risk"))</f>
        <v>Low Risk</v>
      </c>
      <c r="R2809">
        <f>IF(Table1[[#This Row],[Seconds of Use]]=0,0,Table1[[#This Row],[Customer Value]]/Table1[[#This Row],[Seconds of Use]]*100)</f>
        <v>10.208450704225353</v>
      </c>
    </row>
    <row r="2810" spans="1:18" x14ac:dyDescent="0.35">
      <c r="A2810" s="3" t="s">
        <v>2831</v>
      </c>
      <c r="B2810">
        <v>10</v>
      </c>
      <c r="C2810">
        <v>0</v>
      </c>
      <c r="D2810">
        <v>40</v>
      </c>
      <c r="E2810">
        <v>1</v>
      </c>
      <c r="F2810">
        <v>13888</v>
      </c>
      <c r="G2810">
        <v>174</v>
      </c>
      <c r="H2810">
        <v>0</v>
      </c>
      <c r="I2810">
        <v>43</v>
      </c>
      <c r="J2810">
        <v>3</v>
      </c>
      <c r="K2810">
        <v>1</v>
      </c>
      <c r="L2810">
        <v>1</v>
      </c>
      <c r="M2810">
        <v>30</v>
      </c>
      <c r="N2810">
        <v>562.48</v>
      </c>
      <c r="O2810">
        <v>0</v>
      </c>
      <c r="P28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10" t="str">
        <f>IF(Table1[[#This Row],[Fraud_Score]]&gt;=6, "High Risk",IF(Table1[[#This Row],[Fraud_Score]]&gt;=3, "Medium Risk", "Low Risk"))</f>
        <v>Low Risk</v>
      </c>
      <c r="R2810">
        <f>IF(Table1[[#This Row],[Seconds of Use]]=0,0,Table1[[#This Row],[Customer Value]]/Table1[[#This Row],[Seconds of Use]]*100)</f>
        <v>4.0501152073732722</v>
      </c>
    </row>
    <row r="2811" spans="1:18" x14ac:dyDescent="0.35">
      <c r="A2811" s="3" t="s">
        <v>2832</v>
      </c>
      <c r="B2811">
        <v>10</v>
      </c>
      <c r="C2811">
        <v>0</v>
      </c>
      <c r="D2811">
        <v>40</v>
      </c>
      <c r="E2811">
        <v>2</v>
      </c>
      <c r="F2811">
        <v>4630</v>
      </c>
      <c r="G2811">
        <v>88</v>
      </c>
      <c r="H2811">
        <v>0</v>
      </c>
      <c r="I2811">
        <v>24</v>
      </c>
      <c r="J2811">
        <v>3</v>
      </c>
      <c r="K2811">
        <v>1</v>
      </c>
      <c r="L2811">
        <v>1</v>
      </c>
      <c r="M2811">
        <v>30</v>
      </c>
      <c r="N2811">
        <v>188.72</v>
      </c>
      <c r="O2811">
        <v>0</v>
      </c>
      <c r="P28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11" t="str">
        <f>IF(Table1[[#This Row],[Fraud_Score]]&gt;=6, "High Risk",IF(Table1[[#This Row],[Fraud_Score]]&gt;=3, "Medium Risk", "Low Risk"))</f>
        <v>Low Risk</v>
      </c>
      <c r="R2811">
        <f>IF(Table1[[#This Row],[Seconds of Use]]=0,0,Table1[[#This Row],[Customer Value]]/Table1[[#This Row],[Seconds of Use]]*100)</f>
        <v>4.0760259179265654</v>
      </c>
    </row>
    <row r="2812" spans="1:18" x14ac:dyDescent="0.35">
      <c r="A2812" s="3" t="s">
        <v>2833</v>
      </c>
      <c r="B2812">
        <v>9</v>
      </c>
      <c r="C2812">
        <v>0</v>
      </c>
      <c r="D2812">
        <v>40</v>
      </c>
      <c r="E2812">
        <v>1</v>
      </c>
      <c r="F2812">
        <v>6033</v>
      </c>
      <c r="G2812">
        <v>100</v>
      </c>
      <c r="H2812">
        <v>5</v>
      </c>
      <c r="I2812">
        <v>11</v>
      </c>
      <c r="J2812">
        <v>3</v>
      </c>
      <c r="K2812">
        <v>1</v>
      </c>
      <c r="L2812">
        <v>1</v>
      </c>
      <c r="M2812">
        <v>30</v>
      </c>
      <c r="N2812">
        <v>265.32</v>
      </c>
      <c r="O2812">
        <v>0</v>
      </c>
      <c r="P28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12" t="str">
        <f>IF(Table1[[#This Row],[Fraud_Score]]&gt;=6, "High Risk",IF(Table1[[#This Row],[Fraud_Score]]&gt;=3, "Medium Risk", "Low Risk"))</f>
        <v>Low Risk</v>
      </c>
      <c r="R2812">
        <f>IF(Table1[[#This Row],[Seconds of Use]]=0,0,Table1[[#This Row],[Customer Value]]/Table1[[#This Row],[Seconds of Use]]*100)</f>
        <v>4.3978120338140227</v>
      </c>
    </row>
    <row r="2813" spans="1:18" x14ac:dyDescent="0.35">
      <c r="A2813" s="3" t="s">
        <v>2834</v>
      </c>
      <c r="B2813">
        <v>12</v>
      </c>
      <c r="C2813">
        <v>1</v>
      </c>
      <c r="D2813">
        <v>40</v>
      </c>
      <c r="E2813">
        <v>0</v>
      </c>
      <c r="F2813">
        <v>2353</v>
      </c>
      <c r="G2813">
        <v>59</v>
      </c>
      <c r="H2813">
        <v>6</v>
      </c>
      <c r="I2813">
        <v>16</v>
      </c>
      <c r="J2813">
        <v>3</v>
      </c>
      <c r="K2813">
        <v>1</v>
      </c>
      <c r="L2813">
        <v>2</v>
      </c>
      <c r="M2813">
        <v>30</v>
      </c>
      <c r="N2813">
        <v>120.48</v>
      </c>
      <c r="O2813">
        <v>0</v>
      </c>
      <c r="P28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13" t="str">
        <f>IF(Table1[[#This Row],[Fraud_Score]]&gt;=6, "High Risk",IF(Table1[[#This Row],[Fraud_Score]]&gt;=3, "Medium Risk", "Low Risk"))</f>
        <v>Medium Risk</v>
      </c>
      <c r="R2813">
        <f>IF(Table1[[#This Row],[Seconds of Use]]=0,0,Table1[[#This Row],[Customer Value]]/Table1[[#This Row],[Seconds of Use]]*100)</f>
        <v>5.1202719932001699</v>
      </c>
    </row>
    <row r="2814" spans="1:18" x14ac:dyDescent="0.35">
      <c r="A2814" s="3" t="s">
        <v>2835</v>
      </c>
      <c r="B2814">
        <v>28</v>
      </c>
      <c r="C2814">
        <v>0</v>
      </c>
      <c r="D2814">
        <v>40</v>
      </c>
      <c r="E2814">
        <v>4</v>
      </c>
      <c r="F2814">
        <v>15255</v>
      </c>
      <c r="G2814">
        <v>230</v>
      </c>
      <c r="H2814">
        <v>52</v>
      </c>
      <c r="I2814">
        <v>31</v>
      </c>
      <c r="J2814">
        <v>3</v>
      </c>
      <c r="K2814">
        <v>1</v>
      </c>
      <c r="L2814">
        <v>1</v>
      </c>
      <c r="M2814">
        <v>30</v>
      </c>
      <c r="N2814">
        <v>827.4</v>
      </c>
      <c r="O2814">
        <v>0</v>
      </c>
      <c r="P28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814" t="str">
        <f>IF(Table1[[#This Row],[Fraud_Score]]&gt;=6, "High Risk",IF(Table1[[#This Row],[Fraud_Score]]&gt;=3, "Medium Risk", "Low Risk"))</f>
        <v>Medium Risk</v>
      </c>
      <c r="R2814">
        <f>IF(Table1[[#This Row],[Seconds of Use]]=0,0,Table1[[#This Row],[Customer Value]]/Table1[[#This Row],[Seconds of Use]]*100)</f>
        <v>5.4237954768928214</v>
      </c>
    </row>
    <row r="2815" spans="1:18" x14ac:dyDescent="0.35">
      <c r="A2815" s="3" t="s">
        <v>2836</v>
      </c>
      <c r="B2815">
        <v>7</v>
      </c>
      <c r="C2815">
        <v>0</v>
      </c>
      <c r="D2815">
        <v>40</v>
      </c>
      <c r="E2815">
        <v>2</v>
      </c>
      <c r="F2815">
        <v>3210</v>
      </c>
      <c r="G2815">
        <v>32</v>
      </c>
      <c r="H2815">
        <v>481</v>
      </c>
      <c r="I2815">
        <v>7</v>
      </c>
      <c r="J2815">
        <v>3</v>
      </c>
      <c r="K2815">
        <v>1</v>
      </c>
      <c r="L2815">
        <v>1</v>
      </c>
      <c r="M2815">
        <v>30</v>
      </c>
      <c r="N2815">
        <v>2053.6799999999998</v>
      </c>
      <c r="O2815">
        <v>0</v>
      </c>
      <c r="P28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15" t="str">
        <f>IF(Table1[[#This Row],[Fraud_Score]]&gt;=6, "High Risk",IF(Table1[[#This Row],[Fraud_Score]]&gt;=3, "Medium Risk", "Low Risk"))</f>
        <v>Low Risk</v>
      </c>
      <c r="R2815">
        <f>IF(Table1[[#This Row],[Seconds of Use]]=0,0,Table1[[#This Row],[Customer Value]]/Table1[[#This Row],[Seconds of Use]]*100)</f>
        <v>63.977570093457935</v>
      </c>
    </row>
    <row r="2816" spans="1:18" x14ac:dyDescent="0.35">
      <c r="A2816" s="3" t="s">
        <v>2837</v>
      </c>
      <c r="B2816">
        <v>12</v>
      </c>
      <c r="C2816">
        <v>0</v>
      </c>
      <c r="D2816">
        <v>39</v>
      </c>
      <c r="E2816">
        <v>1</v>
      </c>
      <c r="F2816">
        <v>15600</v>
      </c>
      <c r="G2816">
        <v>187</v>
      </c>
      <c r="H2816">
        <v>148</v>
      </c>
      <c r="I2816">
        <v>29</v>
      </c>
      <c r="J2816">
        <v>2</v>
      </c>
      <c r="K2816">
        <v>1</v>
      </c>
      <c r="L2816">
        <v>1</v>
      </c>
      <c r="M2816">
        <v>25</v>
      </c>
      <c r="N2816">
        <v>1376.415</v>
      </c>
      <c r="O2816">
        <v>0</v>
      </c>
      <c r="P28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816" t="str">
        <f>IF(Table1[[#This Row],[Fraud_Score]]&gt;=6, "High Risk",IF(Table1[[#This Row],[Fraud_Score]]&gt;=3, "Medium Risk", "Low Risk"))</f>
        <v>Medium Risk</v>
      </c>
      <c r="R2816">
        <f>IF(Table1[[#This Row],[Seconds of Use]]=0,0,Table1[[#This Row],[Customer Value]]/Table1[[#This Row],[Seconds of Use]]*100)</f>
        <v>8.8231730769230765</v>
      </c>
    </row>
    <row r="2817" spans="1:18" x14ac:dyDescent="0.35">
      <c r="A2817" s="3" t="s">
        <v>2838</v>
      </c>
      <c r="B2817">
        <v>6</v>
      </c>
      <c r="C2817">
        <v>0</v>
      </c>
      <c r="D2817">
        <v>39</v>
      </c>
      <c r="E2817">
        <v>2</v>
      </c>
      <c r="F2817">
        <v>6615</v>
      </c>
      <c r="G2817">
        <v>91</v>
      </c>
      <c r="H2817">
        <v>184</v>
      </c>
      <c r="I2817">
        <v>25</v>
      </c>
      <c r="J2817">
        <v>3</v>
      </c>
      <c r="K2817">
        <v>1</v>
      </c>
      <c r="L2817">
        <v>1</v>
      </c>
      <c r="M2817">
        <v>30</v>
      </c>
      <c r="N2817">
        <v>1004.24</v>
      </c>
      <c r="O2817">
        <v>0</v>
      </c>
      <c r="P28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17" t="str">
        <f>IF(Table1[[#This Row],[Fraud_Score]]&gt;=6, "High Risk",IF(Table1[[#This Row],[Fraud_Score]]&gt;=3, "Medium Risk", "Low Risk"))</f>
        <v>Low Risk</v>
      </c>
      <c r="R2817">
        <f>IF(Table1[[#This Row],[Seconds of Use]]=0,0,Table1[[#This Row],[Customer Value]]/Table1[[#This Row],[Seconds of Use]]*100)</f>
        <v>15.181254724111866</v>
      </c>
    </row>
    <row r="2818" spans="1:18" x14ac:dyDescent="0.35">
      <c r="A2818" s="3" t="s">
        <v>2839</v>
      </c>
      <c r="B2818">
        <v>3</v>
      </c>
      <c r="C2818">
        <v>0</v>
      </c>
      <c r="D2818">
        <v>39</v>
      </c>
      <c r="E2818">
        <v>0</v>
      </c>
      <c r="F2818">
        <v>990</v>
      </c>
      <c r="G2818">
        <v>19</v>
      </c>
      <c r="H2818">
        <v>0</v>
      </c>
      <c r="I2818">
        <v>10</v>
      </c>
      <c r="J2818">
        <v>2</v>
      </c>
      <c r="K2818">
        <v>1</v>
      </c>
      <c r="L2818">
        <v>2</v>
      </c>
      <c r="M2818">
        <v>25</v>
      </c>
      <c r="N2818">
        <v>45.405000000000001</v>
      </c>
      <c r="O2818">
        <v>0</v>
      </c>
      <c r="P28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18" t="str">
        <f>IF(Table1[[#This Row],[Fraud_Score]]&gt;=6, "High Risk",IF(Table1[[#This Row],[Fraud_Score]]&gt;=3, "Medium Risk", "Low Risk"))</f>
        <v>Low Risk</v>
      </c>
      <c r="R2818">
        <f>IF(Table1[[#This Row],[Seconds of Use]]=0,0,Table1[[#This Row],[Customer Value]]/Table1[[#This Row],[Seconds of Use]]*100)</f>
        <v>4.586363636363636</v>
      </c>
    </row>
    <row r="2819" spans="1:18" x14ac:dyDescent="0.35">
      <c r="A2819" s="3" t="s">
        <v>2840</v>
      </c>
      <c r="B2819">
        <v>5</v>
      </c>
      <c r="C2819">
        <v>0</v>
      </c>
      <c r="D2819">
        <v>40</v>
      </c>
      <c r="E2819">
        <v>0</v>
      </c>
      <c r="F2819">
        <v>825</v>
      </c>
      <c r="G2819">
        <v>19</v>
      </c>
      <c r="H2819">
        <v>11</v>
      </c>
      <c r="I2819">
        <v>7</v>
      </c>
      <c r="J2819">
        <v>3</v>
      </c>
      <c r="K2819">
        <v>1</v>
      </c>
      <c r="L2819">
        <v>2</v>
      </c>
      <c r="M2819">
        <v>30</v>
      </c>
      <c r="N2819">
        <v>77.760000000000005</v>
      </c>
      <c r="O2819">
        <v>0</v>
      </c>
      <c r="P28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19" t="str">
        <f>IF(Table1[[#This Row],[Fraud_Score]]&gt;=6, "High Risk",IF(Table1[[#This Row],[Fraud_Score]]&gt;=3, "Medium Risk", "Low Risk"))</f>
        <v>Low Risk</v>
      </c>
      <c r="R2819">
        <f>IF(Table1[[#This Row],[Seconds of Use]]=0,0,Table1[[#This Row],[Customer Value]]/Table1[[#This Row],[Seconds of Use]]*100)</f>
        <v>9.4254545454545458</v>
      </c>
    </row>
    <row r="2820" spans="1:18" x14ac:dyDescent="0.35">
      <c r="A2820" s="3" t="s">
        <v>2841</v>
      </c>
      <c r="B2820">
        <v>0</v>
      </c>
      <c r="C2820">
        <v>0</v>
      </c>
      <c r="D2820">
        <v>39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2</v>
      </c>
      <c r="K2820">
        <v>1</v>
      </c>
      <c r="L2820">
        <v>2</v>
      </c>
      <c r="M2820">
        <v>25</v>
      </c>
      <c r="N2820">
        <v>0</v>
      </c>
      <c r="O2820">
        <v>1</v>
      </c>
      <c r="P28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20" t="str">
        <f>IF(Table1[[#This Row],[Fraud_Score]]&gt;=6, "High Risk",IF(Table1[[#This Row],[Fraud_Score]]&gt;=3, "Medium Risk", "Low Risk"))</f>
        <v>Low Risk</v>
      </c>
      <c r="R2820">
        <f>IF(Table1[[#This Row],[Seconds of Use]]=0,0,Table1[[#This Row],[Customer Value]]/Table1[[#This Row],[Seconds of Use]]*100)</f>
        <v>0</v>
      </c>
    </row>
    <row r="2821" spans="1:18" x14ac:dyDescent="0.35">
      <c r="A2821" s="3" t="s">
        <v>2842</v>
      </c>
      <c r="B2821">
        <v>6</v>
      </c>
      <c r="C2821">
        <v>0</v>
      </c>
      <c r="D2821">
        <v>39</v>
      </c>
      <c r="E2821">
        <v>1</v>
      </c>
      <c r="F2821">
        <v>7623</v>
      </c>
      <c r="G2821">
        <v>132</v>
      </c>
      <c r="H2821">
        <v>382</v>
      </c>
      <c r="I2821">
        <v>42</v>
      </c>
      <c r="J2821">
        <v>3</v>
      </c>
      <c r="K2821">
        <v>1</v>
      </c>
      <c r="L2821">
        <v>1</v>
      </c>
      <c r="M2821">
        <v>30</v>
      </c>
      <c r="N2821">
        <v>1838.2</v>
      </c>
      <c r="O2821">
        <v>0</v>
      </c>
      <c r="P28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21" t="str">
        <f>IF(Table1[[#This Row],[Fraud_Score]]&gt;=6, "High Risk",IF(Table1[[#This Row],[Fraud_Score]]&gt;=3, "Medium Risk", "Low Risk"))</f>
        <v>Low Risk</v>
      </c>
      <c r="R2821">
        <f>IF(Table1[[#This Row],[Seconds of Use]]=0,0,Table1[[#This Row],[Customer Value]]/Table1[[#This Row],[Seconds of Use]]*100)</f>
        <v>24.113865932047752</v>
      </c>
    </row>
    <row r="2822" spans="1:18" x14ac:dyDescent="0.35">
      <c r="A2822" s="3" t="s">
        <v>2843</v>
      </c>
      <c r="B2822">
        <v>10</v>
      </c>
      <c r="C2822">
        <v>0</v>
      </c>
      <c r="D2822">
        <v>39</v>
      </c>
      <c r="E2822">
        <v>2</v>
      </c>
      <c r="F2822">
        <v>11580</v>
      </c>
      <c r="G2822">
        <v>159</v>
      </c>
      <c r="H2822">
        <v>9</v>
      </c>
      <c r="I2822">
        <v>46</v>
      </c>
      <c r="J2822">
        <v>4</v>
      </c>
      <c r="K2822">
        <v>1</v>
      </c>
      <c r="L2822">
        <v>1</v>
      </c>
      <c r="M2822">
        <v>45</v>
      </c>
      <c r="N2822">
        <v>315.97500000000002</v>
      </c>
      <c r="O2822">
        <v>0</v>
      </c>
      <c r="P28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22" t="str">
        <f>IF(Table1[[#This Row],[Fraud_Score]]&gt;=6, "High Risk",IF(Table1[[#This Row],[Fraud_Score]]&gt;=3, "Medium Risk", "Low Risk"))</f>
        <v>Low Risk</v>
      </c>
      <c r="R2822">
        <f>IF(Table1[[#This Row],[Seconds of Use]]=0,0,Table1[[#This Row],[Customer Value]]/Table1[[#This Row],[Seconds of Use]]*100)</f>
        <v>2.7286269430051817</v>
      </c>
    </row>
    <row r="2823" spans="1:18" x14ac:dyDescent="0.35">
      <c r="A2823" s="3" t="s">
        <v>2844</v>
      </c>
      <c r="B2823">
        <v>11</v>
      </c>
      <c r="C2823">
        <v>0</v>
      </c>
      <c r="D2823">
        <v>39</v>
      </c>
      <c r="E2823">
        <v>2</v>
      </c>
      <c r="F2823">
        <v>6833</v>
      </c>
      <c r="G2823">
        <v>80</v>
      </c>
      <c r="H2823">
        <v>106</v>
      </c>
      <c r="I2823">
        <v>36</v>
      </c>
      <c r="J2823">
        <v>2</v>
      </c>
      <c r="K2823">
        <v>1</v>
      </c>
      <c r="L2823">
        <v>1</v>
      </c>
      <c r="M2823">
        <v>25</v>
      </c>
      <c r="N2823">
        <v>788.08500000000004</v>
      </c>
      <c r="O2823">
        <v>0</v>
      </c>
      <c r="P28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23" t="str">
        <f>IF(Table1[[#This Row],[Fraud_Score]]&gt;=6, "High Risk",IF(Table1[[#This Row],[Fraud_Score]]&gt;=3, "Medium Risk", "Low Risk"))</f>
        <v>Low Risk</v>
      </c>
      <c r="R2823">
        <f>IF(Table1[[#This Row],[Seconds of Use]]=0,0,Table1[[#This Row],[Customer Value]]/Table1[[#This Row],[Seconds of Use]]*100)</f>
        <v>11.533513829942924</v>
      </c>
    </row>
    <row r="2824" spans="1:18" x14ac:dyDescent="0.35">
      <c r="A2824" s="3" t="s">
        <v>2845</v>
      </c>
      <c r="B2824">
        <v>26</v>
      </c>
      <c r="C2824">
        <v>1</v>
      </c>
      <c r="D2824">
        <v>35</v>
      </c>
      <c r="E2824">
        <v>0</v>
      </c>
      <c r="F2824">
        <v>1070</v>
      </c>
      <c r="G2824">
        <v>52</v>
      </c>
      <c r="H2824">
        <v>14</v>
      </c>
      <c r="I2824">
        <v>16</v>
      </c>
      <c r="J2824">
        <v>3</v>
      </c>
      <c r="K2824">
        <v>1</v>
      </c>
      <c r="L2824">
        <v>2</v>
      </c>
      <c r="M2824">
        <v>30</v>
      </c>
      <c r="N2824">
        <v>100.88</v>
      </c>
      <c r="O2824">
        <v>1</v>
      </c>
      <c r="P28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24" t="str">
        <f>IF(Table1[[#This Row],[Fraud_Score]]&gt;=6, "High Risk",IF(Table1[[#This Row],[Fraud_Score]]&gt;=3, "Medium Risk", "Low Risk"))</f>
        <v>Medium Risk</v>
      </c>
      <c r="R2824">
        <f>IF(Table1[[#This Row],[Seconds of Use]]=0,0,Table1[[#This Row],[Customer Value]]/Table1[[#This Row],[Seconds of Use]]*100)</f>
        <v>9.4280373831775695</v>
      </c>
    </row>
    <row r="2825" spans="1:18" x14ac:dyDescent="0.35">
      <c r="A2825" s="3" t="s">
        <v>2846</v>
      </c>
      <c r="B2825">
        <v>24</v>
      </c>
      <c r="C2825">
        <v>0</v>
      </c>
      <c r="D2825">
        <v>38</v>
      </c>
      <c r="E2825">
        <v>9</v>
      </c>
      <c r="F2825">
        <v>10550</v>
      </c>
      <c r="G2825">
        <v>98</v>
      </c>
      <c r="H2825">
        <v>0</v>
      </c>
      <c r="I2825">
        <v>41</v>
      </c>
      <c r="J2825">
        <v>5</v>
      </c>
      <c r="K2825">
        <v>1</v>
      </c>
      <c r="L2825">
        <v>1</v>
      </c>
      <c r="M2825">
        <v>55</v>
      </c>
      <c r="N2825">
        <v>159.72</v>
      </c>
      <c r="O2825">
        <v>0</v>
      </c>
      <c r="P28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25" t="str">
        <f>IF(Table1[[#This Row],[Fraud_Score]]&gt;=6, "High Risk",IF(Table1[[#This Row],[Fraud_Score]]&gt;=3, "Medium Risk", "Low Risk"))</f>
        <v>Low Risk</v>
      </c>
      <c r="R2825">
        <f>IF(Table1[[#This Row],[Seconds of Use]]=0,0,Table1[[#This Row],[Customer Value]]/Table1[[#This Row],[Seconds of Use]]*100)</f>
        <v>1.5139336492890996</v>
      </c>
    </row>
    <row r="2826" spans="1:18" x14ac:dyDescent="0.35">
      <c r="A2826" s="3" t="s">
        <v>2847</v>
      </c>
      <c r="B2826">
        <v>16</v>
      </c>
      <c r="C2826">
        <v>0</v>
      </c>
      <c r="D2826">
        <v>38</v>
      </c>
      <c r="E2826">
        <v>2</v>
      </c>
      <c r="F2826">
        <v>5933</v>
      </c>
      <c r="G2826">
        <v>103</v>
      </c>
      <c r="H2826">
        <v>24</v>
      </c>
      <c r="I2826">
        <v>23</v>
      </c>
      <c r="J2826">
        <v>2</v>
      </c>
      <c r="K2826">
        <v>1</v>
      </c>
      <c r="L2826">
        <v>1</v>
      </c>
      <c r="M2826">
        <v>25</v>
      </c>
      <c r="N2826">
        <v>379.62</v>
      </c>
      <c r="O2826">
        <v>0</v>
      </c>
      <c r="P28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26" t="str">
        <f>IF(Table1[[#This Row],[Fraud_Score]]&gt;=6, "High Risk",IF(Table1[[#This Row],[Fraud_Score]]&gt;=3, "Medium Risk", "Low Risk"))</f>
        <v>Low Risk</v>
      </c>
      <c r="R2826">
        <f>IF(Table1[[#This Row],[Seconds of Use]]=0,0,Table1[[#This Row],[Customer Value]]/Table1[[#This Row],[Seconds of Use]]*100)</f>
        <v>6.3984493510871401</v>
      </c>
    </row>
    <row r="2827" spans="1:18" x14ac:dyDescent="0.35">
      <c r="A2827" s="3" t="s">
        <v>2848</v>
      </c>
      <c r="B2827">
        <v>4</v>
      </c>
      <c r="C2827">
        <v>0</v>
      </c>
      <c r="D2827">
        <v>36</v>
      </c>
      <c r="E2827">
        <v>1</v>
      </c>
      <c r="F2827">
        <v>2955</v>
      </c>
      <c r="G2827">
        <v>27</v>
      </c>
      <c r="H2827">
        <v>0</v>
      </c>
      <c r="I2827">
        <v>13</v>
      </c>
      <c r="J2827">
        <v>3</v>
      </c>
      <c r="K2827">
        <v>1</v>
      </c>
      <c r="L2827">
        <v>1</v>
      </c>
      <c r="M2827">
        <v>30</v>
      </c>
      <c r="N2827">
        <v>119.28</v>
      </c>
      <c r="O2827">
        <v>0</v>
      </c>
      <c r="P28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27" t="str">
        <f>IF(Table1[[#This Row],[Fraud_Score]]&gt;=6, "High Risk",IF(Table1[[#This Row],[Fraud_Score]]&gt;=3, "Medium Risk", "Low Risk"))</f>
        <v>Low Risk</v>
      </c>
      <c r="R2827">
        <f>IF(Table1[[#This Row],[Seconds of Use]]=0,0,Table1[[#This Row],[Customer Value]]/Table1[[#This Row],[Seconds of Use]]*100)</f>
        <v>4.0365482233502537</v>
      </c>
    </row>
    <row r="2828" spans="1:18" x14ac:dyDescent="0.35">
      <c r="A2828" s="3" t="s">
        <v>2849</v>
      </c>
      <c r="B2828">
        <v>12</v>
      </c>
      <c r="C2828">
        <v>0</v>
      </c>
      <c r="D2828">
        <v>37</v>
      </c>
      <c r="E2828">
        <v>0</v>
      </c>
      <c r="F2828">
        <v>3105</v>
      </c>
      <c r="G2828">
        <v>46</v>
      </c>
      <c r="H2828">
        <v>7</v>
      </c>
      <c r="I2828">
        <v>15</v>
      </c>
      <c r="J2828">
        <v>3</v>
      </c>
      <c r="K2828">
        <v>1</v>
      </c>
      <c r="L2828">
        <v>2</v>
      </c>
      <c r="M2828">
        <v>30</v>
      </c>
      <c r="N2828">
        <v>154.04</v>
      </c>
      <c r="O2828">
        <v>1</v>
      </c>
      <c r="P28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28" t="str">
        <f>IF(Table1[[#This Row],[Fraud_Score]]&gt;=6, "High Risk",IF(Table1[[#This Row],[Fraud_Score]]&gt;=3, "Medium Risk", "Low Risk"))</f>
        <v>Medium Risk</v>
      </c>
      <c r="R2828">
        <f>IF(Table1[[#This Row],[Seconds of Use]]=0,0,Table1[[#This Row],[Customer Value]]/Table1[[#This Row],[Seconds of Use]]*100)</f>
        <v>4.9610305958132042</v>
      </c>
    </row>
    <row r="2829" spans="1:18" x14ac:dyDescent="0.35">
      <c r="A2829" s="3" t="s">
        <v>2850</v>
      </c>
      <c r="B2829">
        <v>12</v>
      </c>
      <c r="C2829">
        <v>0</v>
      </c>
      <c r="D2829">
        <v>38</v>
      </c>
      <c r="E2829">
        <v>0</v>
      </c>
      <c r="F2829">
        <v>2383</v>
      </c>
      <c r="G2829">
        <v>49</v>
      </c>
      <c r="H2829">
        <v>32</v>
      </c>
      <c r="I2829">
        <v>30</v>
      </c>
      <c r="J2829">
        <v>4</v>
      </c>
      <c r="K2829">
        <v>1</v>
      </c>
      <c r="L2829">
        <v>2</v>
      </c>
      <c r="M2829">
        <v>45</v>
      </c>
      <c r="N2829">
        <v>140.80000000000001</v>
      </c>
      <c r="O2829">
        <v>1</v>
      </c>
      <c r="P28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29" t="str">
        <f>IF(Table1[[#This Row],[Fraud_Score]]&gt;=6, "High Risk",IF(Table1[[#This Row],[Fraud_Score]]&gt;=3, "Medium Risk", "Low Risk"))</f>
        <v>Medium Risk</v>
      </c>
      <c r="R2829">
        <f>IF(Table1[[#This Row],[Seconds of Use]]=0,0,Table1[[#This Row],[Customer Value]]/Table1[[#This Row],[Seconds of Use]]*100)</f>
        <v>5.9085186739404119</v>
      </c>
    </row>
    <row r="2830" spans="1:18" x14ac:dyDescent="0.35">
      <c r="A2830" s="3" t="s">
        <v>2851</v>
      </c>
      <c r="B2830">
        <v>3</v>
      </c>
      <c r="C2830">
        <v>0</v>
      </c>
      <c r="D2830">
        <v>38</v>
      </c>
      <c r="E2830">
        <v>0</v>
      </c>
      <c r="F2830">
        <v>248</v>
      </c>
      <c r="G2830">
        <v>7</v>
      </c>
      <c r="H2830">
        <v>0</v>
      </c>
      <c r="I2830">
        <v>1</v>
      </c>
      <c r="J2830">
        <v>3</v>
      </c>
      <c r="K2830">
        <v>1</v>
      </c>
      <c r="L2830">
        <v>2</v>
      </c>
      <c r="M2830">
        <v>30</v>
      </c>
      <c r="N2830">
        <v>10.199999999999999</v>
      </c>
      <c r="O2830">
        <v>1</v>
      </c>
      <c r="P28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30" t="str">
        <f>IF(Table1[[#This Row],[Fraud_Score]]&gt;=6, "High Risk",IF(Table1[[#This Row],[Fraud_Score]]&gt;=3, "Medium Risk", "Low Risk"))</f>
        <v>Low Risk</v>
      </c>
      <c r="R2830">
        <f>IF(Table1[[#This Row],[Seconds of Use]]=0,0,Table1[[#This Row],[Customer Value]]/Table1[[#This Row],[Seconds of Use]]*100)</f>
        <v>4.1129032258064511</v>
      </c>
    </row>
    <row r="2831" spans="1:18" x14ac:dyDescent="0.35">
      <c r="A2831" s="3" t="s">
        <v>2852</v>
      </c>
      <c r="B2831">
        <v>4</v>
      </c>
      <c r="C2831">
        <v>0</v>
      </c>
      <c r="D2831">
        <v>38</v>
      </c>
      <c r="E2831">
        <v>1</v>
      </c>
      <c r="F2831">
        <v>1783</v>
      </c>
      <c r="G2831">
        <v>30</v>
      </c>
      <c r="H2831">
        <v>0</v>
      </c>
      <c r="I2831">
        <v>5</v>
      </c>
      <c r="J2831">
        <v>4</v>
      </c>
      <c r="K2831">
        <v>1</v>
      </c>
      <c r="L2831">
        <v>1</v>
      </c>
      <c r="M2831">
        <v>45</v>
      </c>
      <c r="N2831">
        <v>45.325000000000003</v>
      </c>
      <c r="O2831">
        <v>0</v>
      </c>
      <c r="P28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31" t="str">
        <f>IF(Table1[[#This Row],[Fraud_Score]]&gt;=6, "High Risk",IF(Table1[[#This Row],[Fraud_Score]]&gt;=3, "Medium Risk", "Low Risk"))</f>
        <v>Low Risk</v>
      </c>
      <c r="R2831">
        <f>IF(Table1[[#This Row],[Seconds of Use]]=0,0,Table1[[#This Row],[Customer Value]]/Table1[[#This Row],[Seconds of Use]]*100)</f>
        <v>2.5420639371845204</v>
      </c>
    </row>
    <row r="2832" spans="1:18" x14ac:dyDescent="0.35">
      <c r="A2832" s="3" t="s">
        <v>2853</v>
      </c>
      <c r="B2832">
        <v>6</v>
      </c>
      <c r="C2832">
        <v>0</v>
      </c>
      <c r="D2832">
        <v>35</v>
      </c>
      <c r="E2832">
        <v>2</v>
      </c>
      <c r="F2832">
        <v>6900</v>
      </c>
      <c r="G2832">
        <v>102</v>
      </c>
      <c r="H2832">
        <v>12</v>
      </c>
      <c r="I2832">
        <v>21</v>
      </c>
      <c r="J2832">
        <v>5</v>
      </c>
      <c r="K2832">
        <v>1</v>
      </c>
      <c r="L2832">
        <v>1</v>
      </c>
      <c r="M2832">
        <v>55</v>
      </c>
      <c r="N2832">
        <v>123.03</v>
      </c>
      <c r="O2832">
        <v>0</v>
      </c>
      <c r="P28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32" t="str">
        <f>IF(Table1[[#This Row],[Fraud_Score]]&gt;=6, "High Risk",IF(Table1[[#This Row],[Fraud_Score]]&gt;=3, "Medium Risk", "Low Risk"))</f>
        <v>Low Risk</v>
      </c>
      <c r="R2832">
        <f>IF(Table1[[#This Row],[Seconds of Use]]=0,0,Table1[[#This Row],[Customer Value]]/Table1[[#This Row],[Seconds of Use]]*100)</f>
        <v>1.7830434782608695</v>
      </c>
    </row>
    <row r="2833" spans="1:18" x14ac:dyDescent="0.35">
      <c r="A2833" s="3" t="s">
        <v>2854</v>
      </c>
      <c r="B2833">
        <v>3</v>
      </c>
      <c r="C2833">
        <v>0</v>
      </c>
      <c r="D2833">
        <v>38</v>
      </c>
      <c r="E2833">
        <v>0</v>
      </c>
      <c r="F2833">
        <v>743</v>
      </c>
      <c r="G2833">
        <v>12</v>
      </c>
      <c r="H2833">
        <v>7</v>
      </c>
      <c r="I2833">
        <v>3</v>
      </c>
      <c r="J2833">
        <v>4</v>
      </c>
      <c r="K2833">
        <v>1</v>
      </c>
      <c r="L2833">
        <v>2</v>
      </c>
      <c r="M2833">
        <v>45</v>
      </c>
      <c r="N2833">
        <v>36.375</v>
      </c>
      <c r="O2833">
        <v>1</v>
      </c>
      <c r="P28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33" t="str">
        <f>IF(Table1[[#This Row],[Fraud_Score]]&gt;=6, "High Risk",IF(Table1[[#This Row],[Fraud_Score]]&gt;=3, "Medium Risk", "Low Risk"))</f>
        <v>Low Risk</v>
      </c>
      <c r="R2833">
        <f>IF(Table1[[#This Row],[Seconds of Use]]=0,0,Table1[[#This Row],[Customer Value]]/Table1[[#This Row],[Seconds of Use]]*100)</f>
        <v>4.8956931359353977</v>
      </c>
    </row>
    <row r="2834" spans="1:18" x14ac:dyDescent="0.35">
      <c r="A2834" s="3" t="s">
        <v>2855</v>
      </c>
      <c r="B2834">
        <v>3</v>
      </c>
      <c r="C2834">
        <v>0</v>
      </c>
      <c r="D2834">
        <v>38</v>
      </c>
      <c r="E2834">
        <v>2</v>
      </c>
      <c r="F2834">
        <v>453</v>
      </c>
      <c r="G2834">
        <v>9</v>
      </c>
      <c r="H2834">
        <v>2</v>
      </c>
      <c r="I2834">
        <v>1</v>
      </c>
      <c r="J2834">
        <v>5</v>
      </c>
      <c r="K2834">
        <v>1</v>
      </c>
      <c r="L2834">
        <v>1</v>
      </c>
      <c r="M2834">
        <v>55</v>
      </c>
      <c r="N2834">
        <v>9.93</v>
      </c>
      <c r="O2834">
        <v>0</v>
      </c>
      <c r="P28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34" t="str">
        <f>IF(Table1[[#This Row],[Fraud_Score]]&gt;=6, "High Risk",IF(Table1[[#This Row],[Fraud_Score]]&gt;=3, "Medium Risk", "Low Risk"))</f>
        <v>Low Risk</v>
      </c>
      <c r="R2834">
        <f>IF(Table1[[#This Row],[Seconds of Use]]=0,0,Table1[[#This Row],[Customer Value]]/Table1[[#This Row],[Seconds of Use]]*100)</f>
        <v>2.1920529801324506</v>
      </c>
    </row>
    <row r="2835" spans="1:18" x14ac:dyDescent="0.35">
      <c r="A2835" s="3" t="s">
        <v>2856</v>
      </c>
      <c r="B2835">
        <v>28</v>
      </c>
      <c r="C2835">
        <v>0</v>
      </c>
      <c r="D2835">
        <v>33</v>
      </c>
      <c r="E2835">
        <v>4</v>
      </c>
      <c r="F2835">
        <v>16190</v>
      </c>
      <c r="G2835">
        <v>243</v>
      </c>
      <c r="H2835">
        <v>0</v>
      </c>
      <c r="I2835">
        <v>79</v>
      </c>
      <c r="J2835">
        <v>2</v>
      </c>
      <c r="K2835">
        <v>2</v>
      </c>
      <c r="L2835">
        <v>1</v>
      </c>
      <c r="M2835">
        <v>25</v>
      </c>
      <c r="N2835">
        <v>739.48500000000001</v>
      </c>
      <c r="O2835">
        <v>0</v>
      </c>
      <c r="P28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35" t="str">
        <f>IF(Table1[[#This Row],[Fraud_Score]]&gt;=6, "High Risk",IF(Table1[[#This Row],[Fraud_Score]]&gt;=3, "Medium Risk", "Low Risk"))</f>
        <v>Medium Risk</v>
      </c>
      <c r="R2835">
        <f>IF(Table1[[#This Row],[Seconds of Use]]=0,0,Table1[[#This Row],[Customer Value]]/Table1[[#This Row],[Seconds of Use]]*100)</f>
        <v>4.5675416924027177</v>
      </c>
    </row>
    <row r="2836" spans="1:18" x14ac:dyDescent="0.35">
      <c r="A2836" s="3" t="s">
        <v>2857</v>
      </c>
      <c r="B2836">
        <v>9</v>
      </c>
      <c r="C2836">
        <v>0</v>
      </c>
      <c r="D2836">
        <v>36</v>
      </c>
      <c r="E2836">
        <v>4</v>
      </c>
      <c r="F2836">
        <v>7080</v>
      </c>
      <c r="G2836">
        <v>121</v>
      </c>
      <c r="H2836">
        <v>269</v>
      </c>
      <c r="I2836">
        <v>32</v>
      </c>
      <c r="J2836">
        <v>3</v>
      </c>
      <c r="K2836">
        <v>2</v>
      </c>
      <c r="L2836">
        <v>1</v>
      </c>
      <c r="M2836">
        <v>30</v>
      </c>
      <c r="N2836">
        <v>1364.04</v>
      </c>
      <c r="O2836">
        <v>0</v>
      </c>
      <c r="P28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36" t="str">
        <f>IF(Table1[[#This Row],[Fraud_Score]]&gt;=6, "High Risk",IF(Table1[[#This Row],[Fraud_Score]]&gt;=3, "Medium Risk", "Low Risk"))</f>
        <v>Low Risk</v>
      </c>
      <c r="R2836">
        <f>IF(Table1[[#This Row],[Seconds of Use]]=0,0,Table1[[#This Row],[Customer Value]]/Table1[[#This Row],[Seconds of Use]]*100)</f>
        <v>19.266101694915253</v>
      </c>
    </row>
    <row r="2837" spans="1:18" x14ac:dyDescent="0.35">
      <c r="A2837" s="3" t="s">
        <v>2858</v>
      </c>
      <c r="B2837">
        <v>5</v>
      </c>
      <c r="C2837">
        <v>0</v>
      </c>
      <c r="D2837">
        <v>38</v>
      </c>
      <c r="E2837">
        <v>1</v>
      </c>
      <c r="F2837">
        <v>3833</v>
      </c>
      <c r="G2837">
        <v>87</v>
      </c>
      <c r="H2837">
        <v>0</v>
      </c>
      <c r="I2837">
        <v>27</v>
      </c>
      <c r="J2837">
        <v>3</v>
      </c>
      <c r="K2837">
        <v>1</v>
      </c>
      <c r="L2837">
        <v>1</v>
      </c>
      <c r="M2837">
        <v>30</v>
      </c>
      <c r="N2837">
        <v>156.80000000000001</v>
      </c>
      <c r="O2837">
        <v>0</v>
      </c>
      <c r="P28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37" t="str">
        <f>IF(Table1[[#This Row],[Fraud_Score]]&gt;=6, "High Risk",IF(Table1[[#This Row],[Fraud_Score]]&gt;=3, "Medium Risk", "Low Risk"))</f>
        <v>Low Risk</v>
      </c>
      <c r="R2837">
        <f>IF(Table1[[#This Row],[Seconds of Use]]=0,0,Table1[[#This Row],[Customer Value]]/Table1[[#This Row],[Seconds of Use]]*100)</f>
        <v>4.0907905035220455</v>
      </c>
    </row>
    <row r="2838" spans="1:18" x14ac:dyDescent="0.35">
      <c r="A2838" s="3" t="s">
        <v>2859</v>
      </c>
      <c r="B2838">
        <v>6</v>
      </c>
      <c r="C2838">
        <v>0</v>
      </c>
      <c r="D2838">
        <v>37</v>
      </c>
      <c r="E2838">
        <v>0</v>
      </c>
      <c r="F2838">
        <v>1780</v>
      </c>
      <c r="G2838">
        <v>49</v>
      </c>
      <c r="H2838">
        <v>36</v>
      </c>
      <c r="I2838">
        <v>19</v>
      </c>
      <c r="J2838">
        <v>3</v>
      </c>
      <c r="K2838">
        <v>1</v>
      </c>
      <c r="L2838">
        <v>2</v>
      </c>
      <c r="M2838">
        <v>30</v>
      </c>
      <c r="N2838">
        <v>217.16</v>
      </c>
      <c r="O2838">
        <v>0</v>
      </c>
      <c r="P28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38" t="str">
        <f>IF(Table1[[#This Row],[Fraud_Score]]&gt;=6, "High Risk",IF(Table1[[#This Row],[Fraud_Score]]&gt;=3, "Medium Risk", "Low Risk"))</f>
        <v>Low Risk</v>
      </c>
      <c r="R2838">
        <f>IF(Table1[[#This Row],[Seconds of Use]]=0,0,Table1[[#This Row],[Customer Value]]/Table1[[#This Row],[Seconds of Use]]*100)</f>
        <v>12.2</v>
      </c>
    </row>
    <row r="2839" spans="1:18" x14ac:dyDescent="0.35">
      <c r="A2839" s="3" t="s">
        <v>2860</v>
      </c>
      <c r="B2839">
        <v>9</v>
      </c>
      <c r="C2839">
        <v>0</v>
      </c>
      <c r="D2839">
        <v>38</v>
      </c>
      <c r="E2839">
        <v>1</v>
      </c>
      <c r="F2839">
        <v>2895</v>
      </c>
      <c r="G2839">
        <v>58</v>
      </c>
      <c r="H2839">
        <v>173</v>
      </c>
      <c r="I2839">
        <v>22</v>
      </c>
      <c r="J2839">
        <v>2</v>
      </c>
      <c r="K2839">
        <v>1</v>
      </c>
      <c r="L2839">
        <v>1</v>
      </c>
      <c r="M2839">
        <v>25</v>
      </c>
      <c r="N2839">
        <v>911.38499999999999</v>
      </c>
      <c r="O2839">
        <v>0</v>
      </c>
      <c r="P28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39" t="str">
        <f>IF(Table1[[#This Row],[Fraud_Score]]&gt;=6, "High Risk",IF(Table1[[#This Row],[Fraud_Score]]&gt;=3, "Medium Risk", "Low Risk"))</f>
        <v>Low Risk</v>
      </c>
      <c r="R2839">
        <f>IF(Table1[[#This Row],[Seconds of Use]]=0,0,Table1[[#This Row],[Customer Value]]/Table1[[#This Row],[Seconds of Use]]*100)</f>
        <v>31.481347150259065</v>
      </c>
    </row>
    <row r="2840" spans="1:18" x14ac:dyDescent="0.35">
      <c r="A2840" s="3" t="s">
        <v>2861</v>
      </c>
      <c r="B2840">
        <v>7</v>
      </c>
      <c r="C2840">
        <v>0</v>
      </c>
      <c r="D2840">
        <v>29</v>
      </c>
      <c r="E2840">
        <v>2</v>
      </c>
      <c r="F2840">
        <v>1430</v>
      </c>
      <c r="G2840">
        <v>41</v>
      </c>
      <c r="H2840">
        <v>191</v>
      </c>
      <c r="I2840">
        <v>10</v>
      </c>
      <c r="J2840">
        <v>3</v>
      </c>
      <c r="K2840">
        <v>2</v>
      </c>
      <c r="L2840">
        <v>1</v>
      </c>
      <c r="M2840">
        <v>30</v>
      </c>
      <c r="N2840">
        <v>822.84</v>
      </c>
      <c r="O2840">
        <v>0</v>
      </c>
      <c r="P28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40" t="str">
        <f>IF(Table1[[#This Row],[Fraud_Score]]&gt;=6, "High Risk",IF(Table1[[#This Row],[Fraud_Score]]&gt;=3, "Medium Risk", "Low Risk"))</f>
        <v>Low Risk</v>
      </c>
      <c r="R2840">
        <f>IF(Table1[[#This Row],[Seconds of Use]]=0,0,Table1[[#This Row],[Customer Value]]/Table1[[#This Row],[Seconds of Use]]*100)</f>
        <v>57.541258741258737</v>
      </c>
    </row>
    <row r="2841" spans="1:18" x14ac:dyDescent="0.35">
      <c r="A2841" s="3" t="s">
        <v>2862</v>
      </c>
      <c r="B2841">
        <v>7</v>
      </c>
      <c r="C2841">
        <v>0</v>
      </c>
      <c r="D2841">
        <v>28</v>
      </c>
      <c r="E2841">
        <v>1</v>
      </c>
      <c r="F2841">
        <v>1683</v>
      </c>
      <c r="G2841">
        <v>44</v>
      </c>
      <c r="H2841">
        <v>28</v>
      </c>
      <c r="I2841">
        <v>67</v>
      </c>
      <c r="J2841">
        <v>5</v>
      </c>
      <c r="K2841">
        <v>1</v>
      </c>
      <c r="L2841">
        <v>1</v>
      </c>
      <c r="M2841">
        <v>55</v>
      </c>
      <c r="N2841">
        <v>67.905000000000001</v>
      </c>
      <c r="O2841">
        <v>0</v>
      </c>
      <c r="P28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41" t="str">
        <f>IF(Table1[[#This Row],[Fraud_Score]]&gt;=6, "High Risk",IF(Table1[[#This Row],[Fraud_Score]]&gt;=3, "Medium Risk", "Low Risk"))</f>
        <v>Low Risk</v>
      </c>
      <c r="R2841">
        <f>IF(Table1[[#This Row],[Seconds of Use]]=0,0,Table1[[#This Row],[Customer Value]]/Table1[[#This Row],[Seconds of Use]]*100)</f>
        <v>4.0347593582887704</v>
      </c>
    </row>
    <row r="2842" spans="1:18" x14ac:dyDescent="0.35">
      <c r="A2842" s="3" t="s">
        <v>2863</v>
      </c>
      <c r="B2842">
        <v>14</v>
      </c>
      <c r="C2842">
        <v>0</v>
      </c>
      <c r="D2842">
        <v>29</v>
      </c>
      <c r="E2842">
        <v>0</v>
      </c>
      <c r="F2842">
        <v>815</v>
      </c>
      <c r="G2842">
        <v>30</v>
      </c>
      <c r="H2842">
        <v>8</v>
      </c>
      <c r="I2842">
        <v>6</v>
      </c>
      <c r="J2842">
        <v>3</v>
      </c>
      <c r="K2842">
        <v>1</v>
      </c>
      <c r="L2842">
        <v>2</v>
      </c>
      <c r="M2842">
        <v>30</v>
      </c>
      <c r="N2842">
        <v>65.8</v>
      </c>
      <c r="O2842">
        <v>0</v>
      </c>
      <c r="P28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42" t="str">
        <f>IF(Table1[[#This Row],[Fraud_Score]]&gt;=6, "High Risk",IF(Table1[[#This Row],[Fraud_Score]]&gt;=3, "Medium Risk", "Low Risk"))</f>
        <v>Medium Risk</v>
      </c>
      <c r="R2842">
        <f>IF(Table1[[#This Row],[Seconds of Use]]=0,0,Table1[[#This Row],[Customer Value]]/Table1[[#This Row],[Seconds of Use]]*100)</f>
        <v>8.0736196319018401</v>
      </c>
    </row>
    <row r="2843" spans="1:18" x14ac:dyDescent="0.35">
      <c r="A2843" s="3" t="s">
        <v>2864</v>
      </c>
      <c r="B2843">
        <v>3</v>
      </c>
      <c r="C2843">
        <v>0</v>
      </c>
      <c r="D2843">
        <v>28</v>
      </c>
      <c r="E2843">
        <v>0</v>
      </c>
      <c r="F2843">
        <v>940</v>
      </c>
      <c r="G2843">
        <v>15</v>
      </c>
      <c r="H2843">
        <v>19</v>
      </c>
      <c r="I2843">
        <v>2</v>
      </c>
      <c r="J2843">
        <v>4</v>
      </c>
      <c r="K2843">
        <v>1</v>
      </c>
      <c r="L2843">
        <v>2</v>
      </c>
      <c r="M2843">
        <v>45</v>
      </c>
      <c r="N2843">
        <v>71.375</v>
      </c>
      <c r="O2843">
        <v>0</v>
      </c>
      <c r="P28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43" t="str">
        <f>IF(Table1[[#This Row],[Fraud_Score]]&gt;=6, "High Risk",IF(Table1[[#This Row],[Fraud_Score]]&gt;=3, "Medium Risk", "Low Risk"))</f>
        <v>Low Risk</v>
      </c>
      <c r="R2843">
        <f>IF(Table1[[#This Row],[Seconds of Use]]=0,0,Table1[[#This Row],[Customer Value]]/Table1[[#This Row],[Seconds of Use]]*100)</f>
        <v>7.5930851063829783</v>
      </c>
    </row>
    <row r="2844" spans="1:18" x14ac:dyDescent="0.35">
      <c r="A2844" s="3" t="s">
        <v>2865</v>
      </c>
      <c r="B2844">
        <v>13</v>
      </c>
      <c r="C2844">
        <v>0</v>
      </c>
      <c r="D2844">
        <v>27</v>
      </c>
      <c r="E2844">
        <v>1</v>
      </c>
      <c r="F2844">
        <v>1340</v>
      </c>
      <c r="G2844">
        <v>37</v>
      </c>
      <c r="H2844">
        <v>17</v>
      </c>
      <c r="I2844">
        <v>12</v>
      </c>
      <c r="J2844">
        <v>2</v>
      </c>
      <c r="K2844">
        <v>1</v>
      </c>
      <c r="L2844">
        <v>1</v>
      </c>
      <c r="M2844">
        <v>25</v>
      </c>
      <c r="N2844">
        <v>138.465</v>
      </c>
      <c r="O2844">
        <v>0</v>
      </c>
      <c r="P28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44" t="str">
        <f>IF(Table1[[#This Row],[Fraud_Score]]&gt;=6, "High Risk",IF(Table1[[#This Row],[Fraud_Score]]&gt;=3, "Medium Risk", "Low Risk"))</f>
        <v>Low Risk</v>
      </c>
      <c r="R2844">
        <f>IF(Table1[[#This Row],[Seconds of Use]]=0,0,Table1[[#This Row],[Customer Value]]/Table1[[#This Row],[Seconds of Use]]*100)</f>
        <v>10.333208955223881</v>
      </c>
    </row>
    <row r="2845" spans="1:18" x14ac:dyDescent="0.35">
      <c r="A2845" s="3" t="s">
        <v>2866</v>
      </c>
      <c r="B2845">
        <v>5</v>
      </c>
      <c r="C2845">
        <v>0</v>
      </c>
      <c r="D2845">
        <v>27</v>
      </c>
      <c r="E2845">
        <v>1</v>
      </c>
      <c r="F2845">
        <v>3340</v>
      </c>
      <c r="G2845">
        <v>66</v>
      </c>
      <c r="H2845">
        <v>6</v>
      </c>
      <c r="I2845">
        <v>22</v>
      </c>
      <c r="J2845">
        <v>3</v>
      </c>
      <c r="K2845">
        <v>1</v>
      </c>
      <c r="L2845">
        <v>1</v>
      </c>
      <c r="M2845">
        <v>30</v>
      </c>
      <c r="N2845">
        <v>160.24</v>
      </c>
      <c r="O2845">
        <v>0</v>
      </c>
      <c r="P28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45" t="str">
        <f>IF(Table1[[#This Row],[Fraud_Score]]&gt;=6, "High Risk",IF(Table1[[#This Row],[Fraud_Score]]&gt;=3, "Medium Risk", "Low Risk"))</f>
        <v>Low Risk</v>
      </c>
      <c r="R2845">
        <f>IF(Table1[[#This Row],[Seconds of Use]]=0,0,Table1[[#This Row],[Customer Value]]/Table1[[#This Row],[Seconds of Use]]*100)</f>
        <v>4.7976047904191619</v>
      </c>
    </row>
    <row r="2846" spans="1:18" x14ac:dyDescent="0.35">
      <c r="A2846" s="3" t="s">
        <v>2867</v>
      </c>
      <c r="B2846">
        <v>5</v>
      </c>
      <c r="C2846">
        <v>0</v>
      </c>
      <c r="D2846">
        <v>20</v>
      </c>
      <c r="E2846">
        <v>1</v>
      </c>
      <c r="F2846">
        <v>1810</v>
      </c>
      <c r="G2846">
        <v>31</v>
      </c>
      <c r="H2846">
        <v>26</v>
      </c>
      <c r="I2846">
        <v>13</v>
      </c>
      <c r="J2846">
        <v>3</v>
      </c>
      <c r="K2846">
        <v>1</v>
      </c>
      <c r="L2846">
        <v>1</v>
      </c>
      <c r="M2846">
        <v>30</v>
      </c>
      <c r="N2846">
        <v>177.64</v>
      </c>
      <c r="O2846">
        <v>0</v>
      </c>
      <c r="P28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46" t="str">
        <f>IF(Table1[[#This Row],[Fraud_Score]]&gt;=6, "High Risk",IF(Table1[[#This Row],[Fraud_Score]]&gt;=3, "Medium Risk", "Low Risk"))</f>
        <v>Low Risk</v>
      </c>
      <c r="R2846">
        <f>IF(Table1[[#This Row],[Seconds of Use]]=0,0,Table1[[#This Row],[Customer Value]]/Table1[[#This Row],[Seconds of Use]]*100)</f>
        <v>9.8143646408839764</v>
      </c>
    </row>
    <row r="2847" spans="1:18" x14ac:dyDescent="0.35">
      <c r="A2847" s="3" t="s">
        <v>2868</v>
      </c>
      <c r="B2847">
        <v>19</v>
      </c>
      <c r="C2847">
        <v>0</v>
      </c>
      <c r="D2847">
        <v>19</v>
      </c>
      <c r="E2847">
        <v>2</v>
      </c>
      <c r="F2847">
        <v>6507</v>
      </c>
      <c r="G2847">
        <v>146</v>
      </c>
      <c r="H2847">
        <v>83</v>
      </c>
      <c r="I2847">
        <v>41</v>
      </c>
      <c r="J2847">
        <v>2</v>
      </c>
      <c r="K2847">
        <v>2</v>
      </c>
      <c r="L2847">
        <v>1</v>
      </c>
      <c r="M2847">
        <v>25</v>
      </c>
      <c r="N2847">
        <v>672.88499999999999</v>
      </c>
      <c r="O2847">
        <v>0</v>
      </c>
      <c r="P28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847" t="str">
        <f>IF(Table1[[#This Row],[Fraud_Score]]&gt;=6, "High Risk",IF(Table1[[#This Row],[Fraud_Score]]&gt;=3, "Medium Risk", "Low Risk"))</f>
        <v>Medium Risk</v>
      </c>
      <c r="R2847">
        <f>IF(Table1[[#This Row],[Seconds of Use]]=0,0,Table1[[#This Row],[Customer Value]]/Table1[[#This Row],[Seconds of Use]]*100)</f>
        <v>10.340940525587829</v>
      </c>
    </row>
    <row r="2848" spans="1:18" x14ac:dyDescent="0.35">
      <c r="A2848" s="3" t="s">
        <v>2869</v>
      </c>
      <c r="B2848">
        <v>15</v>
      </c>
      <c r="C2848">
        <v>0</v>
      </c>
      <c r="D2848">
        <v>17</v>
      </c>
      <c r="E2848">
        <v>1</v>
      </c>
      <c r="F2848">
        <v>9047</v>
      </c>
      <c r="G2848">
        <v>176</v>
      </c>
      <c r="H2848">
        <v>71</v>
      </c>
      <c r="I2848">
        <v>39</v>
      </c>
      <c r="J2848">
        <v>5</v>
      </c>
      <c r="K2848">
        <v>1</v>
      </c>
      <c r="L2848">
        <v>1</v>
      </c>
      <c r="M2848">
        <v>55</v>
      </c>
      <c r="N2848">
        <v>244.845</v>
      </c>
      <c r="O2848">
        <v>0</v>
      </c>
      <c r="P28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848" t="str">
        <f>IF(Table1[[#This Row],[Fraud_Score]]&gt;=6, "High Risk",IF(Table1[[#This Row],[Fraud_Score]]&gt;=3, "Medium Risk", "Low Risk"))</f>
        <v>Medium Risk</v>
      </c>
      <c r="R2848">
        <f>IF(Table1[[#This Row],[Seconds of Use]]=0,0,Table1[[#This Row],[Customer Value]]/Table1[[#This Row],[Seconds of Use]]*100)</f>
        <v>2.7063667514093068</v>
      </c>
    </row>
    <row r="2849" spans="1:18" x14ac:dyDescent="0.35">
      <c r="A2849" s="3" t="s">
        <v>2870</v>
      </c>
      <c r="B2849">
        <v>11</v>
      </c>
      <c r="C2849">
        <v>0</v>
      </c>
      <c r="D2849">
        <v>18</v>
      </c>
      <c r="E2849">
        <v>4</v>
      </c>
      <c r="F2849">
        <v>2967</v>
      </c>
      <c r="G2849">
        <v>50</v>
      </c>
      <c r="H2849">
        <v>29</v>
      </c>
      <c r="I2849">
        <v>18</v>
      </c>
      <c r="J2849">
        <v>3</v>
      </c>
      <c r="K2849">
        <v>1</v>
      </c>
      <c r="L2849">
        <v>1</v>
      </c>
      <c r="M2849">
        <v>30</v>
      </c>
      <c r="N2849">
        <v>236.68</v>
      </c>
      <c r="O2849">
        <v>0</v>
      </c>
      <c r="P28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49" t="str">
        <f>IF(Table1[[#This Row],[Fraud_Score]]&gt;=6, "High Risk",IF(Table1[[#This Row],[Fraud_Score]]&gt;=3, "Medium Risk", "Low Risk"))</f>
        <v>Low Risk</v>
      </c>
      <c r="R2849">
        <f>IF(Table1[[#This Row],[Seconds of Use]]=0,0,Table1[[#This Row],[Customer Value]]/Table1[[#This Row],[Seconds of Use]]*100)</f>
        <v>7.9770812268284459</v>
      </c>
    </row>
    <row r="2850" spans="1:18" x14ac:dyDescent="0.35">
      <c r="A2850" s="3" t="s">
        <v>2871</v>
      </c>
      <c r="B2850">
        <v>5</v>
      </c>
      <c r="C2850">
        <v>0</v>
      </c>
      <c r="D2850">
        <v>11</v>
      </c>
      <c r="E2850">
        <v>2</v>
      </c>
      <c r="F2850">
        <v>4505</v>
      </c>
      <c r="G2850">
        <v>45</v>
      </c>
      <c r="H2850">
        <v>213</v>
      </c>
      <c r="I2850">
        <v>9</v>
      </c>
      <c r="J2850">
        <v>3</v>
      </c>
      <c r="K2850">
        <v>1</v>
      </c>
      <c r="L2850">
        <v>1</v>
      </c>
      <c r="M2850">
        <v>30</v>
      </c>
      <c r="N2850">
        <v>1034</v>
      </c>
      <c r="O2850">
        <v>0</v>
      </c>
      <c r="P28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50" t="str">
        <f>IF(Table1[[#This Row],[Fraud_Score]]&gt;=6, "High Risk",IF(Table1[[#This Row],[Fraud_Score]]&gt;=3, "Medium Risk", "Low Risk"))</f>
        <v>Low Risk</v>
      </c>
      <c r="R2850">
        <f>IF(Table1[[#This Row],[Seconds of Use]]=0,0,Table1[[#This Row],[Customer Value]]/Table1[[#This Row],[Seconds of Use]]*100)</f>
        <v>22.952275249722533</v>
      </c>
    </row>
    <row r="2851" spans="1:18" x14ac:dyDescent="0.35">
      <c r="A2851" s="3" t="s">
        <v>2872</v>
      </c>
      <c r="B2851">
        <v>6</v>
      </c>
      <c r="C2851">
        <v>1</v>
      </c>
      <c r="D2851">
        <v>11</v>
      </c>
      <c r="E2851">
        <v>2</v>
      </c>
      <c r="F2851">
        <v>1602</v>
      </c>
      <c r="G2851">
        <v>24</v>
      </c>
      <c r="H2851">
        <v>0</v>
      </c>
      <c r="I2851">
        <v>6</v>
      </c>
      <c r="J2851">
        <v>3</v>
      </c>
      <c r="K2851">
        <v>1</v>
      </c>
      <c r="L2851">
        <v>1</v>
      </c>
      <c r="M2851">
        <v>30</v>
      </c>
      <c r="N2851">
        <v>65.040000000000006</v>
      </c>
      <c r="O2851">
        <v>1</v>
      </c>
      <c r="P28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51" t="str">
        <f>IF(Table1[[#This Row],[Fraud_Score]]&gt;=6, "High Risk",IF(Table1[[#This Row],[Fraud_Score]]&gt;=3, "Medium Risk", "Low Risk"))</f>
        <v>Low Risk</v>
      </c>
      <c r="R2851">
        <f>IF(Table1[[#This Row],[Seconds of Use]]=0,0,Table1[[#This Row],[Customer Value]]/Table1[[#This Row],[Seconds of Use]]*100)</f>
        <v>4.0599250936329589</v>
      </c>
    </row>
    <row r="2852" spans="1:18" x14ac:dyDescent="0.35">
      <c r="A2852" s="3" t="s">
        <v>2873</v>
      </c>
      <c r="B2852">
        <v>11</v>
      </c>
      <c r="C2852">
        <v>0</v>
      </c>
      <c r="D2852">
        <v>35</v>
      </c>
      <c r="E2852">
        <v>0</v>
      </c>
      <c r="F2852">
        <v>4675</v>
      </c>
      <c r="G2852">
        <v>71</v>
      </c>
      <c r="H2852">
        <v>4</v>
      </c>
      <c r="I2852">
        <v>18</v>
      </c>
      <c r="J2852">
        <v>2</v>
      </c>
      <c r="K2852">
        <v>1</v>
      </c>
      <c r="L2852">
        <v>1</v>
      </c>
      <c r="M2852">
        <v>25</v>
      </c>
      <c r="N2852">
        <v>231.57</v>
      </c>
      <c r="O2852">
        <v>0</v>
      </c>
      <c r="P28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52" t="str">
        <f>IF(Table1[[#This Row],[Fraud_Score]]&gt;=6, "High Risk",IF(Table1[[#This Row],[Fraud_Score]]&gt;=3, "Medium Risk", "Low Risk"))</f>
        <v>Medium Risk</v>
      </c>
      <c r="R2852">
        <f>IF(Table1[[#This Row],[Seconds of Use]]=0,0,Table1[[#This Row],[Customer Value]]/Table1[[#This Row],[Seconds of Use]]*100)</f>
        <v>4.953368983957219</v>
      </c>
    </row>
    <row r="2853" spans="1:18" x14ac:dyDescent="0.35">
      <c r="A2853" s="3" t="s">
        <v>2874</v>
      </c>
      <c r="B2853">
        <v>3</v>
      </c>
      <c r="C2853">
        <v>0</v>
      </c>
      <c r="D2853">
        <v>36</v>
      </c>
      <c r="E2853">
        <v>0</v>
      </c>
      <c r="F2853">
        <v>623</v>
      </c>
      <c r="G2853">
        <v>5</v>
      </c>
      <c r="H2853">
        <v>6</v>
      </c>
      <c r="I2853">
        <v>5</v>
      </c>
      <c r="J2853">
        <v>2</v>
      </c>
      <c r="K2853">
        <v>1</v>
      </c>
      <c r="L2853">
        <v>2</v>
      </c>
      <c r="M2853">
        <v>25</v>
      </c>
      <c r="N2853">
        <v>55.26</v>
      </c>
      <c r="O2853">
        <v>0</v>
      </c>
      <c r="P28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53" t="str">
        <f>IF(Table1[[#This Row],[Fraud_Score]]&gt;=6, "High Risk",IF(Table1[[#This Row],[Fraud_Score]]&gt;=3, "Medium Risk", "Low Risk"))</f>
        <v>Low Risk</v>
      </c>
      <c r="R2853">
        <f>IF(Table1[[#This Row],[Seconds of Use]]=0,0,Table1[[#This Row],[Customer Value]]/Table1[[#This Row],[Seconds of Use]]*100)</f>
        <v>8.8699839486356336</v>
      </c>
    </row>
    <row r="2854" spans="1:18" x14ac:dyDescent="0.35">
      <c r="A2854" s="3" t="s">
        <v>2875</v>
      </c>
      <c r="B2854">
        <v>13</v>
      </c>
      <c r="C2854">
        <v>0</v>
      </c>
      <c r="D2854">
        <v>34</v>
      </c>
      <c r="E2854">
        <v>0</v>
      </c>
      <c r="F2854">
        <v>2758</v>
      </c>
      <c r="G2854">
        <v>60</v>
      </c>
      <c r="H2854">
        <v>358</v>
      </c>
      <c r="I2854">
        <v>25</v>
      </c>
      <c r="J2854">
        <v>2</v>
      </c>
      <c r="K2854">
        <v>1</v>
      </c>
      <c r="L2854">
        <v>1</v>
      </c>
      <c r="M2854">
        <v>25</v>
      </c>
      <c r="N2854">
        <v>1737.81</v>
      </c>
      <c r="O2854">
        <v>0</v>
      </c>
      <c r="P28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54" t="str">
        <f>IF(Table1[[#This Row],[Fraud_Score]]&gt;=6, "High Risk",IF(Table1[[#This Row],[Fraud_Score]]&gt;=3, "Medium Risk", "Low Risk"))</f>
        <v>Medium Risk</v>
      </c>
      <c r="R2854">
        <f>IF(Table1[[#This Row],[Seconds of Use]]=0,0,Table1[[#This Row],[Customer Value]]/Table1[[#This Row],[Seconds of Use]]*100)</f>
        <v>63.009789702683108</v>
      </c>
    </row>
    <row r="2855" spans="1:18" x14ac:dyDescent="0.35">
      <c r="A2855" s="3" t="s">
        <v>2876</v>
      </c>
      <c r="B2855">
        <v>13</v>
      </c>
      <c r="C2855">
        <v>0</v>
      </c>
      <c r="D2855">
        <v>35</v>
      </c>
      <c r="E2855">
        <v>0</v>
      </c>
      <c r="F2855">
        <v>4503</v>
      </c>
      <c r="G2855">
        <v>66</v>
      </c>
      <c r="H2855">
        <v>0</v>
      </c>
      <c r="I2855">
        <v>36</v>
      </c>
      <c r="J2855">
        <v>1</v>
      </c>
      <c r="K2855">
        <v>1</v>
      </c>
      <c r="L2855">
        <v>1</v>
      </c>
      <c r="M2855">
        <v>15</v>
      </c>
      <c r="N2855">
        <v>251.29499999999999</v>
      </c>
      <c r="O2855">
        <v>0</v>
      </c>
      <c r="P28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55" t="str">
        <f>IF(Table1[[#This Row],[Fraud_Score]]&gt;=6, "High Risk",IF(Table1[[#This Row],[Fraud_Score]]&gt;=3, "Medium Risk", "Low Risk"))</f>
        <v>Medium Risk</v>
      </c>
      <c r="R2855">
        <f>IF(Table1[[#This Row],[Seconds of Use]]=0,0,Table1[[#This Row],[Customer Value]]/Table1[[#This Row],[Seconds of Use]]*100)</f>
        <v>5.5806129247168554</v>
      </c>
    </row>
    <row r="2856" spans="1:18" x14ac:dyDescent="0.35">
      <c r="A2856" s="3" t="s">
        <v>2877</v>
      </c>
      <c r="B2856">
        <v>6</v>
      </c>
      <c r="C2856">
        <v>0</v>
      </c>
      <c r="D2856">
        <v>35</v>
      </c>
      <c r="E2856">
        <v>0</v>
      </c>
      <c r="F2856">
        <v>2698</v>
      </c>
      <c r="G2856">
        <v>58</v>
      </c>
      <c r="H2856">
        <v>1</v>
      </c>
      <c r="I2856">
        <v>34</v>
      </c>
      <c r="J2856">
        <v>1</v>
      </c>
      <c r="K2856">
        <v>1</v>
      </c>
      <c r="L2856">
        <v>1</v>
      </c>
      <c r="M2856">
        <v>15</v>
      </c>
      <c r="N2856">
        <v>157.08000000000001</v>
      </c>
      <c r="O2856">
        <v>0</v>
      </c>
      <c r="P28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56" t="str">
        <f>IF(Table1[[#This Row],[Fraud_Score]]&gt;=6, "High Risk",IF(Table1[[#This Row],[Fraud_Score]]&gt;=3, "Medium Risk", "Low Risk"))</f>
        <v>Low Risk</v>
      </c>
      <c r="R2856">
        <f>IF(Table1[[#This Row],[Seconds of Use]]=0,0,Table1[[#This Row],[Customer Value]]/Table1[[#This Row],[Seconds of Use]]*100)</f>
        <v>5.8220904373610081</v>
      </c>
    </row>
    <row r="2857" spans="1:18" x14ac:dyDescent="0.35">
      <c r="A2857" s="3" t="s">
        <v>2878</v>
      </c>
      <c r="B2857">
        <v>14</v>
      </c>
      <c r="C2857">
        <v>0</v>
      </c>
      <c r="D2857">
        <v>35</v>
      </c>
      <c r="E2857">
        <v>1</v>
      </c>
      <c r="F2857">
        <v>4080</v>
      </c>
      <c r="G2857">
        <v>82</v>
      </c>
      <c r="H2857">
        <v>31</v>
      </c>
      <c r="I2857">
        <v>29</v>
      </c>
      <c r="J2857">
        <v>3</v>
      </c>
      <c r="K2857">
        <v>1</v>
      </c>
      <c r="L2857">
        <v>1</v>
      </c>
      <c r="M2857">
        <v>30</v>
      </c>
      <c r="N2857">
        <v>290.48</v>
      </c>
      <c r="O2857">
        <v>0</v>
      </c>
      <c r="P28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57" t="str">
        <f>IF(Table1[[#This Row],[Fraud_Score]]&gt;=6, "High Risk",IF(Table1[[#This Row],[Fraud_Score]]&gt;=3, "Medium Risk", "Low Risk"))</f>
        <v>Low Risk</v>
      </c>
      <c r="R2857">
        <f>IF(Table1[[#This Row],[Seconds of Use]]=0,0,Table1[[#This Row],[Customer Value]]/Table1[[#This Row],[Seconds of Use]]*100)</f>
        <v>7.1196078431372563</v>
      </c>
    </row>
    <row r="2858" spans="1:18" x14ac:dyDescent="0.35">
      <c r="A2858" s="3" t="s">
        <v>2879</v>
      </c>
      <c r="B2858">
        <v>7</v>
      </c>
      <c r="C2858">
        <v>0</v>
      </c>
      <c r="D2858">
        <v>35</v>
      </c>
      <c r="E2858">
        <v>0</v>
      </c>
      <c r="F2858">
        <v>2665</v>
      </c>
      <c r="G2858">
        <v>39</v>
      </c>
      <c r="H2858">
        <v>284</v>
      </c>
      <c r="I2858">
        <v>19</v>
      </c>
      <c r="J2858">
        <v>3</v>
      </c>
      <c r="K2858">
        <v>1</v>
      </c>
      <c r="L2858">
        <v>1</v>
      </c>
      <c r="M2858">
        <v>30</v>
      </c>
      <c r="N2858">
        <v>1244.1600000000001</v>
      </c>
      <c r="O2858">
        <v>0</v>
      </c>
      <c r="P28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58" t="str">
        <f>IF(Table1[[#This Row],[Fraud_Score]]&gt;=6, "High Risk",IF(Table1[[#This Row],[Fraud_Score]]&gt;=3, "Medium Risk", "Low Risk"))</f>
        <v>Low Risk</v>
      </c>
      <c r="R2858">
        <f>IF(Table1[[#This Row],[Seconds of Use]]=0,0,Table1[[#This Row],[Customer Value]]/Table1[[#This Row],[Seconds of Use]]*100)</f>
        <v>46.685178236397753</v>
      </c>
    </row>
    <row r="2859" spans="1:18" x14ac:dyDescent="0.35">
      <c r="A2859" s="3" t="s">
        <v>2880</v>
      </c>
      <c r="B2859">
        <v>16</v>
      </c>
      <c r="C2859">
        <v>0</v>
      </c>
      <c r="D2859">
        <v>34</v>
      </c>
      <c r="E2859">
        <v>2</v>
      </c>
      <c r="F2859">
        <v>9420</v>
      </c>
      <c r="G2859">
        <v>121</v>
      </c>
      <c r="H2859">
        <v>143</v>
      </c>
      <c r="I2859">
        <v>44</v>
      </c>
      <c r="J2859">
        <v>3</v>
      </c>
      <c r="K2859">
        <v>1</v>
      </c>
      <c r="L2859">
        <v>1</v>
      </c>
      <c r="M2859">
        <v>30</v>
      </c>
      <c r="N2859">
        <v>953.64</v>
      </c>
      <c r="O2859">
        <v>0</v>
      </c>
      <c r="P28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59" t="str">
        <f>IF(Table1[[#This Row],[Fraud_Score]]&gt;=6, "High Risk",IF(Table1[[#This Row],[Fraud_Score]]&gt;=3, "Medium Risk", "Low Risk"))</f>
        <v>Low Risk</v>
      </c>
      <c r="R2859">
        <f>IF(Table1[[#This Row],[Seconds of Use]]=0,0,Table1[[#This Row],[Customer Value]]/Table1[[#This Row],[Seconds of Use]]*100)</f>
        <v>10.123566878980892</v>
      </c>
    </row>
    <row r="2860" spans="1:18" x14ac:dyDescent="0.35">
      <c r="A2860" s="3" t="s">
        <v>2881</v>
      </c>
      <c r="B2860">
        <v>10</v>
      </c>
      <c r="C2860">
        <v>0</v>
      </c>
      <c r="D2860">
        <v>35</v>
      </c>
      <c r="E2860">
        <v>0</v>
      </c>
      <c r="F2860">
        <v>14078</v>
      </c>
      <c r="G2860">
        <v>169</v>
      </c>
      <c r="H2860">
        <v>0</v>
      </c>
      <c r="I2860">
        <v>45</v>
      </c>
      <c r="J2860">
        <v>3</v>
      </c>
      <c r="K2860">
        <v>1</v>
      </c>
      <c r="L2860">
        <v>1</v>
      </c>
      <c r="M2860">
        <v>30</v>
      </c>
      <c r="N2860">
        <v>569.88</v>
      </c>
      <c r="O2860">
        <v>0</v>
      </c>
      <c r="P28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60" t="str">
        <f>IF(Table1[[#This Row],[Fraud_Score]]&gt;=6, "High Risk",IF(Table1[[#This Row],[Fraud_Score]]&gt;=3, "Medium Risk", "Low Risk"))</f>
        <v>Medium Risk</v>
      </c>
      <c r="R2860">
        <f>IF(Table1[[#This Row],[Seconds of Use]]=0,0,Table1[[#This Row],[Customer Value]]/Table1[[#This Row],[Seconds of Use]]*100)</f>
        <v>4.0480181844011938</v>
      </c>
    </row>
    <row r="2861" spans="1:18" x14ac:dyDescent="0.35">
      <c r="A2861" s="3" t="s">
        <v>2882</v>
      </c>
      <c r="B2861">
        <v>10</v>
      </c>
      <c r="C2861">
        <v>0</v>
      </c>
      <c r="D2861">
        <v>35</v>
      </c>
      <c r="E2861">
        <v>1</v>
      </c>
      <c r="F2861">
        <v>4820</v>
      </c>
      <c r="G2861">
        <v>83</v>
      </c>
      <c r="H2861">
        <v>1</v>
      </c>
      <c r="I2861">
        <v>26</v>
      </c>
      <c r="J2861">
        <v>3</v>
      </c>
      <c r="K2861">
        <v>1</v>
      </c>
      <c r="L2861">
        <v>1</v>
      </c>
      <c r="M2861">
        <v>30</v>
      </c>
      <c r="N2861">
        <v>200.12</v>
      </c>
      <c r="O2861">
        <v>0</v>
      </c>
      <c r="P28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61" t="str">
        <f>IF(Table1[[#This Row],[Fraud_Score]]&gt;=6, "High Risk",IF(Table1[[#This Row],[Fraud_Score]]&gt;=3, "Medium Risk", "Low Risk"))</f>
        <v>Low Risk</v>
      </c>
      <c r="R2861">
        <f>IF(Table1[[#This Row],[Seconds of Use]]=0,0,Table1[[#This Row],[Customer Value]]/Table1[[#This Row],[Seconds of Use]]*100)</f>
        <v>4.1518672199170128</v>
      </c>
    </row>
    <row r="2862" spans="1:18" x14ac:dyDescent="0.35">
      <c r="A2862" s="3" t="s">
        <v>2883</v>
      </c>
      <c r="B2862">
        <v>9</v>
      </c>
      <c r="C2862">
        <v>0</v>
      </c>
      <c r="D2862">
        <v>35</v>
      </c>
      <c r="E2862">
        <v>0</v>
      </c>
      <c r="F2862">
        <v>6223</v>
      </c>
      <c r="G2862">
        <v>95</v>
      </c>
      <c r="H2862">
        <v>6</v>
      </c>
      <c r="I2862">
        <v>13</v>
      </c>
      <c r="J2862">
        <v>2</v>
      </c>
      <c r="K2862">
        <v>1</v>
      </c>
      <c r="L2862">
        <v>1</v>
      </c>
      <c r="M2862">
        <v>25</v>
      </c>
      <c r="N2862">
        <v>311.31</v>
      </c>
      <c r="O2862">
        <v>0</v>
      </c>
      <c r="P28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62" t="str">
        <f>IF(Table1[[#This Row],[Fraud_Score]]&gt;=6, "High Risk",IF(Table1[[#This Row],[Fraud_Score]]&gt;=3, "Medium Risk", "Low Risk"))</f>
        <v>Low Risk</v>
      </c>
      <c r="R2862">
        <f>IF(Table1[[#This Row],[Seconds of Use]]=0,0,Table1[[#This Row],[Customer Value]]/Table1[[#This Row],[Seconds of Use]]*100)</f>
        <v>5.002571107183031</v>
      </c>
    </row>
    <row r="2863" spans="1:18" x14ac:dyDescent="0.35">
      <c r="A2863" s="3" t="s">
        <v>2884</v>
      </c>
      <c r="B2863">
        <v>12</v>
      </c>
      <c r="C2863">
        <v>0</v>
      </c>
      <c r="D2863">
        <v>35</v>
      </c>
      <c r="E2863">
        <v>0</v>
      </c>
      <c r="F2863">
        <v>2543</v>
      </c>
      <c r="G2863">
        <v>54</v>
      </c>
      <c r="H2863">
        <v>7</v>
      </c>
      <c r="I2863">
        <v>18</v>
      </c>
      <c r="J2863">
        <v>3</v>
      </c>
      <c r="K2863">
        <v>1</v>
      </c>
      <c r="L2863">
        <v>2</v>
      </c>
      <c r="M2863">
        <v>30</v>
      </c>
      <c r="N2863">
        <v>131.88</v>
      </c>
      <c r="O2863">
        <v>0</v>
      </c>
      <c r="P28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63" t="str">
        <f>IF(Table1[[#This Row],[Fraud_Score]]&gt;=6, "High Risk",IF(Table1[[#This Row],[Fraud_Score]]&gt;=3, "Medium Risk", "Low Risk"))</f>
        <v>Medium Risk</v>
      </c>
      <c r="R2863">
        <f>IF(Table1[[#This Row],[Seconds of Use]]=0,0,Table1[[#This Row],[Customer Value]]/Table1[[#This Row],[Seconds of Use]]*100)</f>
        <v>5.18600078647267</v>
      </c>
    </row>
    <row r="2864" spans="1:18" x14ac:dyDescent="0.35">
      <c r="A2864" s="3" t="s">
        <v>2885</v>
      </c>
      <c r="B2864">
        <v>28</v>
      </c>
      <c r="C2864">
        <v>0</v>
      </c>
      <c r="D2864">
        <v>35</v>
      </c>
      <c r="E2864">
        <v>3</v>
      </c>
      <c r="F2864">
        <v>15445</v>
      </c>
      <c r="G2864">
        <v>225</v>
      </c>
      <c r="H2864">
        <v>53</v>
      </c>
      <c r="I2864">
        <v>33</v>
      </c>
      <c r="J2864">
        <v>3</v>
      </c>
      <c r="K2864">
        <v>1</v>
      </c>
      <c r="L2864">
        <v>1</v>
      </c>
      <c r="M2864">
        <v>30</v>
      </c>
      <c r="N2864">
        <v>838.8</v>
      </c>
      <c r="O2864">
        <v>0</v>
      </c>
      <c r="P28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864" t="str">
        <f>IF(Table1[[#This Row],[Fraud_Score]]&gt;=6, "High Risk",IF(Table1[[#This Row],[Fraud_Score]]&gt;=3, "Medium Risk", "Low Risk"))</f>
        <v>Medium Risk</v>
      </c>
      <c r="R2864">
        <f>IF(Table1[[#This Row],[Seconds of Use]]=0,0,Table1[[#This Row],[Customer Value]]/Table1[[#This Row],[Seconds of Use]]*100)</f>
        <v>5.4308837811589505</v>
      </c>
    </row>
    <row r="2865" spans="1:18" x14ac:dyDescent="0.35">
      <c r="A2865" s="3" t="s">
        <v>2886</v>
      </c>
      <c r="B2865">
        <v>7</v>
      </c>
      <c r="C2865">
        <v>0</v>
      </c>
      <c r="D2865">
        <v>35</v>
      </c>
      <c r="E2865">
        <v>1</v>
      </c>
      <c r="F2865">
        <v>3400</v>
      </c>
      <c r="G2865">
        <v>27</v>
      </c>
      <c r="H2865">
        <v>482</v>
      </c>
      <c r="I2865">
        <v>9</v>
      </c>
      <c r="J2865">
        <v>3</v>
      </c>
      <c r="K2865">
        <v>1</v>
      </c>
      <c r="L2865">
        <v>1</v>
      </c>
      <c r="M2865">
        <v>30</v>
      </c>
      <c r="N2865">
        <v>2065.08</v>
      </c>
      <c r="O2865">
        <v>0</v>
      </c>
      <c r="P28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65" t="str">
        <f>IF(Table1[[#This Row],[Fraud_Score]]&gt;=6, "High Risk",IF(Table1[[#This Row],[Fraud_Score]]&gt;=3, "Medium Risk", "Low Risk"))</f>
        <v>Low Risk</v>
      </c>
      <c r="R2865">
        <f>IF(Table1[[#This Row],[Seconds of Use]]=0,0,Table1[[#This Row],[Customer Value]]/Table1[[#This Row],[Seconds of Use]]*100)</f>
        <v>60.737647058823526</v>
      </c>
    </row>
    <row r="2866" spans="1:18" x14ac:dyDescent="0.35">
      <c r="A2866" s="3" t="s">
        <v>2887</v>
      </c>
      <c r="B2866">
        <v>12</v>
      </c>
      <c r="C2866">
        <v>0</v>
      </c>
      <c r="D2866">
        <v>34</v>
      </c>
      <c r="E2866">
        <v>0</v>
      </c>
      <c r="F2866">
        <v>15790</v>
      </c>
      <c r="G2866">
        <v>182</v>
      </c>
      <c r="H2866">
        <v>149</v>
      </c>
      <c r="I2866">
        <v>31</v>
      </c>
      <c r="J2866">
        <v>2</v>
      </c>
      <c r="K2866">
        <v>1</v>
      </c>
      <c r="L2866">
        <v>1</v>
      </c>
      <c r="M2866">
        <v>25</v>
      </c>
      <c r="N2866">
        <v>1389.24</v>
      </c>
      <c r="O2866">
        <v>0</v>
      </c>
      <c r="P28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66" t="str">
        <f>IF(Table1[[#This Row],[Fraud_Score]]&gt;=6, "High Risk",IF(Table1[[#This Row],[Fraud_Score]]&gt;=3, "Medium Risk", "Low Risk"))</f>
        <v>Medium Risk</v>
      </c>
      <c r="R2866">
        <f>IF(Table1[[#This Row],[Seconds of Use]]=0,0,Table1[[#This Row],[Customer Value]]/Table1[[#This Row],[Seconds of Use]]*100)</f>
        <v>8.7982267257758089</v>
      </c>
    </row>
    <row r="2867" spans="1:18" x14ac:dyDescent="0.35">
      <c r="A2867" s="3" t="s">
        <v>2888</v>
      </c>
      <c r="B2867">
        <v>6</v>
      </c>
      <c r="C2867">
        <v>0</v>
      </c>
      <c r="D2867">
        <v>34</v>
      </c>
      <c r="E2867">
        <v>1</v>
      </c>
      <c r="F2867">
        <v>6805</v>
      </c>
      <c r="G2867">
        <v>86</v>
      </c>
      <c r="H2867">
        <v>185</v>
      </c>
      <c r="I2867">
        <v>27</v>
      </c>
      <c r="J2867">
        <v>3</v>
      </c>
      <c r="K2867">
        <v>1</v>
      </c>
      <c r="L2867">
        <v>1</v>
      </c>
      <c r="M2867">
        <v>30</v>
      </c>
      <c r="N2867">
        <v>1015.64</v>
      </c>
      <c r="O2867">
        <v>0</v>
      </c>
      <c r="P28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67" t="str">
        <f>IF(Table1[[#This Row],[Fraud_Score]]&gt;=6, "High Risk",IF(Table1[[#This Row],[Fraud_Score]]&gt;=3, "Medium Risk", "Low Risk"))</f>
        <v>Low Risk</v>
      </c>
      <c r="R2867">
        <f>IF(Table1[[#This Row],[Seconds of Use]]=0,0,Table1[[#This Row],[Customer Value]]/Table1[[#This Row],[Seconds of Use]]*100)</f>
        <v>14.924908155767818</v>
      </c>
    </row>
    <row r="2868" spans="1:18" x14ac:dyDescent="0.35">
      <c r="A2868" s="3" t="s">
        <v>2889</v>
      </c>
      <c r="B2868">
        <v>3</v>
      </c>
      <c r="C2868">
        <v>0</v>
      </c>
      <c r="D2868">
        <v>34</v>
      </c>
      <c r="E2868">
        <v>0</v>
      </c>
      <c r="F2868">
        <v>1180</v>
      </c>
      <c r="G2868">
        <v>14</v>
      </c>
      <c r="H2868">
        <v>0</v>
      </c>
      <c r="I2868">
        <v>12</v>
      </c>
      <c r="J2868">
        <v>2</v>
      </c>
      <c r="K2868">
        <v>1</v>
      </c>
      <c r="L2868">
        <v>2</v>
      </c>
      <c r="M2868">
        <v>25</v>
      </c>
      <c r="N2868">
        <v>53.73</v>
      </c>
      <c r="O2868">
        <v>0</v>
      </c>
      <c r="P28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68" t="str">
        <f>IF(Table1[[#This Row],[Fraud_Score]]&gt;=6, "High Risk",IF(Table1[[#This Row],[Fraud_Score]]&gt;=3, "Medium Risk", "Low Risk"))</f>
        <v>Low Risk</v>
      </c>
      <c r="R2868">
        <f>IF(Table1[[#This Row],[Seconds of Use]]=0,0,Table1[[#This Row],[Customer Value]]/Table1[[#This Row],[Seconds of Use]]*100)</f>
        <v>4.5533898305084746</v>
      </c>
    </row>
    <row r="2869" spans="1:18" x14ac:dyDescent="0.35">
      <c r="A2869" s="3" t="s">
        <v>2890</v>
      </c>
      <c r="B2869">
        <v>5</v>
      </c>
      <c r="C2869">
        <v>0</v>
      </c>
      <c r="D2869">
        <v>35</v>
      </c>
      <c r="E2869">
        <v>0</v>
      </c>
      <c r="F2869">
        <v>1015</v>
      </c>
      <c r="G2869">
        <v>14</v>
      </c>
      <c r="H2869">
        <v>12</v>
      </c>
      <c r="I2869">
        <v>9</v>
      </c>
      <c r="J2869">
        <v>2</v>
      </c>
      <c r="K2869">
        <v>1</v>
      </c>
      <c r="L2869">
        <v>2</v>
      </c>
      <c r="M2869">
        <v>25</v>
      </c>
      <c r="N2869">
        <v>100.30500000000001</v>
      </c>
      <c r="O2869">
        <v>0</v>
      </c>
      <c r="P28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69" t="str">
        <f>IF(Table1[[#This Row],[Fraud_Score]]&gt;=6, "High Risk",IF(Table1[[#This Row],[Fraud_Score]]&gt;=3, "Medium Risk", "Low Risk"))</f>
        <v>Low Risk</v>
      </c>
      <c r="R2869">
        <f>IF(Table1[[#This Row],[Seconds of Use]]=0,0,Table1[[#This Row],[Customer Value]]/Table1[[#This Row],[Seconds of Use]]*100)</f>
        <v>9.8822660098522164</v>
      </c>
    </row>
    <row r="2870" spans="1:18" x14ac:dyDescent="0.35">
      <c r="A2870" s="3" t="s">
        <v>2891</v>
      </c>
      <c r="B2870">
        <v>0</v>
      </c>
      <c r="C2870">
        <v>0</v>
      </c>
      <c r="D2870">
        <v>34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2</v>
      </c>
      <c r="K2870">
        <v>1</v>
      </c>
      <c r="L2870">
        <v>2</v>
      </c>
      <c r="M2870">
        <v>25</v>
      </c>
      <c r="N2870">
        <v>0</v>
      </c>
      <c r="O2870">
        <v>1</v>
      </c>
      <c r="P28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70" t="str">
        <f>IF(Table1[[#This Row],[Fraud_Score]]&gt;=6, "High Risk",IF(Table1[[#This Row],[Fraud_Score]]&gt;=3, "Medium Risk", "Low Risk"))</f>
        <v>Low Risk</v>
      </c>
      <c r="R2870">
        <f>IF(Table1[[#This Row],[Seconds of Use]]=0,0,Table1[[#This Row],[Customer Value]]/Table1[[#This Row],[Seconds of Use]]*100)</f>
        <v>0</v>
      </c>
    </row>
    <row r="2871" spans="1:18" x14ac:dyDescent="0.35">
      <c r="A2871" s="3" t="s">
        <v>2892</v>
      </c>
      <c r="B2871">
        <v>6</v>
      </c>
      <c r="C2871">
        <v>0</v>
      </c>
      <c r="D2871">
        <v>34</v>
      </c>
      <c r="E2871">
        <v>0</v>
      </c>
      <c r="F2871">
        <v>7813</v>
      </c>
      <c r="G2871">
        <v>127</v>
      </c>
      <c r="H2871">
        <v>383</v>
      </c>
      <c r="I2871">
        <v>44</v>
      </c>
      <c r="J2871">
        <v>2</v>
      </c>
      <c r="K2871">
        <v>1</v>
      </c>
      <c r="L2871">
        <v>1</v>
      </c>
      <c r="M2871">
        <v>25</v>
      </c>
      <c r="N2871">
        <v>2080.8000000000002</v>
      </c>
      <c r="O2871">
        <v>0</v>
      </c>
      <c r="P28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71" t="str">
        <f>IF(Table1[[#This Row],[Fraud_Score]]&gt;=6, "High Risk",IF(Table1[[#This Row],[Fraud_Score]]&gt;=3, "Medium Risk", "Low Risk"))</f>
        <v>Low Risk</v>
      </c>
      <c r="R2871">
        <f>IF(Table1[[#This Row],[Seconds of Use]]=0,0,Table1[[#This Row],[Customer Value]]/Table1[[#This Row],[Seconds of Use]]*100)</f>
        <v>26.632535517726868</v>
      </c>
    </row>
    <row r="2872" spans="1:18" x14ac:dyDescent="0.35">
      <c r="A2872" s="3" t="s">
        <v>2893</v>
      </c>
      <c r="B2872">
        <v>10</v>
      </c>
      <c r="C2872">
        <v>0</v>
      </c>
      <c r="D2872">
        <v>34</v>
      </c>
      <c r="E2872">
        <v>1</v>
      </c>
      <c r="F2872">
        <v>11770</v>
      </c>
      <c r="G2872">
        <v>154</v>
      </c>
      <c r="H2872">
        <v>10</v>
      </c>
      <c r="I2872">
        <v>48</v>
      </c>
      <c r="J2872">
        <v>3</v>
      </c>
      <c r="K2872">
        <v>1</v>
      </c>
      <c r="L2872">
        <v>1</v>
      </c>
      <c r="M2872">
        <v>30</v>
      </c>
      <c r="N2872">
        <v>516.96</v>
      </c>
      <c r="O2872">
        <v>0</v>
      </c>
      <c r="P28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72" t="str">
        <f>IF(Table1[[#This Row],[Fraud_Score]]&gt;=6, "High Risk",IF(Table1[[#This Row],[Fraud_Score]]&gt;=3, "Medium Risk", "Low Risk"))</f>
        <v>Medium Risk</v>
      </c>
      <c r="R2872">
        <f>IF(Table1[[#This Row],[Seconds of Use]]=0,0,Table1[[#This Row],[Customer Value]]/Table1[[#This Row],[Seconds of Use]]*100)</f>
        <v>4.3921835174171626</v>
      </c>
    </row>
    <row r="2873" spans="1:18" x14ac:dyDescent="0.35">
      <c r="A2873" s="3" t="s">
        <v>2894</v>
      </c>
      <c r="B2873">
        <v>11</v>
      </c>
      <c r="C2873">
        <v>0</v>
      </c>
      <c r="D2873">
        <v>34</v>
      </c>
      <c r="E2873">
        <v>1</v>
      </c>
      <c r="F2873">
        <v>7023</v>
      </c>
      <c r="G2873">
        <v>75</v>
      </c>
      <c r="H2873">
        <v>107</v>
      </c>
      <c r="I2873">
        <v>38</v>
      </c>
      <c r="J2873">
        <v>2</v>
      </c>
      <c r="K2873">
        <v>1</v>
      </c>
      <c r="L2873">
        <v>1</v>
      </c>
      <c r="M2873">
        <v>25</v>
      </c>
      <c r="N2873">
        <v>800.91</v>
      </c>
      <c r="O2873">
        <v>0</v>
      </c>
      <c r="P28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73" t="str">
        <f>IF(Table1[[#This Row],[Fraud_Score]]&gt;=6, "High Risk",IF(Table1[[#This Row],[Fraud_Score]]&gt;=3, "Medium Risk", "Low Risk"))</f>
        <v>Low Risk</v>
      </c>
      <c r="R2873">
        <f>IF(Table1[[#This Row],[Seconds of Use]]=0,0,Table1[[#This Row],[Customer Value]]/Table1[[#This Row],[Seconds of Use]]*100)</f>
        <v>11.404100811618965</v>
      </c>
    </row>
    <row r="2874" spans="1:18" x14ac:dyDescent="0.35">
      <c r="A2874" s="3" t="s">
        <v>2895</v>
      </c>
      <c r="B2874">
        <v>26</v>
      </c>
      <c r="C2874">
        <v>1</v>
      </c>
      <c r="D2874">
        <v>30</v>
      </c>
      <c r="E2874">
        <v>0</v>
      </c>
      <c r="F2874">
        <v>1260</v>
      </c>
      <c r="G2874">
        <v>47</v>
      </c>
      <c r="H2874">
        <v>15</v>
      </c>
      <c r="I2874">
        <v>18</v>
      </c>
      <c r="J2874">
        <v>2</v>
      </c>
      <c r="K2874">
        <v>1</v>
      </c>
      <c r="L2874">
        <v>2</v>
      </c>
      <c r="M2874">
        <v>25</v>
      </c>
      <c r="N2874">
        <v>126.315</v>
      </c>
      <c r="O2874">
        <v>1</v>
      </c>
      <c r="P28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74" t="str">
        <f>IF(Table1[[#This Row],[Fraud_Score]]&gt;=6, "High Risk",IF(Table1[[#This Row],[Fraud_Score]]&gt;=3, "Medium Risk", "Low Risk"))</f>
        <v>Medium Risk</v>
      </c>
      <c r="R2874">
        <f>IF(Table1[[#This Row],[Seconds of Use]]=0,0,Table1[[#This Row],[Customer Value]]/Table1[[#This Row],[Seconds of Use]]*100)</f>
        <v>10.024999999999999</v>
      </c>
    </row>
    <row r="2875" spans="1:18" x14ac:dyDescent="0.35">
      <c r="A2875" s="3" t="s">
        <v>2896</v>
      </c>
      <c r="B2875">
        <v>24</v>
      </c>
      <c r="C2875">
        <v>0</v>
      </c>
      <c r="D2875">
        <v>33</v>
      </c>
      <c r="E2875">
        <v>8</v>
      </c>
      <c r="F2875">
        <v>10740</v>
      </c>
      <c r="G2875">
        <v>93</v>
      </c>
      <c r="H2875">
        <v>0</v>
      </c>
      <c r="I2875">
        <v>43</v>
      </c>
      <c r="J2875">
        <v>4</v>
      </c>
      <c r="K2875">
        <v>1</v>
      </c>
      <c r="L2875">
        <v>1</v>
      </c>
      <c r="M2875">
        <v>45</v>
      </c>
      <c r="N2875">
        <v>270.82499999999999</v>
      </c>
      <c r="O2875">
        <v>0</v>
      </c>
      <c r="P28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75" t="str">
        <f>IF(Table1[[#This Row],[Fraud_Score]]&gt;=6, "High Risk",IF(Table1[[#This Row],[Fraud_Score]]&gt;=3, "Medium Risk", "Low Risk"))</f>
        <v>Low Risk</v>
      </c>
      <c r="R2875">
        <f>IF(Table1[[#This Row],[Seconds of Use]]=0,0,Table1[[#This Row],[Customer Value]]/Table1[[#This Row],[Seconds of Use]]*100)</f>
        <v>2.5216480446927374</v>
      </c>
    </row>
    <row r="2876" spans="1:18" x14ac:dyDescent="0.35">
      <c r="A2876" s="3" t="s">
        <v>2897</v>
      </c>
      <c r="B2876">
        <v>16</v>
      </c>
      <c r="C2876">
        <v>0</v>
      </c>
      <c r="D2876">
        <v>33</v>
      </c>
      <c r="E2876">
        <v>1</v>
      </c>
      <c r="F2876">
        <v>6123</v>
      </c>
      <c r="G2876">
        <v>98</v>
      </c>
      <c r="H2876">
        <v>25</v>
      </c>
      <c r="I2876">
        <v>25</v>
      </c>
      <c r="J2876">
        <v>2</v>
      </c>
      <c r="K2876">
        <v>1</v>
      </c>
      <c r="L2876">
        <v>1</v>
      </c>
      <c r="M2876">
        <v>25</v>
      </c>
      <c r="N2876">
        <v>392.44499999999999</v>
      </c>
      <c r="O2876">
        <v>1</v>
      </c>
      <c r="P28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76" t="str">
        <f>IF(Table1[[#This Row],[Fraud_Score]]&gt;=6, "High Risk",IF(Table1[[#This Row],[Fraud_Score]]&gt;=3, "Medium Risk", "Low Risk"))</f>
        <v>Low Risk</v>
      </c>
      <c r="R2876">
        <f>IF(Table1[[#This Row],[Seconds of Use]]=0,0,Table1[[#This Row],[Customer Value]]/Table1[[#This Row],[Seconds of Use]]*100)</f>
        <v>6.4093581577658014</v>
      </c>
    </row>
    <row r="2877" spans="1:18" x14ac:dyDescent="0.35">
      <c r="A2877" s="3" t="s">
        <v>2898</v>
      </c>
      <c r="B2877">
        <v>4</v>
      </c>
      <c r="C2877">
        <v>0</v>
      </c>
      <c r="D2877">
        <v>31</v>
      </c>
      <c r="E2877">
        <v>0</v>
      </c>
      <c r="F2877">
        <v>3145</v>
      </c>
      <c r="G2877">
        <v>22</v>
      </c>
      <c r="H2877">
        <v>0</v>
      </c>
      <c r="I2877">
        <v>15</v>
      </c>
      <c r="J2877">
        <v>3</v>
      </c>
      <c r="K2877">
        <v>1</v>
      </c>
      <c r="L2877">
        <v>1</v>
      </c>
      <c r="M2877">
        <v>30</v>
      </c>
      <c r="N2877">
        <v>126.68</v>
      </c>
      <c r="O2877">
        <v>0</v>
      </c>
      <c r="P28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77" t="str">
        <f>IF(Table1[[#This Row],[Fraud_Score]]&gt;=6, "High Risk",IF(Table1[[#This Row],[Fraud_Score]]&gt;=3, "Medium Risk", "Low Risk"))</f>
        <v>Low Risk</v>
      </c>
      <c r="R2877">
        <f>IF(Table1[[#This Row],[Seconds of Use]]=0,0,Table1[[#This Row],[Customer Value]]/Table1[[#This Row],[Seconds of Use]]*100)</f>
        <v>4.0279809220985694</v>
      </c>
    </row>
    <row r="2878" spans="1:18" x14ac:dyDescent="0.35">
      <c r="A2878" s="3" t="s">
        <v>2899</v>
      </c>
      <c r="B2878">
        <v>12</v>
      </c>
      <c r="C2878">
        <v>1</v>
      </c>
      <c r="D2878">
        <v>32</v>
      </c>
      <c r="E2878">
        <v>0</v>
      </c>
      <c r="F2878">
        <v>3295</v>
      </c>
      <c r="G2878">
        <v>41</v>
      </c>
      <c r="H2878">
        <v>8</v>
      </c>
      <c r="I2878">
        <v>17</v>
      </c>
      <c r="J2878">
        <v>3</v>
      </c>
      <c r="K2878">
        <v>1</v>
      </c>
      <c r="L2878">
        <v>2</v>
      </c>
      <c r="M2878">
        <v>30</v>
      </c>
      <c r="N2878">
        <v>165.44</v>
      </c>
      <c r="O2878">
        <v>1</v>
      </c>
      <c r="P28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78" t="str">
        <f>IF(Table1[[#This Row],[Fraud_Score]]&gt;=6, "High Risk",IF(Table1[[#This Row],[Fraud_Score]]&gt;=3, "Medium Risk", "Low Risk"))</f>
        <v>Medium Risk</v>
      </c>
      <c r="R2878">
        <f>IF(Table1[[#This Row],[Seconds of Use]]=0,0,Table1[[#This Row],[Customer Value]]/Table1[[#This Row],[Seconds of Use]]*100)</f>
        <v>5.0209408194233687</v>
      </c>
    </row>
    <row r="2879" spans="1:18" x14ac:dyDescent="0.35">
      <c r="A2879" s="3" t="s">
        <v>2900</v>
      </c>
      <c r="B2879">
        <v>12</v>
      </c>
      <c r="C2879">
        <v>0</v>
      </c>
      <c r="D2879">
        <v>33</v>
      </c>
      <c r="E2879">
        <v>0</v>
      </c>
      <c r="F2879">
        <v>2573</v>
      </c>
      <c r="G2879">
        <v>44</v>
      </c>
      <c r="H2879">
        <v>33</v>
      </c>
      <c r="I2879">
        <v>32</v>
      </c>
      <c r="J2879">
        <v>3</v>
      </c>
      <c r="K2879">
        <v>1</v>
      </c>
      <c r="L2879">
        <v>2</v>
      </c>
      <c r="M2879">
        <v>30</v>
      </c>
      <c r="N2879">
        <v>236.68</v>
      </c>
      <c r="O2879">
        <v>1</v>
      </c>
      <c r="P28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79" t="str">
        <f>IF(Table1[[#This Row],[Fraud_Score]]&gt;=6, "High Risk",IF(Table1[[#This Row],[Fraud_Score]]&gt;=3, "Medium Risk", "Low Risk"))</f>
        <v>Medium Risk</v>
      </c>
      <c r="R2879">
        <f>IF(Table1[[#This Row],[Seconds of Use]]=0,0,Table1[[#This Row],[Customer Value]]/Table1[[#This Row],[Seconds of Use]]*100)</f>
        <v>9.1986008550330354</v>
      </c>
    </row>
    <row r="2880" spans="1:18" x14ac:dyDescent="0.35">
      <c r="A2880" s="3" t="s">
        <v>2901</v>
      </c>
      <c r="B2880">
        <v>3</v>
      </c>
      <c r="C2880">
        <v>0</v>
      </c>
      <c r="D2880">
        <v>33</v>
      </c>
      <c r="E2880">
        <v>0</v>
      </c>
      <c r="F2880">
        <v>438</v>
      </c>
      <c r="G2880">
        <v>2</v>
      </c>
      <c r="H2880">
        <v>0</v>
      </c>
      <c r="I2880">
        <v>3</v>
      </c>
      <c r="J2880">
        <v>3</v>
      </c>
      <c r="K2880">
        <v>1</v>
      </c>
      <c r="L2880">
        <v>2</v>
      </c>
      <c r="M2880">
        <v>30</v>
      </c>
      <c r="N2880">
        <v>17.600000000000001</v>
      </c>
      <c r="O2880">
        <v>1</v>
      </c>
      <c r="P28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80" t="str">
        <f>IF(Table1[[#This Row],[Fraud_Score]]&gt;=6, "High Risk",IF(Table1[[#This Row],[Fraud_Score]]&gt;=3, "Medium Risk", "Low Risk"))</f>
        <v>Low Risk</v>
      </c>
      <c r="R2880">
        <f>IF(Table1[[#This Row],[Seconds of Use]]=0,0,Table1[[#This Row],[Customer Value]]/Table1[[#This Row],[Seconds of Use]]*100)</f>
        <v>4.0182648401826491</v>
      </c>
    </row>
    <row r="2881" spans="1:18" x14ac:dyDescent="0.35">
      <c r="A2881" s="3" t="s">
        <v>2902</v>
      </c>
      <c r="B2881">
        <v>4</v>
      </c>
      <c r="C2881">
        <v>0</v>
      </c>
      <c r="D2881">
        <v>33</v>
      </c>
      <c r="E2881">
        <v>0</v>
      </c>
      <c r="F2881">
        <v>1973</v>
      </c>
      <c r="G2881">
        <v>25</v>
      </c>
      <c r="H2881">
        <v>0</v>
      </c>
      <c r="I2881">
        <v>7</v>
      </c>
      <c r="J2881">
        <v>3</v>
      </c>
      <c r="K2881">
        <v>1</v>
      </c>
      <c r="L2881">
        <v>1</v>
      </c>
      <c r="M2881">
        <v>30</v>
      </c>
      <c r="N2881">
        <v>79.92</v>
      </c>
      <c r="O2881">
        <v>0</v>
      </c>
      <c r="P28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81" t="str">
        <f>IF(Table1[[#This Row],[Fraud_Score]]&gt;=6, "High Risk",IF(Table1[[#This Row],[Fraud_Score]]&gt;=3, "Medium Risk", "Low Risk"))</f>
        <v>Low Risk</v>
      </c>
      <c r="R2881">
        <f>IF(Table1[[#This Row],[Seconds of Use]]=0,0,Table1[[#This Row],[Customer Value]]/Table1[[#This Row],[Seconds of Use]]*100)</f>
        <v>4.0506842372022307</v>
      </c>
    </row>
    <row r="2882" spans="1:18" x14ac:dyDescent="0.35">
      <c r="A2882" s="3" t="s">
        <v>2903</v>
      </c>
      <c r="B2882">
        <v>6</v>
      </c>
      <c r="C2882">
        <v>0</v>
      </c>
      <c r="D2882">
        <v>30</v>
      </c>
      <c r="E2882">
        <v>1</v>
      </c>
      <c r="F2882">
        <v>7090</v>
      </c>
      <c r="G2882">
        <v>97</v>
      </c>
      <c r="H2882">
        <v>13</v>
      </c>
      <c r="I2882">
        <v>23</v>
      </c>
      <c r="J2882">
        <v>4</v>
      </c>
      <c r="K2882">
        <v>1</v>
      </c>
      <c r="L2882">
        <v>1</v>
      </c>
      <c r="M2882">
        <v>45</v>
      </c>
      <c r="N2882">
        <v>212.17500000000001</v>
      </c>
      <c r="O2882">
        <v>0</v>
      </c>
      <c r="P28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82" t="str">
        <f>IF(Table1[[#This Row],[Fraud_Score]]&gt;=6, "High Risk",IF(Table1[[#This Row],[Fraud_Score]]&gt;=3, "Medium Risk", "Low Risk"))</f>
        <v>Low Risk</v>
      </c>
      <c r="R2882">
        <f>IF(Table1[[#This Row],[Seconds of Use]]=0,0,Table1[[#This Row],[Customer Value]]/Table1[[#This Row],[Seconds of Use]]*100)</f>
        <v>2.9925952045133992</v>
      </c>
    </row>
    <row r="2883" spans="1:18" x14ac:dyDescent="0.35">
      <c r="A2883" s="3" t="s">
        <v>2904</v>
      </c>
      <c r="B2883">
        <v>3</v>
      </c>
      <c r="C2883">
        <v>0</v>
      </c>
      <c r="D2883">
        <v>33</v>
      </c>
      <c r="E2883">
        <v>0</v>
      </c>
      <c r="F2883">
        <v>933</v>
      </c>
      <c r="G2883">
        <v>7</v>
      </c>
      <c r="H2883">
        <v>8</v>
      </c>
      <c r="I2883">
        <v>5</v>
      </c>
      <c r="J2883">
        <v>4</v>
      </c>
      <c r="K2883">
        <v>1</v>
      </c>
      <c r="L2883">
        <v>2</v>
      </c>
      <c r="M2883">
        <v>45</v>
      </c>
      <c r="N2883">
        <v>43.5</v>
      </c>
      <c r="O2883">
        <v>1</v>
      </c>
      <c r="P28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83" t="str">
        <f>IF(Table1[[#This Row],[Fraud_Score]]&gt;=6, "High Risk",IF(Table1[[#This Row],[Fraud_Score]]&gt;=3, "Medium Risk", "Low Risk"))</f>
        <v>Low Risk</v>
      </c>
      <c r="R2883">
        <f>IF(Table1[[#This Row],[Seconds of Use]]=0,0,Table1[[#This Row],[Customer Value]]/Table1[[#This Row],[Seconds of Use]]*100)</f>
        <v>4.662379421221865</v>
      </c>
    </row>
    <row r="2884" spans="1:18" x14ac:dyDescent="0.35">
      <c r="A2884" s="3" t="s">
        <v>2905</v>
      </c>
      <c r="B2884">
        <v>3</v>
      </c>
      <c r="C2884">
        <v>0</v>
      </c>
      <c r="D2884">
        <v>33</v>
      </c>
      <c r="E2884">
        <v>1</v>
      </c>
      <c r="F2884">
        <v>643</v>
      </c>
      <c r="G2884">
        <v>4</v>
      </c>
      <c r="H2884">
        <v>3</v>
      </c>
      <c r="I2884">
        <v>3</v>
      </c>
      <c r="J2884">
        <v>5</v>
      </c>
      <c r="K2884">
        <v>1</v>
      </c>
      <c r="L2884">
        <v>1</v>
      </c>
      <c r="M2884">
        <v>55</v>
      </c>
      <c r="N2884">
        <v>14.205</v>
      </c>
      <c r="O2884">
        <v>0</v>
      </c>
      <c r="P28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84" t="str">
        <f>IF(Table1[[#This Row],[Fraud_Score]]&gt;=6, "High Risk",IF(Table1[[#This Row],[Fraud_Score]]&gt;=3, "Medium Risk", "Low Risk"))</f>
        <v>Low Risk</v>
      </c>
      <c r="R2884">
        <f>IF(Table1[[#This Row],[Seconds of Use]]=0,0,Table1[[#This Row],[Customer Value]]/Table1[[#This Row],[Seconds of Use]]*100)</f>
        <v>2.2091757387247277</v>
      </c>
    </row>
    <row r="2885" spans="1:18" x14ac:dyDescent="0.35">
      <c r="A2885" s="3" t="s">
        <v>2906</v>
      </c>
      <c r="B2885">
        <v>28</v>
      </c>
      <c r="C2885">
        <v>0</v>
      </c>
      <c r="D2885">
        <v>28</v>
      </c>
      <c r="E2885">
        <v>3</v>
      </c>
      <c r="F2885">
        <v>16380</v>
      </c>
      <c r="G2885">
        <v>238</v>
      </c>
      <c r="H2885">
        <v>0</v>
      </c>
      <c r="I2885">
        <v>81</v>
      </c>
      <c r="J2885">
        <v>2</v>
      </c>
      <c r="K2885">
        <v>1</v>
      </c>
      <c r="L2885">
        <v>1</v>
      </c>
      <c r="M2885">
        <v>25</v>
      </c>
      <c r="N2885">
        <v>747.81</v>
      </c>
      <c r="O2885">
        <v>0</v>
      </c>
      <c r="P28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85" t="str">
        <f>IF(Table1[[#This Row],[Fraud_Score]]&gt;=6, "High Risk",IF(Table1[[#This Row],[Fraud_Score]]&gt;=3, "Medium Risk", "Low Risk"))</f>
        <v>Medium Risk</v>
      </c>
      <c r="R2885">
        <f>IF(Table1[[#This Row],[Seconds of Use]]=0,0,Table1[[#This Row],[Customer Value]]/Table1[[#This Row],[Seconds of Use]]*100)</f>
        <v>4.5653846153846152</v>
      </c>
    </row>
    <row r="2886" spans="1:18" x14ac:dyDescent="0.35">
      <c r="A2886" s="3" t="s">
        <v>2907</v>
      </c>
      <c r="B2886">
        <v>9</v>
      </c>
      <c r="C2886">
        <v>0</v>
      </c>
      <c r="D2886">
        <v>31</v>
      </c>
      <c r="E2886">
        <v>3</v>
      </c>
      <c r="F2886">
        <v>7270</v>
      </c>
      <c r="G2886">
        <v>116</v>
      </c>
      <c r="H2886">
        <v>270</v>
      </c>
      <c r="I2886">
        <v>34</v>
      </c>
      <c r="J2886">
        <v>2</v>
      </c>
      <c r="K2886">
        <v>2</v>
      </c>
      <c r="L2886">
        <v>1</v>
      </c>
      <c r="M2886">
        <v>25</v>
      </c>
      <c r="N2886">
        <v>1547.37</v>
      </c>
      <c r="O2886">
        <v>0</v>
      </c>
      <c r="P28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86" t="str">
        <f>IF(Table1[[#This Row],[Fraud_Score]]&gt;=6, "High Risk",IF(Table1[[#This Row],[Fraud_Score]]&gt;=3, "Medium Risk", "Low Risk"))</f>
        <v>Low Risk</v>
      </c>
      <c r="R2886">
        <f>IF(Table1[[#This Row],[Seconds of Use]]=0,0,Table1[[#This Row],[Customer Value]]/Table1[[#This Row],[Seconds of Use]]*100)</f>
        <v>21.284319119669874</v>
      </c>
    </row>
    <row r="2887" spans="1:18" x14ac:dyDescent="0.35">
      <c r="A2887" s="3" t="s">
        <v>2908</v>
      </c>
      <c r="B2887">
        <v>5</v>
      </c>
      <c r="C2887">
        <v>0</v>
      </c>
      <c r="D2887">
        <v>33</v>
      </c>
      <c r="E2887">
        <v>0</v>
      </c>
      <c r="F2887">
        <v>4023</v>
      </c>
      <c r="G2887">
        <v>82</v>
      </c>
      <c r="H2887">
        <v>1</v>
      </c>
      <c r="I2887">
        <v>29</v>
      </c>
      <c r="J2887">
        <v>2</v>
      </c>
      <c r="K2887">
        <v>1</v>
      </c>
      <c r="L2887">
        <v>1</v>
      </c>
      <c r="M2887">
        <v>25</v>
      </c>
      <c r="N2887">
        <v>189.22499999999999</v>
      </c>
      <c r="O2887">
        <v>0</v>
      </c>
      <c r="P28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87" t="str">
        <f>IF(Table1[[#This Row],[Fraud_Score]]&gt;=6, "High Risk",IF(Table1[[#This Row],[Fraud_Score]]&gt;=3, "Medium Risk", "Low Risk"))</f>
        <v>Low Risk</v>
      </c>
      <c r="R2887">
        <f>IF(Table1[[#This Row],[Seconds of Use]]=0,0,Table1[[#This Row],[Customer Value]]/Table1[[#This Row],[Seconds of Use]]*100)</f>
        <v>4.7035794183445185</v>
      </c>
    </row>
    <row r="2888" spans="1:18" x14ac:dyDescent="0.35">
      <c r="A2888" s="3" t="s">
        <v>2909</v>
      </c>
      <c r="B2888">
        <v>6</v>
      </c>
      <c r="C2888">
        <v>0</v>
      </c>
      <c r="D2888">
        <v>32</v>
      </c>
      <c r="E2888">
        <v>0</v>
      </c>
      <c r="F2888">
        <v>1970</v>
      </c>
      <c r="G2888">
        <v>44</v>
      </c>
      <c r="H2888">
        <v>37</v>
      </c>
      <c r="I2888">
        <v>21</v>
      </c>
      <c r="J2888">
        <v>3</v>
      </c>
      <c r="K2888">
        <v>1</v>
      </c>
      <c r="L2888">
        <v>2</v>
      </c>
      <c r="M2888">
        <v>30</v>
      </c>
      <c r="N2888">
        <v>228.56</v>
      </c>
      <c r="O2888">
        <v>0</v>
      </c>
      <c r="P28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88" t="str">
        <f>IF(Table1[[#This Row],[Fraud_Score]]&gt;=6, "High Risk",IF(Table1[[#This Row],[Fraud_Score]]&gt;=3, "Medium Risk", "Low Risk"))</f>
        <v>Low Risk</v>
      </c>
      <c r="R2888">
        <f>IF(Table1[[#This Row],[Seconds of Use]]=0,0,Table1[[#This Row],[Customer Value]]/Table1[[#This Row],[Seconds of Use]]*100)</f>
        <v>11.602030456852793</v>
      </c>
    </row>
    <row r="2889" spans="1:18" x14ac:dyDescent="0.35">
      <c r="A2889" s="3" t="s">
        <v>2910</v>
      </c>
      <c r="B2889">
        <v>9</v>
      </c>
      <c r="C2889">
        <v>0</v>
      </c>
      <c r="D2889">
        <v>33</v>
      </c>
      <c r="E2889">
        <v>0</v>
      </c>
      <c r="F2889">
        <v>3085</v>
      </c>
      <c r="G2889">
        <v>53</v>
      </c>
      <c r="H2889">
        <v>174</v>
      </c>
      <c r="I2889">
        <v>24</v>
      </c>
      <c r="J2889">
        <v>2</v>
      </c>
      <c r="K2889">
        <v>1</v>
      </c>
      <c r="L2889">
        <v>1</v>
      </c>
      <c r="M2889">
        <v>25</v>
      </c>
      <c r="N2889">
        <v>924.21</v>
      </c>
      <c r="O2889">
        <v>0</v>
      </c>
      <c r="P28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89" t="str">
        <f>IF(Table1[[#This Row],[Fraud_Score]]&gt;=6, "High Risk",IF(Table1[[#This Row],[Fraud_Score]]&gt;=3, "Medium Risk", "Low Risk"))</f>
        <v>Low Risk</v>
      </c>
      <c r="R2889">
        <f>IF(Table1[[#This Row],[Seconds of Use]]=0,0,Table1[[#This Row],[Customer Value]]/Table1[[#This Row],[Seconds of Use]]*100)</f>
        <v>29.958184764991895</v>
      </c>
    </row>
    <row r="2890" spans="1:18" x14ac:dyDescent="0.35">
      <c r="A2890" s="3" t="s">
        <v>2911</v>
      </c>
      <c r="B2890">
        <v>7</v>
      </c>
      <c r="C2890">
        <v>0</v>
      </c>
      <c r="D2890">
        <v>24</v>
      </c>
      <c r="E2890">
        <v>1</v>
      </c>
      <c r="F2890">
        <v>1620</v>
      </c>
      <c r="G2890">
        <v>36</v>
      </c>
      <c r="H2890">
        <v>192</v>
      </c>
      <c r="I2890">
        <v>12</v>
      </c>
      <c r="J2890">
        <v>2</v>
      </c>
      <c r="K2890">
        <v>2</v>
      </c>
      <c r="L2890">
        <v>1</v>
      </c>
      <c r="M2890">
        <v>25</v>
      </c>
      <c r="N2890">
        <v>938.52</v>
      </c>
      <c r="O2890">
        <v>0</v>
      </c>
      <c r="P28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890" t="str">
        <f>IF(Table1[[#This Row],[Fraud_Score]]&gt;=6, "High Risk",IF(Table1[[#This Row],[Fraud_Score]]&gt;=3, "Medium Risk", "Low Risk"))</f>
        <v>Low Risk</v>
      </c>
      <c r="R2890">
        <f>IF(Table1[[#This Row],[Seconds of Use]]=0,0,Table1[[#This Row],[Customer Value]]/Table1[[#This Row],[Seconds of Use]]*100)</f>
        <v>57.933333333333337</v>
      </c>
    </row>
    <row r="2891" spans="1:18" x14ac:dyDescent="0.35">
      <c r="A2891" s="3" t="s">
        <v>2912</v>
      </c>
      <c r="B2891">
        <v>7</v>
      </c>
      <c r="C2891">
        <v>0</v>
      </c>
      <c r="D2891">
        <v>23</v>
      </c>
      <c r="E2891">
        <v>0</v>
      </c>
      <c r="F2891">
        <v>1873</v>
      </c>
      <c r="G2891">
        <v>39</v>
      </c>
      <c r="H2891">
        <v>29</v>
      </c>
      <c r="I2891">
        <v>69</v>
      </c>
      <c r="J2891">
        <v>4</v>
      </c>
      <c r="K2891">
        <v>1</v>
      </c>
      <c r="L2891">
        <v>1</v>
      </c>
      <c r="M2891">
        <v>45</v>
      </c>
      <c r="N2891">
        <v>120.3</v>
      </c>
      <c r="O2891">
        <v>0</v>
      </c>
      <c r="P28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91" t="str">
        <f>IF(Table1[[#This Row],[Fraud_Score]]&gt;=6, "High Risk",IF(Table1[[#This Row],[Fraud_Score]]&gt;=3, "Medium Risk", "Low Risk"))</f>
        <v>Low Risk</v>
      </c>
      <c r="R2891">
        <f>IF(Table1[[#This Row],[Seconds of Use]]=0,0,Table1[[#This Row],[Customer Value]]/Table1[[#This Row],[Seconds of Use]]*100)</f>
        <v>6.4228510411105182</v>
      </c>
    </row>
    <row r="2892" spans="1:18" x14ac:dyDescent="0.35">
      <c r="A2892" s="3" t="s">
        <v>2913</v>
      </c>
      <c r="B2892">
        <v>14</v>
      </c>
      <c r="C2892">
        <v>0</v>
      </c>
      <c r="D2892">
        <v>24</v>
      </c>
      <c r="E2892">
        <v>0</v>
      </c>
      <c r="F2892">
        <v>1005</v>
      </c>
      <c r="G2892">
        <v>25</v>
      </c>
      <c r="H2892">
        <v>9</v>
      </c>
      <c r="I2892">
        <v>8</v>
      </c>
      <c r="J2892">
        <v>2</v>
      </c>
      <c r="K2892">
        <v>1</v>
      </c>
      <c r="L2892">
        <v>2</v>
      </c>
      <c r="M2892">
        <v>25</v>
      </c>
      <c r="N2892">
        <v>86.85</v>
      </c>
      <c r="O2892">
        <v>0</v>
      </c>
      <c r="P28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92" t="str">
        <f>IF(Table1[[#This Row],[Fraud_Score]]&gt;=6, "High Risk",IF(Table1[[#This Row],[Fraud_Score]]&gt;=3, "Medium Risk", "Low Risk"))</f>
        <v>Medium Risk</v>
      </c>
      <c r="R2892">
        <f>IF(Table1[[#This Row],[Seconds of Use]]=0,0,Table1[[#This Row],[Customer Value]]/Table1[[#This Row],[Seconds of Use]]*100)</f>
        <v>8.6417910447761184</v>
      </c>
    </row>
    <row r="2893" spans="1:18" x14ac:dyDescent="0.35">
      <c r="A2893" s="3" t="s">
        <v>2914</v>
      </c>
      <c r="B2893">
        <v>3</v>
      </c>
      <c r="C2893">
        <v>0</v>
      </c>
      <c r="D2893">
        <v>23</v>
      </c>
      <c r="E2893">
        <v>0</v>
      </c>
      <c r="F2893">
        <v>1130</v>
      </c>
      <c r="G2893">
        <v>10</v>
      </c>
      <c r="H2893">
        <v>20</v>
      </c>
      <c r="I2893">
        <v>4</v>
      </c>
      <c r="J2893">
        <v>4</v>
      </c>
      <c r="K2893">
        <v>1</v>
      </c>
      <c r="L2893">
        <v>2</v>
      </c>
      <c r="M2893">
        <v>45</v>
      </c>
      <c r="N2893">
        <v>78.5</v>
      </c>
      <c r="O2893">
        <v>0</v>
      </c>
      <c r="P28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93" t="str">
        <f>IF(Table1[[#This Row],[Fraud_Score]]&gt;=6, "High Risk",IF(Table1[[#This Row],[Fraud_Score]]&gt;=3, "Medium Risk", "Low Risk"))</f>
        <v>Low Risk</v>
      </c>
      <c r="R2893">
        <f>IF(Table1[[#This Row],[Seconds of Use]]=0,0,Table1[[#This Row],[Customer Value]]/Table1[[#This Row],[Seconds of Use]]*100)</f>
        <v>6.946902654867257</v>
      </c>
    </row>
    <row r="2894" spans="1:18" x14ac:dyDescent="0.35">
      <c r="A2894" s="3" t="s">
        <v>2915</v>
      </c>
      <c r="B2894">
        <v>13</v>
      </c>
      <c r="C2894">
        <v>0</v>
      </c>
      <c r="D2894">
        <v>22</v>
      </c>
      <c r="E2894">
        <v>0</v>
      </c>
      <c r="F2894">
        <v>1530</v>
      </c>
      <c r="G2894">
        <v>32</v>
      </c>
      <c r="H2894">
        <v>18</v>
      </c>
      <c r="I2894">
        <v>14</v>
      </c>
      <c r="J2894">
        <v>2</v>
      </c>
      <c r="K2894">
        <v>1</v>
      </c>
      <c r="L2894">
        <v>1</v>
      </c>
      <c r="M2894">
        <v>25</v>
      </c>
      <c r="N2894">
        <v>151.29</v>
      </c>
      <c r="O2894">
        <v>0</v>
      </c>
      <c r="P28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894" t="str">
        <f>IF(Table1[[#This Row],[Fraud_Score]]&gt;=6, "High Risk",IF(Table1[[#This Row],[Fraud_Score]]&gt;=3, "Medium Risk", "Low Risk"))</f>
        <v>Medium Risk</v>
      </c>
      <c r="R2894">
        <f>IF(Table1[[#This Row],[Seconds of Use]]=0,0,Table1[[#This Row],[Customer Value]]/Table1[[#This Row],[Seconds of Use]]*100)</f>
        <v>9.8882352941176457</v>
      </c>
    </row>
    <row r="2895" spans="1:18" x14ac:dyDescent="0.35">
      <c r="A2895" s="3" t="s">
        <v>2916</v>
      </c>
      <c r="B2895">
        <v>5</v>
      </c>
      <c r="C2895">
        <v>0</v>
      </c>
      <c r="D2895">
        <v>22</v>
      </c>
      <c r="E2895">
        <v>0</v>
      </c>
      <c r="F2895">
        <v>3530</v>
      </c>
      <c r="G2895">
        <v>61</v>
      </c>
      <c r="H2895">
        <v>7</v>
      </c>
      <c r="I2895">
        <v>24</v>
      </c>
      <c r="J2895">
        <v>3</v>
      </c>
      <c r="K2895">
        <v>1</v>
      </c>
      <c r="L2895">
        <v>1</v>
      </c>
      <c r="M2895">
        <v>30</v>
      </c>
      <c r="N2895">
        <v>171.64</v>
      </c>
      <c r="O2895">
        <v>0</v>
      </c>
      <c r="P28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95" t="str">
        <f>IF(Table1[[#This Row],[Fraud_Score]]&gt;=6, "High Risk",IF(Table1[[#This Row],[Fraud_Score]]&gt;=3, "Medium Risk", "Low Risk"))</f>
        <v>Low Risk</v>
      </c>
      <c r="R2895">
        <f>IF(Table1[[#This Row],[Seconds of Use]]=0,0,Table1[[#This Row],[Customer Value]]/Table1[[#This Row],[Seconds of Use]]*100)</f>
        <v>4.8623229461756372</v>
      </c>
    </row>
    <row r="2896" spans="1:18" x14ac:dyDescent="0.35">
      <c r="A2896" s="3" t="s">
        <v>2917</v>
      </c>
      <c r="B2896">
        <v>5</v>
      </c>
      <c r="C2896">
        <v>0</v>
      </c>
      <c r="D2896">
        <v>15</v>
      </c>
      <c r="E2896">
        <v>0</v>
      </c>
      <c r="F2896">
        <v>2000</v>
      </c>
      <c r="G2896">
        <v>26</v>
      </c>
      <c r="H2896">
        <v>27</v>
      </c>
      <c r="I2896">
        <v>15</v>
      </c>
      <c r="J2896">
        <v>2</v>
      </c>
      <c r="K2896">
        <v>1</v>
      </c>
      <c r="L2896">
        <v>1</v>
      </c>
      <c r="M2896">
        <v>25</v>
      </c>
      <c r="N2896">
        <v>212.67</v>
      </c>
      <c r="O2896">
        <v>0</v>
      </c>
      <c r="P28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896" t="str">
        <f>IF(Table1[[#This Row],[Fraud_Score]]&gt;=6, "High Risk",IF(Table1[[#This Row],[Fraud_Score]]&gt;=3, "Medium Risk", "Low Risk"))</f>
        <v>Low Risk</v>
      </c>
      <c r="R2896">
        <f>IF(Table1[[#This Row],[Seconds of Use]]=0,0,Table1[[#This Row],[Customer Value]]/Table1[[#This Row],[Seconds of Use]]*100)</f>
        <v>10.6335</v>
      </c>
    </row>
    <row r="2897" spans="1:18" x14ac:dyDescent="0.35">
      <c r="A2897" s="3" t="s">
        <v>2918</v>
      </c>
      <c r="B2897">
        <v>19</v>
      </c>
      <c r="C2897">
        <v>0</v>
      </c>
      <c r="D2897">
        <v>14</v>
      </c>
      <c r="E2897">
        <v>1</v>
      </c>
      <c r="F2897">
        <v>6697</v>
      </c>
      <c r="G2897">
        <v>141</v>
      </c>
      <c r="H2897">
        <v>84</v>
      </c>
      <c r="I2897">
        <v>43</v>
      </c>
      <c r="J2897">
        <v>1</v>
      </c>
      <c r="K2897">
        <v>2</v>
      </c>
      <c r="L2897">
        <v>1</v>
      </c>
      <c r="M2897">
        <v>15</v>
      </c>
      <c r="N2897">
        <v>838.09</v>
      </c>
      <c r="O2897">
        <v>0</v>
      </c>
      <c r="P28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897" t="str">
        <f>IF(Table1[[#This Row],[Fraud_Score]]&gt;=6, "High Risk",IF(Table1[[#This Row],[Fraud_Score]]&gt;=3, "Medium Risk", "Low Risk"))</f>
        <v>Medium Risk</v>
      </c>
      <c r="R2897">
        <f>IF(Table1[[#This Row],[Seconds of Use]]=0,0,Table1[[#This Row],[Customer Value]]/Table1[[#This Row],[Seconds of Use]]*100)</f>
        <v>12.514409437061373</v>
      </c>
    </row>
    <row r="2898" spans="1:18" x14ac:dyDescent="0.35">
      <c r="A2898" s="3" t="s">
        <v>2919</v>
      </c>
      <c r="B2898">
        <v>15</v>
      </c>
      <c r="C2898">
        <v>0</v>
      </c>
      <c r="D2898">
        <v>12</v>
      </c>
      <c r="E2898">
        <v>0</v>
      </c>
      <c r="F2898">
        <v>9237</v>
      </c>
      <c r="G2898">
        <v>171</v>
      </c>
      <c r="H2898">
        <v>72</v>
      </c>
      <c r="I2898">
        <v>41</v>
      </c>
      <c r="J2898">
        <v>4</v>
      </c>
      <c r="K2898">
        <v>1</v>
      </c>
      <c r="L2898">
        <v>1</v>
      </c>
      <c r="M2898">
        <v>45</v>
      </c>
      <c r="N2898">
        <v>415.2</v>
      </c>
      <c r="O2898">
        <v>0</v>
      </c>
      <c r="P28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898" t="str">
        <f>IF(Table1[[#This Row],[Fraud_Score]]&gt;=6, "High Risk",IF(Table1[[#This Row],[Fraud_Score]]&gt;=3, "Medium Risk", "Low Risk"))</f>
        <v>Medium Risk</v>
      </c>
      <c r="R2898">
        <f>IF(Table1[[#This Row],[Seconds of Use]]=0,0,Table1[[#This Row],[Customer Value]]/Table1[[#This Row],[Seconds of Use]]*100)</f>
        <v>4.4949658980188367</v>
      </c>
    </row>
    <row r="2899" spans="1:18" x14ac:dyDescent="0.35">
      <c r="A2899" s="3" t="s">
        <v>2920</v>
      </c>
      <c r="B2899">
        <v>11</v>
      </c>
      <c r="C2899">
        <v>0</v>
      </c>
      <c r="D2899">
        <v>13</v>
      </c>
      <c r="E2899">
        <v>3</v>
      </c>
      <c r="F2899">
        <v>3157</v>
      </c>
      <c r="G2899">
        <v>45</v>
      </c>
      <c r="H2899">
        <v>30</v>
      </c>
      <c r="I2899">
        <v>20</v>
      </c>
      <c r="J2899">
        <v>3</v>
      </c>
      <c r="K2899">
        <v>1</v>
      </c>
      <c r="L2899">
        <v>1</v>
      </c>
      <c r="M2899">
        <v>30</v>
      </c>
      <c r="N2899">
        <v>248.08</v>
      </c>
      <c r="O2899">
        <v>0</v>
      </c>
      <c r="P28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899" t="str">
        <f>IF(Table1[[#This Row],[Fraud_Score]]&gt;=6, "High Risk",IF(Table1[[#This Row],[Fraud_Score]]&gt;=3, "Medium Risk", "Low Risk"))</f>
        <v>Low Risk</v>
      </c>
      <c r="R2899">
        <f>IF(Table1[[#This Row],[Seconds of Use]]=0,0,Table1[[#This Row],[Customer Value]]/Table1[[#This Row],[Seconds of Use]]*100)</f>
        <v>7.8580931263858096</v>
      </c>
    </row>
    <row r="2900" spans="1:18" x14ac:dyDescent="0.35">
      <c r="A2900" s="3" t="s">
        <v>2921</v>
      </c>
      <c r="B2900">
        <v>5</v>
      </c>
      <c r="C2900">
        <v>0</v>
      </c>
      <c r="D2900">
        <v>6</v>
      </c>
      <c r="E2900">
        <v>1</v>
      </c>
      <c r="F2900">
        <v>4695</v>
      </c>
      <c r="G2900">
        <v>40</v>
      </c>
      <c r="H2900">
        <v>214</v>
      </c>
      <c r="I2900">
        <v>11</v>
      </c>
      <c r="J2900">
        <v>3</v>
      </c>
      <c r="K2900">
        <v>1</v>
      </c>
      <c r="L2900">
        <v>1</v>
      </c>
      <c r="M2900">
        <v>30</v>
      </c>
      <c r="N2900">
        <v>1045.4000000000001</v>
      </c>
      <c r="O2900">
        <v>0</v>
      </c>
      <c r="P29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00" t="str">
        <f>IF(Table1[[#This Row],[Fraud_Score]]&gt;=6, "High Risk",IF(Table1[[#This Row],[Fraud_Score]]&gt;=3, "Medium Risk", "Low Risk"))</f>
        <v>Low Risk</v>
      </c>
      <c r="R2900">
        <f>IF(Table1[[#This Row],[Seconds of Use]]=0,0,Table1[[#This Row],[Customer Value]]/Table1[[#This Row],[Seconds of Use]]*100)</f>
        <v>22.266240681576146</v>
      </c>
    </row>
    <row r="2901" spans="1:18" x14ac:dyDescent="0.35">
      <c r="A2901" s="3" t="s">
        <v>2922</v>
      </c>
      <c r="B2901">
        <v>6</v>
      </c>
      <c r="C2901">
        <v>0</v>
      </c>
      <c r="D2901">
        <v>6</v>
      </c>
      <c r="E2901">
        <v>1</v>
      </c>
      <c r="F2901">
        <v>1792</v>
      </c>
      <c r="G2901">
        <v>19</v>
      </c>
      <c r="H2901">
        <v>0</v>
      </c>
      <c r="I2901">
        <v>8</v>
      </c>
      <c r="J2901">
        <v>3</v>
      </c>
      <c r="K2901">
        <v>1</v>
      </c>
      <c r="L2901">
        <v>1</v>
      </c>
      <c r="M2901">
        <v>30</v>
      </c>
      <c r="N2901">
        <v>72.44</v>
      </c>
      <c r="O2901">
        <v>1</v>
      </c>
      <c r="P29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01" t="str">
        <f>IF(Table1[[#This Row],[Fraud_Score]]&gt;=6, "High Risk",IF(Table1[[#This Row],[Fraud_Score]]&gt;=3, "Medium Risk", "Low Risk"))</f>
        <v>Low Risk</v>
      </c>
      <c r="R2901">
        <f>IF(Table1[[#This Row],[Seconds of Use]]=0,0,Table1[[#This Row],[Customer Value]]/Table1[[#This Row],[Seconds of Use]]*100)</f>
        <v>4.0424107142857144</v>
      </c>
    </row>
    <row r="2902" spans="1:18" x14ac:dyDescent="0.35">
      <c r="A2902" s="3" t="s">
        <v>2923</v>
      </c>
      <c r="B2902">
        <v>15</v>
      </c>
      <c r="C2902">
        <v>0</v>
      </c>
      <c r="D2902">
        <v>45</v>
      </c>
      <c r="E2902">
        <v>2</v>
      </c>
      <c r="F2902">
        <v>4675</v>
      </c>
      <c r="G2902">
        <v>83</v>
      </c>
      <c r="H2902">
        <v>20</v>
      </c>
      <c r="I2902">
        <v>20</v>
      </c>
      <c r="J2902">
        <v>3</v>
      </c>
      <c r="K2902">
        <v>1</v>
      </c>
      <c r="L2902">
        <v>1</v>
      </c>
      <c r="M2902">
        <v>30</v>
      </c>
      <c r="N2902">
        <v>270.32</v>
      </c>
      <c r="O2902">
        <v>0</v>
      </c>
      <c r="P29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02" t="str">
        <f>IF(Table1[[#This Row],[Fraud_Score]]&gt;=6, "High Risk",IF(Table1[[#This Row],[Fraud_Score]]&gt;=3, "Medium Risk", "Low Risk"))</f>
        <v>Low Risk</v>
      </c>
      <c r="R2902">
        <f>IF(Table1[[#This Row],[Seconds of Use]]=0,0,Table1[[#This Row],[Customer Value]]/Table1[[#This Row],[Seconds of Use]]*100)</f>
        <v>5.7822459893048128</v>
      </c>
    </row>
    <row r="2903" spans="1:18" x14ac:dyDescent="0.35">
      <c r="A2903" s="3" t="s">
        <v>2924</v>
      </c>
      <c r="B2903">
        <v>7</v>
      </c>
      <c r="C2903">
        <v>0</v>
      </c>
      <c r="D2903">
        <v>46</v>
      </c>
      <c r="E2903">
        <v>0</v>
      </c>
      <c r="F2903">
        <v>623</v>
      </c>
      <c r="G2903">
        <v>17</v>
      </c>
      <c r="H2903">
        <v>22</v>
      </c>
      <c r="I2903">
        <v>7</v>
      </c>
      <c r="J2903">
        <v>3</v>
      </c>
      <c r="K2903">
        <v>1</v>
      </c>
      <c r="L2903">
        <v>2</v>
      </c>
      <c r="M2903">
        <v>30</v>
      </c>
      <c r="N2903">
        <v>113.6</v>
      </c>
      <c r="O2903">
        <v>0</v>
      </c>
      <c r="P29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03" t="str">
        <f>IF(Table1[[#This Row],[Fraud_Score]]&gt;=6, "High Risk",IF(Table1[[#This Row],[Fraud_Score]]&gt;=3, "Medium Risk", "Low Risk"))</f>
        <v>Low Risk</v>
      </c>
      <c r="R2903">
        <f>IF(Table1[[#This Row],[Seconds of Use]]=0,0,Table1[[#This Row],[Customer Value]]/Table1[[#This Row],[Seconds of Use]]*100)</f>
        <v>18.234349919743178</v>
      </c>
    </row>
    <row r="2904" spans="1:18" x14ac:dyDescent="0.35">
      <c r="A2904" s="3" t="s">
        <v>2925</v>
      </c>
      <c r="B2904">
        <v>17</v>
      </c>
      <c r="C2904">
        <v>0</v>
      </c>
      <c r="D2904">
        <v>44</v>
      </c>
      <c r="E2904">
        <v>2</v>
      </c>
      <c r="F2904">
        <v>2758</v>
      </c>
      <c r="G2904">
        <v>72</v>
      </c>
      <c r="H2904">
        <v>374</v>
      </c>
      <c r="I2904">
        <v>27</v>
      </c>
      <c r="J2904">
        <v>3</v>
      </c>
      <c r="K2904">
        <v>1</v>
      </c>
      <c r="L2904">
        <v>1</v>
      </c>
      <c r="M2904">
        <v>30</v>
      </c>
      <c r="N2904">
        <v>1609.2</v>
      </c>
      <c r="O2904">
        <v>0</v>
      </c>
      <c r="P29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04" t="str">
        <f>IF(Table1[[#This Row],[Fraud_Score]]&gt;=6, "High Risk",IF(Table1[[#This Row],[Fraud_Score]]&gt;=3, "Medium Risk", "Low Risk"))</f>
        <v>Low Risk</v>
      </c>
      <c r="R2904">
        <f>IF(Table1[[#This Row],[Seconds of Use]]=0,0,Table1[[#This Row],[Customer Value]]/Table1[[#This Row],[Seconds of Use]]*100)</f>
        <v>58.346627991298035</v>
      </c>
    </row>
    <row r="2905" spans="1:18" x14ac:dyDescent="0.35">
      <c r="A2905" s="3" t="s">
        <v>2926</v>
      </c>
      <c r="B2905">
        <v>17</v>
      </c>
      <c r="C2905">
        <v>0</v>
      </c>
      <c r="D2905">
        <v>45</v>
      </c>
      <c r="E2905">
        <v>2</v>
      </c>
      <c r="F2905">
        <v>4503</v>
      </c>
      <c r="G2905">
        <v>78</v>
      </c>
      <c r="H2905">
        <v>16</v>
      </c>
      <c r="I2905">
        <v>38</v>
      </c>
      <c r="J2905">
        <v>1</v>
      </c>
      <c r="K2905">
        <v>1</v>
      </c>
      <c r="L2905">
        <v>1</v>
      </c>
      <c r="M2905">
        <v>15</v>
      </c>
      <c r="N2905">
        <v>339.95499999999998</v>
      </c>
      <c r="O2905">
        <v>0</v>
      </c>
      <c r="P29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05" t="str">
        <f>IF(Table1[[#This Row],[Fraud_Score]]&gt;=6, "High Risk",IF(Table1[[#This Row],[Fraud_Score]]&gt;=3, "Medium Risk", "Low Risk"))</f>
        <v>Low Risk</v>
      </c>
      <c r="R2905">
        <f>IF(Table1[[#This Row],[Seconds of Use]]=0,0,Table1[[#This Row],[Customer Value]]/Table1[[#This Row],[Seconds of Use]]*100)</f>
        <v>7.5495225405285362</v>
      </c>
    </row>
    <row r="2906" spans="1:18" x14ac:dyDescent="0.35">
      <c r="A2906" s="3" t="s">
        <v>2927</v>
      </c>
      <c r="B2906">
        <v>10</v>
      </c>
      <c r="C2906">
        <v>0</v>
      </c>
      <c r="D2906">
        <v>45</v>
      </c>
      <c r="E2906">
        <v>2</v>
      </c>
      <c r="F2906">
        <v>2698</v>
      </c>
      <c r="G2906">
        <v>70</v>
      </c>
      <c r="H2906">
        <v>17</v>
      </c>
      <c r="I2906">
        <v>36</v>
      </c>
      <c r="J2906">
        <v>2</v>
      </c>
      <c r="K2906">
        <v>1</v>
      </c>
      <c r="L2906">
        <v>1</v>
      </c>
      <c r="M2906">
        <v>25</v>
      </c>
      <c r="N2906">
        <v>201.06</v>
      </c>
      <c r="O2906">
        <v>0</v>
      </c>
      <c r="P29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06" t="str">
        <f>IF(Table1[[#This Row],[Fraud_Score]]&gt;=6, "High Risk",IF(Table1[[#This Row],[Fraud_Score]]&gt;=3, "Medium Risk", "Low Risk"))</f>
        <v>Low Risk</v>
      </c>
      <c r="R2906">
        <f>IF(Table1[[#This Row],[Seconds of Use]]=0,0,Table1[[#This Row],[Customer Value]]/Table1[[#This Row],[Seconds of Use]]*100)</f>
        <v>7.4521868050407711</v>
      </c>
    </row>
    <row r="2907" spans="1:18" x14ac:dyDescent="0.35">
      <c r="A2907" s="3" t="s">
        <v>2928</v>
      </c>
      <c r="B2907">
        <v>18</v>
      </c>
      <c r="C2907">
        <v>0</v>
      </c>
      <c r="D2907">
        <v>45</v>
      </c>
      <c r="E2907">
        <v>3</v>
      </c>
      <c r="F2907">
        <v>4080</v>
      </c>
      <c r="G2907">
        <v>94</v>
      </c>
      <c r="H2907">
        <v>47</v>
      </c>
      <c r="I2907">
        <v>31</v>
      </c>
      <c r="J2907">
        <v>3</v>
      </c>
      <c r="K2907">
        <v>1</v>
      </c>
      <c r="L2907">
        <v>1</v>
      </c>
      <c r="M2907">
        <v>30</v>
      </c>
      <c r="N2907">
        <v>354.96</v>
      </c>
      <c r="O2907">
        <v>0</v>
      </c>
      <c r="P29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07" t="str">
        <f>IF(Table1[[#This Row],[Fraud_Score]]&gt;=6, "High Risk",IF(Table1[[#This Row],[Fraud_Score]]&gt;=3, "Medium Risk", "Low Risk"))</f>
        <v>Low Risk</v>
      </c>
      <c r="R2907">
        <f>IF(Table1[[#This Row],[Seconds of Use]]=0,0,Table1[[#This Row],[Customer Value]]/Table1[[#This Row],[Seconds of Use]]*100)</f>
        <v>8.6999999999999993</v>
      </c>
    </row>
    <row r="2908" spans="1:18" x14ac:dyDescent="0.35">
      <c r="A2908" s="3" t="s">
        <v>2929</v>
      </c>
      <c r="B2908">
        <v>11</v>
      </c>
      <c r="C2908">
        <v>0</v>
      </c>
      <c r="D2908">
        <v>45</v>
      </c>
      <c r="E2908">
        <v>2</v>
      </c>
      <c r="F2908">
        <v>2665</v>
      </c>
      <c r="G2908">
        <v>51</v>
      </c>
      <c r="H2908">
        <v>300</v>
      </c>
      <c r="I2908">
        <v>21</v>
      </c>
      <c r="J2908">
        <v>4</v>
      </c>
      <c r="K2908">
        <v>1</v>
      </c>
      <c r="L2908">
        <v>1</v>
      </c>
      <c r="M2908">
        <v>45</v>
      </c>
      <c r="N2908">
        <v>817.9</v>
      </c>
      <c r="O2908">
        <v>0</v>
      </c>
      <c r="P29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08" t="str">
        <f>IF(Table1[[#This Row],[Fraud_Score]]&gt;=6, "High Risk",IF(Table1[[#This Row],[Fraud_Score]]&gt;=3, "Medium Risk", "Low Risk"))</f>
        <v>Low Risk</v>
      </c>
      <c r="R2908">
        <f>IF(Table1[[#This Row],[Seconds of Use]]=0,0,Table1[[#This Row],[Customer Value]]/Table1[[#This Row],[Seconds of Use]]*100)</f>
        <v>30.690431519699814</v>
      </c>
    </row>
    <row r="2909" spans="1:18" x14ac:dyDescent="0.35">
      <c r="A2909" s="3" t="s">
        <v>2930</v>
      </c>
      <c r="B2909">
        <v>20</v>
      </c>
      <c r="C2909">
        <v>0</v>
      </c>
      <c r="D2909">
        <v>44</v>
      </c>
      <c r="E2909">
        <v>4</v>
      </c>
      <c r="F2909">
        <v>9420</v>
      </c>
      <c r="G2909">
        <v>133</v>
      </c>
      <c r="H2909">
        <v>159</v>
      </c>
      <c r="I2909">
        <v>46</v>
      </c>
      <c r="J2909">
        <v>3</v>
      </c>
      <c r="K2909">
        <v>1</v>
      </c>
      <c r="L2909">
        <v>1</v>
      </c>
      <c r="M2909">
        <v>30</v>
      </c>
      <c r="N2909">
        <v>1018.12</v>
      </c>
      <c r="O2909">
        <v>0</v>
      </c>
      <c r="P29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09" t="str">
        <f>IF(Table1[[#This Row],[Fraud_Score]]&gt;=6, "High Risk",IF(Table1[[#This Row],[Fraud_Score]]&gt;=3, "Medium Risk", "Low Risk"))</f>
        <v>Low Risk</v>
      </c>
      <c r="R2909">
        <f>IF(Table1[[#This Row],[Seconds of Use]]=0,0,Table1[[#This Row],[Customer Value]]/Table1[[#This Row],[Seconds of Use]]*100)</f>
        <v>10.808067940552018</v>
      </c>
    </row>
    <row r="2910" spans="1:18" x14ac:dyDescent="0.35">
      <c r="A2910" s="3" t="s">
        <v>2931</v>
      </c>
      <c r="B2910">
        <v>14</v>
      </c>
      <c r="C2910">
        <v>0</v>
      </c>
      <c r="D2910">
        <v>45</v>
      </c>
      <c r="E2910">
        <v>2</v>
      </c>
      <c r="F2910">
        <v>14078</v>
      </c>
      <c r="G2910">
        <v>181</v>
      </c>
      <c r="H2910">
        <v>15</v>
      </c>
      <c r="I2910">
        <v>47</v>
      </c>
      <c r="J2910">
        <v>3</v>
      </c>
      <c r="K2910">
        <v>1</v>
      </c>
      <c r="L2910">
        <v>1</v>
      </c>
      <c r="M2910">
        <v>30</v>
      </c>
      <c r="N2910">
        <v>630.36</v>
      </c>
      <c r="O2910">
        <v>0</v>
      </c>
      <c r="P29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10" t="str">
        <f>IF(Table1[[#This Row],[Fraud_Score]]&gt;=6, "High Risk",IF(Table1[[#This Row],[Fraud_Score]]&gt;=3, "Medium Risk", "Low Risk"))</f>
        <v>Medium Risk</v>
      </c>
      <c r="R2910">
        <f>IF(Table1[[#This Row],[Seconds of Use]]=0,0,Table1[[#This Row],[Customer Value]]/Table1[[#This Row],[Seconds of Use]]*100)</f>
        <v>4.4776246625941187</v>
      </c>
    </row>
    <row r="2911" spans="1:18" x14ac:dyDescent="0.35">
      <c r="A2911" s="3" t="s">
        <v>2932</v>
      </c>
      <c r="B2911">
        <v>14</v>
      </c>
      <c r="C2911">
        <v>0</v>
      </c>
      <c r="D2911">
        <v>45</v>
      </c>
      <c r="E2911">
        <v>3</v>
      </c>
      <c r="F2911">
        <v>4820</v>
      </c>
      <c r="G2911">
        <v>95</v>
      </c>
      <c r="H2911">
        <v>17</v>
      </c>
      <c r="I2911">
        <v>28</v>
      </c>
      <c r="J2911">
        <v>4</v>
      </c>
      <c r="K2911">
        <v>1</v>
      </c>
      <c r="L2911">
        <v>1</v>
      </c>
      <c r="M2911">
        <v>45</v>
      </c>
      <c r="N2911">
        <v>165.375</v>
      </c>
      <c r="O2911">
        <v>0</v>
      </c>
      <c r="P29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11" t="str">
        <f>IF(Table1[[#This Row],[Fraud_Score]]&gt;=6, "High Risk",IF(Table1[[#This Row],[Fraud_Score]]&gt;=3, "Medium Risk", "Low Risk"))</f>
        <v>Low Risk</v>
      </c>
      <c r="R2911">
        <f>IF(Table1[[#This Row],[Seconds of Use]]=0,0,Table1[[#This Row],[Customer Value]]/Table1[[#This Row],[Seconds of Use]]*100)</f>
        <v>3.4310165975103737</v>
      </c>
    </row>
    <row r="2912" spans="1:18" x14ac:dyDescent="0.35">
      <c r="A2912" s="3" t="s">
        <v>2933</v>
      </c>
      <c r="B2912">
        <v>13</v>
      </c>
      <c r="C2912">
        <v>0</v>
      </c>
      <c r="D2912">
        <v>45</v>
      </c>
      <c r="E2912">
        <v>2</v>
      </c>
      <c r="F2912">
        <v>6223</v>
      </c>
      <c r="G2912">
        <v>107</v>
      </c>
      <c r="H2912">
        <v>22</v>
      </c>
      <c r="I2912">
        <v>15</v>
      </c>
      <c r="J2912">
        <v>3</v>
      </c>
      <c r="K2912">
        <v>1</v>
      </c>
      <c r="L2912">
        <v>1</v>
      </c>
      <c r="M2912">
        <v>30</v>
      </c>
      <c r="N2912">
        <v>341.2</v>
      </c>
      <c r="O2912">
        <v>0</v>
      </c>
      <c r="P29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12" t="str">
        <f>IF(Table1[[#This Row],[Fraud_Score]]&gt;=6, "High Risk",IF(Table1[[#This Row],[Fraud_Score]]&gt;=3, "Medium Risk", "Low Risk"))</f>
        <v>Low Risk</v>
      </c>
      <c r="R2912">
        <f>IF(Table1[[#This Row],[Seconds of Use]]=0,0,Table1[[#This Row],[Customer Value]]/Table1[[#This Row],[Seconds of Use]]*100)</f>
        <v>5.4828860678129514</v>
      </c>
    </row>
    <row r="2913" spans="1:18" x14ac:dyDescent="0.35">
      <c r="A2913" s="3" t="s">
        <v>2934</v>
      </c>
      <c r="B2913">
        <v>16</v>
      </c>
      <c r="C2913">
        <v>0</v>
      </c>
      <c r="D2913">
        <v>45</v>
      </c>
      <c r="E2913">
        <v>0</v>
      </c>
      <c r="F2913">
        <v>2543</v>
      </c>
      <c r="G2913">
        <v>66</v>
      </c>
      <c r="H2913">
        <v>23</v>
      </c>
      <c r="I2913">
        <v>20</v>
      </c>
      <c r="J2913">
        <v>4</v>
      </c>
      <c r="K2913">
        <v>1</v>
      </c>
      <c r="L2913">
        <v>2</v>
      </c>
      <c r="M2913">
        <v>45</v>
      </c>
      <c r="N2913">
        <v>122.72499999999999</v>
      </c>
      <c r="O2913">
        <v>0</v>
      </c>
      <c r="P29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13" t="str">
        <f>IF(Table1[[#This Row],[Fraud_Score]]&gt;=6, "High Risk",IF(Table1[[#This Row],[Fraud_Score]]&gt;=3, "Medium Risk", "Low Risk"))</f>
        <v>Medium Risk</v>
      </c>
      <c r="R2913">
        <f>IF(Table1[[#This Row],[Seconds of Use]]=0,0,Table1[[#This Row],[Customer Value]]/Table1[[#This Row],[Seconds of Use]]*100)</f>
        <v>4.8259929217459687</v>
      </c>
    </row>
    <row r="2914" spans="1:18" x14ac:dyDescent="0.35">
      <c r="A2914" s="3" t="s">
        <v>2935</v>
      </c>
      <c r="B2914">
        <v>32</v>
      </c>
      <c r="C2914">
        <v>0</v>
      </c>
      <c r="D2914">
        <v>45</v>
      </c>
      <c r="E2914">
        <v>5</v>
      </c>
      <c r="F2914">
        <v>15445</v>
      </c>
      <c r="G2914">
        <v>237</v>
      </c>
      <c r="H2914">
        <v>69</v>
      </c>
      <c r="I2914">
        <v>35</v>
      </c>
      <c r="J2914">
        <v>3</v>
      </c>
      <c r="K2914">
        <v>2</v>
      </c>
      <c r="L2914">
        <v>1</v>
      </c>
      <c r="M2914">
        <v>30</v>
      </c>
      <c r="N2914">
        <v>903.28</v>
      </c>
      <c r="O2914">
        <v>0</v>
      </c>
      <c r="P29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14" t="str">
        <f>IF(Table1[[#This Row],[Fraud_Score]]&gt;=6, "High Risk",IF(Table1[[#This Row],[Fraud_Score]]&gt;=3, "Medium Risk", "Low Risk"))</f>
        <v>Medium Risk</v>
      </c>
      <c r="R2914">
        <f>IF(Table1[[#This Row],[Seconds of Use]]=0,0,Table1[[#This Row],[Customer Value]]/Table1[[#This Row],[Seconds of Use]]*100)</f>
        <v>5.8483651667206216</v>
      </c>
    </row>
    <row r="2915" spans="1:18" x14ac:dyDescent="0.35">
      <c r="A2915" s="3" t="s">
        <v>2936</v>
      </c>
      <c r="B2915">
        <v>11</v>
      </c>
      <c r="C2915">
        <v>0</v>
      </c>
      <c r="D2915">
        <v>45</v>
      </c>
      <c r="E2915">
        <v>3</v>
      </c>
      <c r="F2915">
        <v>3400</v>
      </c>
      <c r="G2915">
        <v>39</v>
      </c>
      <c r="H2915">
        <v>498</v>
      </c>
      <c r="I2915">
        <v>11</v>
      </c>
      <c r="J2915">
        <v>4</v>
      </c>
      <c r="K2915">
        <v>1</v>
      </c>
      <c r="L2915">
        <v>1</v>
      </c>
      <c r="M2915">
        <v>45</v>
      </c>
      <c r="N2915">
        <v>1330.9749999999999</v>
      </c>
      <c r="O2915">
        <v>0</v>
      </c>
      <c r="P29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15" t="str">
        <f>IF(Table1[[#This Row],[Fraud_Score]]&gt;=6, "High Risk",IF(Table1[[#This Row],[Fraud_Score]]&gt;=3, "Medium Risk", "Low Risk"))</f>
        <v>Low Risk</v>
      </c>
      <c r="R2915">
        <f>IF(Table1[[#This Row],[Seconds of Use]]=0,0,Table1[[#This Row],[Customer Value]]/Table1[[#This Row],[Seconds of Use]]*100)</f>
        <v>39.146323529411767</v>
      </c>
    </row>
    <row r="2916" spans="1:18" x14ac:dyDescent="0.35">
      <c r="A2916" s="3" t="s">
        <v>2937</v>
      </c>
      <c r="B2916">
        <v>16</v>
      </c>
      <c r="C2916">
        <v>0</v>
      </c>
      <c r="D2916">
        <v>44</v>
      </c>
      <c r="E2916">
        <v>2</v>
      </c>
      <c r="F2916">
        <v>15790</v>
      </c>
      <c r="G2916">
        <v>194</v>
      </c>
      <c r="H2916">
        <v>165</v>
      </c>
      <c r="I2916">
        <v>33</v>
      </c>
      <c r="J2916">
        <v>3</v>
      </c>
      <c r="K2916">
        <v>1</v>
      </c>
      <c r="L2916">
        <v>1</v>
      </c>
      <c r="M2916">
        <v>30</v>
      </c>
      <c r="N2916">
        <v>1299.3599999999999</v>
      </c>
      <c r="O2916">
        <v>0</v>
      </c>
      <c r="P29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16" t="str">
        <f>IF(Table1[[#This Row],[Fraud_Score]]&gt;=6, "High Risk",IF(Table1[[#This Row],[Fraud_Score]]&gt;=3, "Medium Risk", "Low Risk"))</f>
        <v>Medium Risk</v>
      </c>
      <c r="R2916">
        <f>IF(Table1[[#This Row],[Seconds of Use]]=0,0,Table1[[#This Row],[Customer Value]]/Table1[[#This Row],[Seconds of Use]]*100)</f>
        <v>8.2290056998100063</v>
      </c>
    </row>
    <row r="2917" spans="1:18" x14ac:dyDescent="0.35">
      <c r="A2917" s="3" t="s">
        <v>2938</v>
      </c>
      <c r="B2917">
        <v>10</v>
      </c>
      <c r="C2917">
        <v>0</v>
      </c>
      <c r="D2917">
        <v>44</v>
      </c>
      <c r="E2917">
        <v>3</v>
      </c>
      <c r="F2917">
        <v>6805</v>
      </c>
      <c r="G2917">
        <v>98</v>
      </c>
      <c r="H2917">
        <v>201</v>
      </c>
      <c r="I2917">
        <v>29</v>
      </c>
      <c r="J2917">
        <v>4</v>
      </c>
      <c r="K2917">
        <v>1</v>
      </c>
      <c r="L2917">
        <v>1</v>
      </c>
      <c r="M2917">
        <v>45</v>
      </c>
      <c r="N2917">
        <v>675.07500000000005</v>
      </c>
      <c r="O2917">
        <v>0</v>
      </c>
      <c r="P29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17" t="str">
        <f>IF(Table1[[#This Row],[Fraud_Score]]&gt;=6, "High Risk",IF(Table1[[#This Row],[Fraud_Score]]&gt;=3, "Medium Risk", "Low Risk"))</f>
        <v>Low Risk</v>
      </c>
      <c r="R2917">
        <f>IF(Table1[[#This Row],[Seconds of Use]]=0,0,Table1[[#This Row],[Customer Value]]/Table1[[#This Row],[Seconds of Use]]*100)</f>
        <v>9.9202792064658354</v>
      </c>
    </row>
    <row r="2918" spans="1:18" x14ac:dyDescent="0.35">
      <c r="A2918" s="3" t="s">
        <v>2939</v>
      </c>
      <c r="B2918">
        <v>7</v>
      </c>
      <c r="C2918">
        <v>0</v>
      </c>
      <c r="D2918">
        <v>44</v>
      </c>
      <c r="E2918">
        <v>0</v>
      </c>
      <c r="F2918">
        <v>1180</v>
      </c>
      <c r="G2918">
        <v>26</v>
      </c>
      <c r="H2918">
        <v>15</v>
      </c>
      <c r="I2918">
        <v>14</v>
      </c>
      <c r="J2918">
        <v>3</v>
      </c>
      <c r="K2918">
        <v>1</v>
      </c>
      <c r="L2918">
        <v>2</v>
      </c>
      <c r="M2918">
        <v>30</v>
      </c>
      <c r="N2918">
        <v>108.24</v>
      </c>
      <c r="O2918">
        <v>0</v>
      </c>
      <c r="P29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18" t="str">
        <f>IF(Table1[[#This Row],[Fraud_Score]]&gt;=6, "High Risk",IF(Table1[[#This Row],[Fraud_Score]]&gt;=3, "Medium Risk", "Low Risk"))</f>
        <v>Low Risk</v>
      </c>
      <c r="R2918">
        <f>IF(Table1[[#This Row],[Seconds of Use]]=0,0,Table1[[#This Row],[Customer Value]]/Table1[[#This Row],[Seconds of Use]]*100)</f>
        <v>9.1728813559322031</v>
      </c>
    </row>
    <row r="2919" spans="1:18" x14ac:dyDescent="0.35">
      <c r="A2919" s="3" t="s">
        <v>2940</v>
      </c>
      <c r="B2919">
        <v>9</v>
      </c>
      <c r="C2919">
        <v>0</v>
      </c>
      <c r="D2919">
        <v>45</v>
      </c>
      <c r="E2919">
        <v>0</v>
      </c>
      <c r="F2919">
        <v>1015</v>
      </c>
      <c r="G2919">
        <v>26</v>
      </c>
      <c r="H2919">
        <v>28</v>
      </c>
      <c r="I2919">
        <v>11</v>
      </c>
      <c r="J2919">
        <v>3</v>
      </c>
      <c r="K2919">
        <v>1</v>
      </c>
      <c r="L2919">
        <v>2</v>
      </c>
      <c r="M2919">
        <v>30</v>
      </c>
      <c r="N2919">
        <v>153.63999999999999</v>
      </c>
      <c r="O2919">
        <v>0</v>
      </c>
      <c r="P29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19" t="str">
        <f>IF(Table1[[#This Row],[Fraud_Score]]&gt;=6, "High Risk",IF(Table1[[#This Row],[Fraud_Score]]&gt;=3, "Medium Risk", "Low Risk"))</f>
        <v>Low Risk</v>
      </c>
      <c r="R2919">
        <f>IF(Table1[[#This Row],[Seconds of Use]]=0,0,Table1[[#This Row],[Customer Value]]/Table1[[#This Row],[Seconds of Use]]*100)</f>
        <v>15.13694581280788</v>
      </c>
    </row>
    <row r="2920" spans="1:18" x14ac:dyDescent="0.35">
      <c r="A2920" s="3" t="s">
        <v>2941</v>
      </c>
      <c r="B2920">
        <v>7</v>
      </c>
      <c r="C2920">
        <v>0</v>
      </c>
      <c r="D2920">
        <v>44</v>
      </c>
      <c r="E2920">
        <v>0</v>
      </c>
      <c r="F2920">
        <v>305</v>
      </c>
      <c r="G2920">
        <v>12</v>
      </c>
      <c r="H2920">
        <v>15</v>
      </c>
      <c r="I2920">
        <v>3</v>
      </c>
      <c r="J2920">
        <v>3</v>
      </c>
      <c r="K2920">
        <v>1</v>
      </c>
      <c r="L2920">
        <v>2</v>
      </c>
      <c r="M2920">
        <v>30</v>
      </c>
      <c r="N2920">
        <v>72.680000000000007</v>
      </c>
      <c r="O2920">
        <v>1</v>
      </c>
      <c r="P29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20" t="str">
        <f>IF(Table1[[#This Row],[Fraud_Score]]&gt;=6, "High Risk",IF(Table1[[#This Row],[Fraud_Score]]&gt;=3, "Medium Risk", "Low Risk"))</f>
        <v>Low Risk</v>
      </c>
      <c r="R2920">
        <f>IF(Table1[[#This Row],[Seconds of Use]]=0,0,Table1[[#This Row],[Customer Value]]/Table1[[#This Row],[Seconds of Use]]*100)</f>
        <v>23.829508196721314</v>
      </c>
    </row>
    <row r="2921" spans="1:18" x14ac:dyDescent="0.35">
      <c r="A2921" s="3" t="s">
        <v>2942</v>
      </c>
      <c r="B2921">
        <v>10</v>
      </c>
      <c r="C2921">
        <v>0</v>
      </c>
      <c r="D2921">
        <v>44</v>
      </c>
      <c r="E2921">
        <v>2</v>
      </c>
      <c r="F2921">
        <v>7813</v>
      </c>
      <c r="G2921">
        <v>139</v>
      </c>
      <c r="H2921">
        <v>399</v>
      </c>
      <c r="I2921">
        <v>46</v>
      </c>
      <c r="J2921">
        <v>3</v>
      </c>
      <c r="K2921">
        <v>1</v>
      </c>
      <c r="L2921">
        <v>1</v>
      </c>
      <c r="M2921">
        <v>30</v>
      </c>
      <c r="N2921">
        <v>1914.08</v>
      </c>
      <c r="O2921">
        <v>0</v>
      </c>
      <c r="P29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21" t="str">
        <f>IF(Table1[[#This Row],[Fraud_Score]]&gt;=6, "High Risk",IF(Table1[[#This Row],[Fraud_Score]]&gt;=3, "Medium Risk", "Low Risk"))</f>
        <v>Low Risk</v>
      </c>
      <c r="R2921">
        <f>IF(Table1[[#This Row],[Seconds of Use]]=0,0,Table1[[#This Row],[Customer Value]]/Table1[[#This Row],[Seconds of Use]]*100)</f>
        <v>24.498656086010495</v>
      </c>
    </row>
    <row r="2922" spans="1:18" x14ac:dyDescent="0.35">
      <c r="A2922" s="3" t="s">
        <v>2943</v>
      </c>
      <c r="B2922">
        <v>14</v>
      </c>
      <c r="C2922">
        <v>0</v>
      </c>
      <c r="D2922">
        <v>44</v>
      </c>
      <c r="E2922">
        <v>3</v>
      </c>
      <c r="F2922">
        <v>11770</v>
      </c>
      <c r="G2922">
        <v>166</v>
      </c>
      <c r="H2922">
        <v>26</v>
      </c>
      <c r="I2922">
        <v>50</v>
      </c>
      <c r="J2922">
        <v>4</v>
      </c>
      <c r="K2922">
        <v>1</v>
      </c>
      <c r="L2922">
        <v>1</v>
      </c>
      <c r="M2922">
        <v>45</v>
      </c>
      <c r="N2922">
        <v>363.4</v>
      </c>
      <c r="O2922">
        <v>0</v>
      </c>
      <c r="P29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22" t="str">
        <f>IF(Table1[[#This Row],[Fraud_Score]]&gt;=6, "High Risk",IF(Table1[[#This Row],[Fraud_Score]]&gt;=3, "Medium Risk", "Low Risk"))</f>
        <v>Medium Risk</v>
      </c>
      <c r="R2922">
        <f>IF(Table1[[#This Row],[Seconds of Use]]=0,0,Table1[[#This Row],[Customer Value]]/Table1[[#This Row],[Seconds of Use]]*100)</f>
        <v>3.0875106202209004</v>
      </c>
    </row>
    <row r="2923" spans="1:18" x14ac:dyDescent="0.35">
      <c r="A2923" s="3" t="s">
        <v>2944</v>
      </c>
      <c r="B2923">
        <v>15</v>
      </c>
      <c r="C2923">
        <v>0</v>
      </c>
      <c r="D2923">
        <v>44</v>
      </c>
      <c r="E2923">
        <v>3</v>
      </c>
      <c r="F2923">
        <v>7023</v>
      </c>
      <c r="G2923">
        <v>87</v>
      </c>
      <c r="H2923">
        <v>123</v>
      </c>
      <c r="I2923">
        <v>40</v>
      </c>
      <c r="J2923">
        <v>3</v>
      </c>
      <c r="K2923">
        <v>1</v>
      </c>
      <c r="L2923">
        <v>1</v>
      </c>
      <c r="M2923">
        <v>30</v>
      </c>
      <c r="N2923">
        <v>776.4</v>
      </c>
      <c r="O2923">
        <v>0</v>
      </c>
      <c r="P29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23" t="str">
        <f>IF(Table1[[#This Row],[Fraud_Score]]&gt;=6, "High Risk",IF(Table1[[#This Row],[Fraud_Score]]&gt;=3, "Medium Risk", "Low Risk"))</f>
        <v>Low Risk</v>
      </c>
      <c r="R2923">
        <f>IF(Table1[[#This Row],[Seconds of Use]]=0,0,Table1[[#This Row],[Customer Value]]/Table1[[#This Row],[Seconds of Use]]*100)</f>
        <v>11.05510465612986</v>
      </c>
    </row>
    <row r="2924" spans="1:18" x14ac:dyDescent="0.35">
      <c r="A2924" s="3" t="s">
        <v>2945</v>
      </c>
      <c r="B2924">
        <v>30</v>
      </c>
      <c r="C2924">
        <v>1</v>
      </c>
      <c r="D2924">
        <v>40</v>
      </c>
      <c r="E2924">
        <v>0</v>
      </c>
      <c r="F2924">
        <v>1260</v>
      </c>
      <c r="G2924">
        <v>59</v>
      </c>
      <c r="H2924">
        <v>31</v>
      </c>
      <c r="I2924">
        <v>20</v>
      </c>
      <c r="J2924">
        <v>3</v>
      </c>
      <c r="K2924">
        <v>1</v>
      </c>
      <c r="L2924">
        <v>2</v>
      </c>
      <c r="M2924">
        <v>30</v>
      </c>
      <c r="N2924">
        <v>176.76</v>
      </c>
      <c r="O2924">
        <v>1</v>
      </c>
      <c r="P29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24" t="str">
        <f>IF(Table1[[#This Row],[Fraud_Score]]&gt;=6, "High Risk",IF(Table1[[#This Row],[Fraud_Score]]&gt;=3, "Medium Risk", "Low Risk"))</f>
        <v>Medium Risk</v>
      </c>
      <c r="R2924">
        <f>IF(Table1[[#This Row],[Seconds of Use]]=0,0,Table1[[#This Row],[Customer Value]]/Table1[[#This Row],[Seconds of Use]]*100)</f>
        <v>14.028571428571428</v>
      </c>
    </row>
    <row r="2925" spans="1:18" x14ac:dyDescent="0.35">
      <c r="A2925" s="3" t="s">
        <v>2946</v>
      </c>
      <c r="B2925">
        <v>28</v>
      </c>
      <c r="C2925">
        <v>0</v>
      </c>
      <c r="D2925">
        <v>43</v>
      </c>
      <c r="E2925">
        <v>10</v>
      </c>
      <c r="F2925">
        <v>10740</v>
      </c>
      <c r="G2925">
        <v>105</v>
      </c>
      <c r="H2925">
        <v>16</v>
      </c>
      <c r="I2925">
        <v>45</v>
      </c>
      <c r="J2925">
        <v>5</v>
      </c>
      <c r="K2925">
        <v>2</v>
      </c>
      <c r="L2925">
        <v>1</v>
      </c>
      <c r="M2925">
        <v>55</v>
      </c>
      <c r="N2925">
        <v>186.67500000000001</v>
      </c>
      <c r="O2925">
        <v>0</v>
      </c>
      <c r="P29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25" t="str">
        <f>IF(Table1[[#This Row],[Fraud_Score]]&gt;=6, "High Risk",IF(Table1[[#This Row],[Fraud_Score]]&gt;=3, "Medium Risk", "Low Risk"))</f>
        <v>Low Risk</v>
      </c>
      <c r="R2925">
        <f>IF(Table1[[#This Row],[Seconds of Use]]=0,0,Table1[[#This Row],[Customer Value]]/Table1[[#This Row],[Seconds of Use]]*100)</f>
        <v>1.7381284916201118</v>
      </c>
    </row>
    <row r="2926" spans="1:18" x14ac:dyDescent="0.35">
      <c r="A2926" s="3" t="s">
        <v>2947</v>
      </c>
      <c r="B2926">
        <v>20</v>
      </c>
      <c r="C2926">
        <v>0</v>
      </c>
      <c r="D2926">
        <v>43</v>
      </c>
      <c r="E2926">
        <v>3</v>
      </c>
      <c r="F2926">
        <v>6123</v>
      </c>
      <c r="G2926">
        <v>110</v>
      </c>
      <c r="H2926">
        <v>41</v>
      </c>
      <c r="I2926">
        <v>27</v>
      </c>
      <c r="J2926">
        <v>3</v>
      </c>
      <c r="K2926">
        <v>1</v>
      </c>
      <c r="L2926">
        <v>1</v>
      </c>
      <c r="M2926">
        <v>30</v>
      </c>
      <c r="N2926">
        <v>413.32</v>
      </c>
      <c r="O2926">
        <v>0</v>
      </c>
      <c r="P29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26" t="str">
        <f>IF(Table1[[#This Row],[Fraud_Score]]&gt;=6, "High Risk",IF(Table1[[#This Row],[Fraud_Score]]&gt;=3, "Medium Risk", "Low Risk"))</f>
        <v>Low Risk</v>
      </c>
      <c r="R2926">
        <f>IF(Table1[[#This Row],[Seconds of Use]]=0,0,Table1[[#This Row],[Customer Value]]/Table1[[#This Row],[Seconds of Use]]*100)</f>
        <v>6.7502858076106484</v>
      </c>
    </row>
    <row r="2927" spans="1:18" x14ac:dyDescent="0.35">
      <c r="A2927" s="3" t="s">
        <v>2948</v>
      </c>
      <c r="B2927">
        <v>8</v>
      </c>
      <c r="C2927">
        <v>0</v>
      </c>
      <c r="D2927">
        <v>41</v>
      </c>
      <c r="E2927">
        <v>2</v>
      </c>
      <c r="F2927">
        <v>3145</v>
      </c>
      <c r="G2927">
        <v>34</v>
      </c>
      <c r="H2927">
        <v>15</v>
      </c>
      <c r="I2927">
        <v>17</v>
      </c>
      <c r="J2927">
        <v>4</v>
      </c>
      <c r="K2927">
        <v>1</v>
      </c>
      <c r="L2927">
        <v>1</v>
      </c>
      <c r="M2927">
        <v>45</v>
      </c>
      <c r="N2927">
        <v>116.97499999999999</v>
      </c>
      <c r="O2927">
        <v>0</v>
      </c>
      <c r="P29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27" t="str">
        <f>IF(Table1[[#This Row],[Fraud_Score]]&gt;=6, "High Risk",IF(Table1[[#This Row],[Fraud_Score]]&gt;=3, "Medium Risk", "Low Risk"))</f>
        <v>Low Risk</v>
      </c>
      <c r="R2927">
        <f>IF(Table1[[#This Row],[Seconds of Use]]=0,0,Table1[[#This Row],[Customer Value]]/Table1[[#This Row],[Seconds of Use]]*100)</f>
        <v>3.7193958664546898</v>
      </c>
    </row>
    <row r="2928" spans="1:18" x14ac:dyDescent="0.35">
      <c r="A2928" s="3" t="s">
        <v>2949</v>
      </c>
      <c r="B2928">
        <v>16</v>
      </c>
      <c r="C2928">
        <v>1</v>
      </c>
      <c r="D2928">
        <v>42</v>
      </c>
      <c r="E2928">
        <v>0</v>
      </c>
      <c r="F2928">
        <v>3295</v>
      </c>
      <c r="G2928">
        <v>53</v>
      </c>
      <c r="H2928">
        <v>24</v>
      </c>
      <c r="I2928">
        <v>19</v>
      </c>
      <c r="J2928">
        <v>3</v>
      </c>
      <c r="K2928">
        <v>1</v>
      </c>
      <c r="L2928">
        <v>2</v>
      </c>
      <c r="M2928">
        <v>30</v>
      </c>
      <c r="N2928">
        <v>229.92</v>
      </c>
      <c r="O2928">
        <v>1</v>
      </c>
      <c r="P29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28" t="str">
        <f>IF(Table1[[#This Row],[Fraud_Score]]&gt;=6, "High Risk",IF(Table1[[#This Row],[Fraud_Score]]&gt;=3, "Medium Risk", "Low Risk"))</f>
        <v>Medium Risk</v>
      </c>
      <c r="R2928">
        <f>IF(Table1[[#This Row],[Seconds of Use]]=0,0,Table1[[#This Row],[Customer Value]]/Table1[[#This Row],[Seconds of Use]]*100)</f>
        <v>6.9778452200303489</v>
      </c>
    </row>
    <row r="2929" spans="1:18" x14ac:dyDescent="0.35">
      <c r="A2929" s="3" t="s">
        <v>2950</v>
      </c>
      <c r="B2929">
        <v>16</v>
      </c>
      <c r="C2929">
        <v>1</v>
      </c>
      <c r="D2929">
        <v>43</v>
      </c>
      <c r="E2929">
        <v>0</v>
      </c>
      <c r="F2929">
        <v>2573</v>
      </c>
      <c r="G2929">
        <v>56</v>
      </c>
      <c r="H2929">
        <v>49</v>
      </c>
      <c r="I2929">
        <v>34</v>
      </c>
      <c r="J2929">
        <v>4</v>
      </c>
      <c r="K2929">
        <v>1</v>
      </c>
      <c r="L2929">
        <v>2</v>
      </c>
      <c r="M2929">
        <v>45</v>
      </c>
      <c r="N2929">
        <v>188.22499999999999</v>
      </c>
      <c r="O2929">
        <v>1</v>
      </c>
      <c r="P29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29" t="str">
        <f>IF(Table1[[#This Row],[Fraud_Score]]&gt;=6, "High Risk",IF(Table1[[#This Row],[Fraud_Score]]&gt;=3, "Medium Risk", "Low Risk"))</f>
        <v>Medium Risk</v>
      </c>
      <c r="R2929">
        <f>IF(Table1[[#This Row],[Seconds of Use]]=0,0,Table1[[#This Row],[Customer Value]]/Table1[[#This Row],[Seconds of Use]]*100)</f>
        <v>7.31539059463661</v>
      </c>
    </row>
    <row r="2930" spans="1:18" x14ac:dyDescent="0.35">
      <c r="A2930" s="3" t="s">
        <v>2951</v>
      </c>
      <c r="B2930">
        <v>7</v>
      </c>
      <c r="C2930">
        <v>0</v>
      </c>
      <c r="D2930">
        <v>43</v>
      </c>
      <c r="E2930">
        <v>0</v>
      </c>
      <c r="F2930">
        <v>438</v>
      </c>
      <c r="G2930">
        <v>14</v>
      </c>
      <c r="H2930">
        <v>15</v>
      </c>
      <c r="I2930">
        <v>5</v>
      </c>
      <c r="J2930">
        <v>3</v>
      </c>
      <c r="K2930">
        <v>1</v>
      </c>
      <c r="L2930">
        <v>2</v>
      </c>
      <c r="M2930">
        <v>30</v>
      </c>
      <c r="N2930">
        <v>78.08</v>
      </c>
      <c r="O2930">
        <v>1</v>
      </c>
      <c r="P29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30" t="str">
        <f>IF(Table1[[#This Row],[Fraud_Score]]&gt;=6, "High Risk",IF(Table1[[#This Row],[Fraud_Score]]&gt;=3, "Medium Risk", "Low Risk"))</f>
        <v>Low Risk</v>
      </c>
      <c r="R2930">
        <f>IF(Table1[[#This Row],[Seconds of Use]]=0,0,Table1[[#This Row],[Customer Value]]/Table1[[#This Row],[Seconds of Use]]*100)</f>
        <v>17.826484018264839</v>
      </c>
    </row>
    <row r="2931" spans="1:18" x14ac:dyDescent="0.35">
      <c r="A2931" s="3" t="s">
        <v>2952</v>
      </c>
      <c r="B2931">
        <v>8</v>
      </c>
      <c r="C2931">
        <v>0</v>
      </c>
      <c r="D2931">
        <v>43</v>
      </c>
      <c r="E2931">
        <v>2</v>
      </c>
      <c r="F2931">
        <v>1973</v>
      </c>
      <c r="G2931">
        <v>37</v>
      </c>
      <c r="H2931">
        <v>15</v>
      </c>
      <c r="I2931">
        <v>9</v>
      </c>
      <c r="J2931">
        <v>4</v>
      </c>
      <c r="K2931">
        <v>1</v>
      </c>
      <c r="L2931">
        <v>1</v>
      </c>
      <c r="M2931">
        <v>45</v>
      </c>
      <c r="N2931">
        <v>87.75</v>
      </c>
      <c r="O2931">
        <v>0</v>
      </c>
      <c r="P29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31" t="str">
        <f>IF(Table1[[#This Row],[Fraud_Score]]&gt;=6, "High Risk",IF(Table1[[#This Row],[Fraud_Score]]&gt;=3, "Medium Risk", "Low Risk"))</f>
        <v>Low Risk</v>
      </c>
      <c r="R2931">
        <f>IF(Table1[[#This Row],[Seconds of Use]]=0,0,Table1[[#This Row],[Customer Value]]/Table1[[#This Row],[Seconds of Use]]*100)</f>
        <v>4.4475418144956915</v>
      </c>
    </row>
    <row r="2932" spans="1:18" x14ac:dyDescent="0.35">
      <c r="A2932" s="3" t="s">
        <v>2953</v>
      </c>
      <c r="B2932">
        <v>10</v>
      </c>
      <c r="C2932">
        <v>0</v>
      </c>
      <c r="D2932">
        <v>40</v>
      </c>
      <c r="E2932">
        <v>3</v>
      </c>
      <c r="F2932">
        <v>7090</v>
      </c>
      <c r="G2932">
        <v>109</v>
      </c>
      <c r="H2932">
        <v>29</v>
      </c>
      <c r="I2932">
        <v>25</v>
      </c>
      <c r="J2932">
        <v>5</v>
      </c>
      <c r="K2932">
        <v>1</v>
      </c>
      <c r="L2932">
        <v>1</v>
      </c>
      <c r="M2932">
        <v>55</v>
      </c>
      <c r="N2932">
        <v>151.48500000000001</v>
      </c>
      <c r="O2932">
        <v>0</v>
      </c>
      <c r="P29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32" t="str">
        <f>IF(Table1[[#This Row],[Fraud_Score]]&gt;=6, "High Risk",IF(Table1[[#This Row],[Fraud_Score]]&gt;=3, "Medium Risk", "Low Risk"))</f>
        <v>Low Risk</v>
      </c>
      <c r="R2932">
        <f>IF(Table1[[#This Row],[Seconds of Use]]=0,0,Table1[[#This Row],[Customer Value]]/Table1[[#This Row],[Seconds of Use]]*100)</f>
        <v>2.1366008462623416</v>
      </c>
    </row>
    <row r="2933" spans="1:18" x14ac:dyDescent="0.35">
      <c r="A2933" s="3" t="s">
        <v>2954</v>
      </c>
      <c r="B2933">
        <v>7</v>
      </c>
      <c r="C2933">
        <v>0</v>
      </c>
      <c r="D2933">
        <v>43</v>
      </c>
      <c r="E2933">
        <v>0</v>
      </c>
      <c r="F2933">
        <v>933</v>
      </c>
      <c r="G2933">
        <v>19</v>
      </c>
      <c r="H2933">
        <v>24</v>
      </c>
      <c r="I2933">
        <v>7</v>
      </c>
      <c r="J2933">
        <v>4</v>
      </c>
      <c r="K2933">
        <v>1</v>
      </c>
      <c r="L2933">
        <v>2</v>
      </c>
      <c r="M2933">
        <v>45</v>
      </c>
      <c r="N2933">
        <v>83.8</v>
      </c>
      <c r="O2933">
        <v>1</v>
      </c>
      <c r="P29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33" t="str">
        <f>IF(Table1[[#This Row],[Fraud_Score]]&gt;=6, "High Risk",IF(Table1[[#This Row],[Fraud_Score]]&gt;=3, "Medium Risk", "Low Risk"))</f>
        <v>Low Risk</v>
      </c>
      <c r="R2933">
        <f>IF(Table1[[#This Row],[Seconds of Use]]=0,0,Table1[[#This Row],[Customer Value]]/Table1[[#This Row],[Seconds of Use]]*100)</f>
        <v>8.9817792068595921</v>
      </c>
    </row>
    <row r="2934" spans="1:18" x14ac:dyDescent="0.35">
      <c r="A2934" s="3" t="s">
        <v>2955</v>
      </c>
      <c r="B2934">
        <v>7</v>
      </c>
      <c r="C2934">
        <v>0</v>
      </c>
      <c r="D2934">
        <v>43</v>
      </c>
      <c r="E2934">
        <v>3</v>
      </c>
      <c r="F2934">
        <v>643</v>
      </c>
      <c r="G2934">
        <v>16</v>
      </c>
      <c r="H2934">
        <v>19</v>
      </c>
      <c r="I2934">
        <v>5</v>
      </c>
      <c r="J2934">
        <v>5</v>
      </c>
      <c r="K2934">
        <v>1</v>
      </c>
      <c r="L2934">
        <v>1</v>
      </c>
      <c r="M2934">
        <v>55</v>
      </c>
      <c r="N2934">
        <v>38.384999999999998</v>
      </c>
      <c r="O2934">
        <v>0</v>
      </c>
      <c r="P29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34" t="str">
        <f>IF(Table1[[#This Row],[Fraud_Score]]&gt;=6, "High Risk",IF(Table1[[#This Row],[Fraud_Score]]&gt;=3, "Medium Risk", "Low Risk"))</f>
        <v>Low Risk</v>
      </c>
      <c r="R2934">
        <f>IF(Table1[[#This Row],[Seconds of Use]]=0,0,Table1[[#This Row],[Customer Value]]/Table1[[#This Row],[Seconds of Use]]*100)</f>
        <v>5.9696734059097976</v>
      </c>
    </row>
    <row r="2935" spans="1:18" x14ac:dyDescent="0.35">
      <c r="A2935" s="3" t="s">
        <v>2956</v>
      </c>
      <c r="B2935">
        <v>32</v>
      </c>
      <c r="C2935">
        <v>0</v>
      </c>
      <c r="D2935">
        <v>38</v>
      </c>
      <c r="E2935">
        <v>5</v>
      </c>
      <c r="F2935">
        <v>16380</v>
      </c>
      <c r="G2935">
        <v>250</v>
      </c>
      <c r="H2935">
        <v>15</v>
      </c>
      <c r="I2935">
        <v>83</v>
      </c>
      <c r="J2935">
        <v>2</v>
      </c>
      <c r="K2935">
        <v>2</v>
      </c>
      <c r="L2935">
        <v>1</v>
      </c>
      <c r="M2935">
        <v>25</v>
      </c>
      <c r="N2935">
        <v>815.85</v>
      </c>
      <c r="O2935">
        <v>0</v>
      </c>
      <c r="P29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35" t="str">
        <f>IF(Table1[[#This Row],[Fraud_Score]]&gt;=6, "High Risk",IF(Table1[[#This Row],[Fraud_Score]]&gt;=3, "Medium Risk", "Low Risk"))</f>
        <v>Medium Risk</v>
      </c>
      <c r="R2935">
        <f>IF(Table1[[#This Row],[Seconds of Use]]=0,0,Table1[[#This Row],[Customer Value]]/Table1[[#This Row],[Seconds of Use]]*100)</f>
        <v>4.9807692307692308</v>
      </c>
    </row>
    <row r="2936" spans="1:18" x14ac:dyDescent="0.35">
      <c r="A2936" s="3" t="s">
        <v>2957</v>
      </c>
      <c r="B2936">
        <v>13</v>
      </c>
      <c r="C2936">
        <v>0</v>
      </c>
      <c r="D2936">
        <v>41</v>
      </c>
      <c r="E2936">
        <v>5</v>
      </c>
      <c r="F2936">
        <v>7270</v>
      </c>
      <c r="G2936">
        <v>128</v>
      </c>
      <c r="H2936">
        <v>286</v>
      </c>
      <c r="I2936">
        <v>36</v>
      </c>
      <c r="J2936">
        <v>3</v>
      </c>
      <c r="K2936">
        <v>2</v>
      </c>
      <c r="L2936">
        <v>1</v>
      </c>
      <c r="M2936">
        <v>30</v>
      </c>
      <c r="N2936">
        <v>1439.92</v>
      </c>
      <c r="O2936">
        <v>0</v>
      </c>
      <c r="P29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36" t="str">
        <f>IF(Table1[[#This Row],[Fraud_Score]]&gt;=6, "High Risk",IF(Table1[[#This Row],[Fraud_Score]]&gt;=3, "Medium Risk", "Low Risk"))</f>
        <v>Low Risk</v>
      </c>
      <c r="R2936">
        <f>IF(Table1[[#This Row],[Seconds of Use]]=0,0,Table1[[#This Row],[Customer Value]]/Table1[[#This Row],[Seconds of Use]]*100)</f>
        <v>19.806327372764787</v>
      </c>
    </row>
    <row r="2937" spans="1:18" x14ac:dyDescent="0.35">
      <c r="A2937" s="3" t="s">
        <v>2958</v>
      </c>
      <c r="B2937">
        <v>9</v>
      </c>
      <c r="C2937">
        <v>0</v>
      </c>
      <c r="D2937">
        <v>43</v>
      </c>
      <c r="E2937">
        <v>2</v>
      </c>
      <c r="F2937">
        <v>4023</v>
      </c>
      <c r="G2937">
        <v>94</v>
      </c>
      <c r="H2937">
        <v>17</v>
      </c>
      <c r="I2937">
        <v>31</v>
      </c>
      <c r="J2937">
        <v>3</v>
      </c>
      <c r="K2937">
        <v>1</v>
      </c>
      <c r="L2937">
        <v>1</v>
      </c>
      <c r="M2937">
        <v>30</v>
      </c>
      <c r="N2937">
        <v>232.68</v>
      </c>
      <c r="O2937">
        <v>0</v>
      </c>
      <c r="P29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37" t="str">
        <f>IF(Table1[[#This Row],[Fraud_Score]]&gt;=6, "High Risk",IF(Table1[[#This Row],[Fraud_Score]]&gt;=3, "Medium Risk", "Low Risk"))</f>
        <v>Low Risk</v>
      </c>
      <c r="R2937">
        <f>IF(Table1[[#This Row],[Seconds of Use]]=0,0,Table1[[#This Row],[Customer Value]]/Table1[[#This Row],[Seconds of Use]]*100)</f>
        <v>5.7837434750186425</v>
      </c>
    </row>
    <row r="2938" spans="1:18" x14ac:dyDescent="0.35">
      <c r="A2938" s="3" t="s">
        <v>2959</v>
      </c>
      <c r="B2938">
        <v>10</v>
      </c>
      <c r="C2938">
        <v>0</v>
      </c>
      <c r="D2938">
        <v>42</v>
      </c>
      <c r="E2938">
        <v>0</v>
      </c>
      <c r="F2938">
        <v>1970</v>
      </c>
      <c r="G2938">
        <v>56</v>
      </c>
      <c r="H2938">
        <v>53</v>
      </c>
      <c r="I2938">
        <v>23</v>
      </c>
      <c r="J2938">
        <v>4</v>
      </c>
      <c r="K2938">
        <v>1</v>
      </c>
      <c r="L2938">
        <v>2</v>
      </c>
      <c r="M2938">
        <v>45</v>
      </c>
      <c r="N2938">
        <v>183.15</v>
      </c>
      <c r="O2938">
        <v>0</v>
      </c>
      <c r="P29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38" t="str">
        <f>IF(Table1[[#This Row],[Fraud_Score]]&gt;=6, "High Risk",IF(Table1[[#This Row],[Fraud_Score]]&gt;=3, "Medium Risk", "Low Risk"))</f>
        <v>Low Risk</v>
      </c>
      <c r="R2938">
        <f>IF(Table1[[#This Row],[Seconds of Use]]=0,0,Table1[[#This Row],[Customer Value]]/Table1[[#This Row],[Seconds of Use]]*100)</f>
        <v>9.2969543147208125</v>
      </c>
    </row>
    <row r="2939" spans="1:18" x14ac:dyDescent="0.35">
      <c r="A2939" s="3" t="s">
        <v>2960</v>
      </c>
      <c r="B2939">
        <v>13</v>
      </c>
      <c r="C2939">
        <v>0</v>
      </c>
      <c r="D2939">
        <v>43</v>
      </c>
      <c r="E2939">
        <v>2</v>
      </c>
      <c r="F2939">
        <v>3085</v>
      </c>
      <c r="G2939">
        <v>65</v>
      </c>
      <c r="H2939">
        <v>190</v>
      </c>
      <c r="I2939">
        <v>26</v>
      </c>
      <c r="J2939">
        <v>3</v>
      </c>
      <c r="K2939">
        <v>1</v>
      </c>
      <c r="L2939">
        <v>1</v>
      </c>
      <c r="M2939">
        <v>30</v>
      </c>
      <c r="N2939">
        <v>886</v>
      </c>
      <c r="O2939">
        <v>0</v>
      </c>
      <c r="P29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39" t="str">
        <f>IF(Table1[[#This Row],[Fraud_Score]]&gt;=6, "High Risk",IF(Table1[[#This Row],[Fraud_Score]]&gt;=3, "Medium Risk", "Low Risk"))</f>
        <v>Low Risk</v>
      </c>
      <c r="R2939">
        <f>IF(Table1[[#This Row],[Seconds of Use]]=0,0,Table1[[#This Row],[Customer Value]]/Table1[[#This Row],[Seconds of Use]]*100)</f>
        <v>28.719611021069692</v>
      </c>
    </row>
    <row r="2940" spans="1:18" x14ac:dyDescent="0.35">
      <c r="A2940" s="3" t="s">
        <v>2961</v>
      </c>
      <c r="B2940">
        <v>11</v>
      </c>
      <c r="C2940">
        <v>0</v>
      </c>
      <c r="D2940">
        <v>34</v>
      </c>
      <c r="E2940">
        <v>3</v>
      </c>
      <c r="F2940">
        <v>1620</v>
      </c>
      <c r="G2940">
        <v>48</v>
      </c>
      <c r="H2940">
        <v>208</v>
      </c>
      <c r="I2940">
        <v>14</v>
      </c>
      <c r="J2940">
        <v>3</v>
      </c>
      <c r="K2940">
        <v>2</v>
      </c>
      <c r="L2940">
        <v>1</v>
      </c>
      <c r="M2940">
        <v>30</v>
      </c>
      <c r="N2940">
        <v>898.72</v>
      </c>
      <c r="O2940">
        <v>0</v>
      </c>
      <c r="P29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40" t="str">
        <f>IF(Table1[[#This Row],[Fraud_Score]]&gt;=6, "High Risk",IF(Table1[[#This Row],[Fraud_Score]]&gt;=3, "Medium Risk", "Low Risk"))</f>
        <v>Low Risk</v>
      </c>
      <c r="R2940">
        <f>IF(Table1[[#This Row],[Seconds of Use]]=0,0,Table1[[#This Row],[Customer Value]]/Table1[[#This Row],[Seconds of Use]]*100)</f>
        <v>55.476543209876553</v>
      </c>
    </row>
    <row r="2941" spans="1:18" x14ac:dyDescent="0.35">
      <c r="A2941" s="3" t="s">
        <v>2962</v>
      </c>
      <c r="B2941">
        <v>11</v>
      </c>
      <c r="C2941">
        <v>0</v>
      </c>
      <c r="D2941">
        <v>33</v>
      </c>
      <c r="E2941">
        <v>2</v>
      </c>
      <c r="F2941">
        <v>1873</v>
      </c>
      <c r="G2941">
        <v>51</v>
      </c>
      <c r="H2941">
        <v>45</v>
      </c>
      <c r="I2941">
        <v>71</v>
      </c>
      <c r="J2941">
        <v>5</v>
      </c>
      <c r="K2941">
        <v>1</v>
      </c>
      <c r="L2941">
        <v>1</v>
      </c>
      <c r="M2941">
        <v>55</v>
      </c>
      <c r="N2941">
        <v>96.36</v>
      </c>
      <c r="O2941">
        <v>0</v>
      </c>
      <c r="P29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41" t="str">
        <f>IF(Table1[[#This Row],[Fraud_Score]]&gt;=6, "High Risk",IF(Table1[[#This Row],[Fraud_Score]]&gt;=3, "Medium Risk", "Low Risk"))</f>
        <v>Medium Risk</v>
      </c>
      <c r="R2941">
        <f>IF(Table1[[#This Row],[Seconds of Use]]=0,0,Table1[[#This Row],[Customer Value]]/Table1[[#This Row],[Seconds of Use]]*100)</f>
        <v>5.144687666844634</v>
      </c>
    </row>
    <row r="2942" spans="1:18" x14ac:dyDescent="0.35">
      <c r="A2942" s="3" t="s">
        <v>2963</v>
      </c>
      <c r="B2942">
        <v>18</v>
      </c>
      <c r="C2942">
        <v>0</v>
      </c>
      <c r="D2942">
        <v>34</v>
      </c>
      <c r="E2942">
        <v>0</v>
      </c>
      <c r="F2942">
        <v>1005</v>
      </c>
      <c r="G2942">
        <v>37</v>
      </c>
      <c r="H2942">
        <v>25</v>
      </c>
      <c r="I2942">
        <v>10</v>
      </c>
      <c r="J2942">
        <v>3</v>
      </c>
      <c r="K2942">
        <v>1</v>
      </c>
      <c r="L2942">
        <v>2</v>
      </c>
      <c r="M2942">
        <v>30</v>
      </c>
      <c r="N2942">
        <v>141.68</v>
      </c>
      <c r="O2942">
        <v>0</v>
      </c>
      <c r="P29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42" t="str">
        <f>IF(Table1[[#This Row],[Fraud_Score]]&gt;=6, "High Risk",IF(Table1[[#This Row],[Fraud_Score]]&gt;=3, "Medium Risk", "Low Risk"))</f>
        <v>Medium Risk</v>
      </c>
      <c r="R2942">
        <f>IF(Table1[[#This Row],[Seconds of Use]]=0,0,Table1[[#This Row],[Customer Value]]/Table1[[#This Row],[Seconds of Use]]*100)</f>
        <v>14.097512437810947</v>
      </c>
    </row>
    <row r="2943" spans="1:18" x14ac:dyDescent="0.35">
      <c r="A2943" s="3" t="s">
        <v>2964</v>
      </c>
      <c r="B2943">
        <v>7</v>
      </c>
      <c r="C2943">
        <v>0</v>
      </c>
      <c r="D2943">
        <v>33</v>
      </c>
      <c r="E2943">
        <v>0</v>
      </c>
      <c r="F2943">
        <v>1130</v>
      </c>
      <c r="G2943">
        <v>22</v>
      </c>
      <c r="H2943">
        <v>36</v>
      </c>
      <c r="I2943">
        <v>6</v>
      </c>
      <c r="J2943">
        <v>4</v>
      </c>
      <c r="K2943">
        <v>1</v>
      </c>
      <c r="L2943">
        <v>2</v>
      </c>
      <c r="M2943">
        <v>45</v>
      </c>
      <c r="N2943">
        <v>118.8</v>
      </c>
      <c r="O2943">
        <v>0</v>
      </c>
      <c r="P29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2943" t="str">
        <f>IF(Table1[[#This Row],[Fraud_Score]]&gt;=6, "High Risk",IF(Table1[[#This Row],[Fraud_Score]]&gt;=3, "Medium Risk", "Low Risk"))</f>
        <v>Low Risk</v>
      </c>
      <c r="R2943">
        <f>IF(Table1[[#This Row],[Seconds of Use]]=0,0,Table1[[#This Row],[Customer Value]]/Table1[[#This Row],[Seconds of Use]]*100)</f>
        <v>10.513274336283187</v>
      </c>
    </row>
    <row r="2944" spans="1:18" x14ac:dyDescent="0.35">
      <c r="A2944" s="3" t="s">
        <v>2965</v>
      </c>
      <c r="B2944">
        <v>17</v>
      </c>
      <c r="C2944">
        <v>0</v>
      </c>
      <c r="D2944">
        <v>32</v>
      </c>
      <c r="E2944">
        <v>2</v>
      </c>
      <c r="F2944">
        <v>1530</v>
      </c>
      <c r="G2944">
        <v>44</v>
      </c>
      <c r="H2944">
        <v>34</v>
      </c>
      <c r="I2944">
        <v>16</v>
      </c>
      <c r="J2944">
        <v>2</v>
      </c>
      <c r="K2944">
        <v>1</v>
      </c>
      <c r="L2944">
        <v>1</v>
      </c>
      <c r="M2944">
        <v>25</v>
      </c>
      <c r="N2944">
        <v>223.83</v>
      </c>
      <c r="O2944">
        <v>0</v>
      </c>
      <c r="P29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44" t="str">
        <f>IF(Table1[[#This Row],[Fraud_Score]]&gt;=6, "High Risk",IF(Table1[[#This Row],[Fraud_Score]]&gt;=3, "Medium Risk", "Low Risk"))</f>
        <v>Low Risk</v>
      </c>
      <c r="R2944">
        <f>IF(Table1[[#This Row],[Seconds of Use]]=0,0,Table1[[#This Row],[Customer Value]]/Table1[[#This Row],[Seconds of Use]]*100)</f>
        <v>14.629411764705882</v>
      </c>
    </row>
    <row r="2945" spans="1:18" x14ac:dyDescent="0.35">
      <c r="A2945" s="3" t="s">
        <v>2966</v>
      </c>
      <c r="B2945">
        <v>9</v>
      </c>
      <c r="C2945">
        <v>0</v>
      </c>
      <c r="D2945">
        <v>32</v>
      </c>
      <c r="E2945">
        <v>2</v>
      </c>
      <c r="F2945">
        <v>3530</v>
      </c>
      <c r="G2945">
        <v>73</v>
      </c>
      <c r="H2945">
        <v>23</v>
      </c>
      <c r="I2945">
        <v>26</v>
      </c>
      <c r="J2945">
        <v>4</v>
      </c>
      <c r="K2945">
        <v>1</v>
      </c>
      <c r="L2945">
        <v>1</v>
      </c>
      <c r="M2945">
        <v>45</v>
      </c>
      <c r="N2945">
        <v>147.57499999999999</v>
      </c>
      <c r="O2945">
        <v>0</v>
      </c>
      <c r="P29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45" t="str">
        <f>IF(Table1[[#This Row],[Fraud_Score]]&gt;=6, "High Risk",IF(Table1[[#This Row],[Fraud_Score]]&gt;=3, "Medium Risk", "Low Risk"))</f>
        <v>Low Risk</v>
      </c>
      <c r="R2945">
        <f>IF(Table1[[#This Row],[Seconds of Use]]=0,0,Table1[[#This Row],[Customer Value]]/Table1[[#This Row],[Seconds of Use]]*100)</f>
        <v>4.180594900849858</v>
      </c>
    </row>
    <row r="2946" spans="1:18" x14ac:dyDescent="0.35">
      <c r="A2946" s="3" t="s">
        <v>2967</v>
      </c>
      <c r="B2946">
        <v>9</v>
      </c>
      <c r="C2946">
        <v>0</v>
      </c>
      <c r="D2946">
        <v>25</v>
      </c>
      <c r="E2946">
        <v>2</v>
      </c>
      <c r="F2946">
        <v>2000</v>
      </c>
      <c r="G2946">
        <v>38</v>
      </c>
      <c r="H2946">
        <v>43</v>
      </c>
      <c r="I2946">
        <v>17</v>
      </c>
      <c r="J2946">
        <v>3</v>
      </c>
      <c r="K2946">
        <v>1</v>
      </c>
      <c r="L2946">
        <v>1</v>
      </c>
      <c r="M2946">
        <v>30</v>
      </c>
      <c r="N2946">
        <v>253.52</v>
      </c>
      <c r="O2946">
        <v>0</v>
      </c>
      <c r="P29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46" t="str">
        <f>IF(Table1[[#This Row],[Fraud_Score]]&gt;=6, "High Risk",IF(Table1[[#This Row],[Fraud_Score]]&gt;=3, "Medium Risk", "Low Risk"))</f>
        <v>Low Risk</v>
      </c>
      <c r="R2946">
        <f>IF(Table1[[#This Row],[Seconds of Use]]=0,0,Table1[[#This Row],[Customer Value]]/Table1[[#This Row],[Seconds of Use]]*100)</f>
        <v>12.676000000000002</v>
      </c>
    </row>
    <row r="2947" spans="1:18" x14ac:dyDescent="0.35">
      <c r="A2947" s="3" t="s">
        <v>2968</v>
      </c>
      <c r="B2947">
        <v>23</v>
      </c>
      <c r="C2947">
        <v>0</v>
      </c>
      <c r="D2947">
        <v>24</v>
      </c>
      <c r="E2947">
        <v>3</v>
      </c>
      <c r="F2947">
        <v>6697</v>
      </c>
      <c r="G2947">
        <v>153</v>
      </c>
      <c r="H2947">
        <v>100</v>
      </c>
      <c r="I2947">
        <v>45</v>
      </c>
      <c r="J2947">
        <v>2</v>
      </c>
      <c r="K2947">
        <v>2</v>
      </c>
      <c r="L2947">
        <v>1</v>
      </c>
      <c r="M2947">
        <v>25</v>
      </c>
      <c r="N2947">
        <v>758.25</v>
      </c>
      <c r="O2947">
        <v>0</v>
      </c>
      <c r="P29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47" t="str">
        <f>IF(Table1[[#This Row],[Fraud_Score]]&gt;=6, "High Risk",IF(Table1[[#This Row],[Fraud_Score]]&gt;=3, "Medium Risk", "Low Risk"))</f>
        <v>Medium Risk</v>
      </c>
      <c r="R2947">
        <f>IF(Table1[[#This Row],[Seconds of Use]]=0,0,Table1[[#This Row],[Customer Value]]/Table1[[#This Row],[Seconds of Use]]*100)</f>
        <v>11.32223383604599</v>
      </c>
    </row>
    <row r="2948" spans="1:18" x14ac:dyDescent="0.35">
      <c r="A2948" s="3" t="s">
        <v>2969</v>
      </c>
      <c r="B2948">
        <v>19</v>
      </c>
      <c r="C2948">
        <v>0</v>
      </c>
      <c r="D2948">
        <v>22</v>
      </c>
      <c r="E2948">
        <v>2</v>
      </c>
      <c r="F2948">
        <v>9237</v>
      </c>
      <c r="G2948">
        <v>183</v>
      </c>
      <c r="H2948">
        <v>88</v>
      </c>
      <c r="I2948">
        <v>43</v>
      </c>
      <c r="J2948">
        <v>5</v>
      </c>
      <c r="K2948">
        <v>1</v>
      </c>
      <c r="L2948">
        <v>1</v>
      </c>
      <c r="M2948">
        <v>55</v>
      </c>
      <c r="N2948">
        <v>273.3</v>
      </c>
      <c r="O2948">
        <v>0</v>
      </c>
      <c r="P29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48" t="str">
        <f>IF(Table1[[#This Row],[Fraud_Score]]&gt;=6, "High Risk",IF(Table1[[#This Row],[Fraud_Score]]&gt;=3, "Medium Risk", "Low Risk"))</f>
        <v>Medium Risk</v>
      </c>
      <c r="R2948">
        <f>IF(Table1[[#This Row],[Seconds of Use]]=0,0,Table1[[#This Row],[Customer Value]]/Table1[[#This Row],[Seconds of Use]]*100)</f>
        <v>2.9587528418317635</v>
      </c>
    </row>
    <row r="2949" spans="1:18" x14ac:dyDescent="0.35">
      <c r="A2949" s="3" t="s">
        <v>2970</v>
      </c>
      <c r="B2949">
        <v>15</v>
      </c>
      <c r="C2949">
        <v>0</v>
      </c>
      <c r="D2949">
        <v>23</v>
      </c>
      <c r="E2949">
        <v>5</v>
      </c>
      <c r="F2949">
        <v>3157</v>
      </c>
      <c r="G2949">
        <v>57</v>
      </c>
      <c r="H2949">
        <v>46</v>
      </c>
      <c r="I2949">
        <v>22</v>
      </c>
      <c r="J2949">
        <v>4</v>
      </c>
      <c r="K2949">
        <v>1</v>
      </c>
      <c r="L2949">
        <v>1</v>
      </c>
      <c r="M2949">
        <v>45</v>
      </c>
      <c r="N2949">
        <v>195.35</v>
      </c>
      <c r="O2949">
        <v>0</v>
      </c>
      <c r="P29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49" t="str">
        <f>IF(Table1[[#This Row],[Fraud_Score]]&gt;=6, "High Risk",IF(Table1[[#This Row],[Fraud_Score]]&gt;=3, "Medium Risk", "Low Risk"))</f>
        <v>Low Risk</v>
      </c>
      <c r="R2949">
        <f>IF(Table1[[#This Row],[Seconds of Use]]=0,0,Table1[[#This Row],[Customer Value]]/Table1[[#This Row],[Seconds of Use]]*100)</f>
        <v>6.1878365536902118</v>
      </c>
    </row>
    <row r="2950" spans="1:18" x14ac:dyDescent="0.35">
      <c r="A2950" s="3" t="s">
        <v>2971</v>
      </c>
      <c r="B2950">
        <v>9</v>
      </c>
      <c r="C2950">
        <v>0</v>
      </c>
      <c r="D2950">
        <v>16</v>
      </c>
      <c r="E2950">
        <v>3</v>
      </c>
      <c r="F2950">
        <v>4695</v>
      </c>
      <c r="G2950">
        <v>52</v>
      </c>
      <c r="H2950">
        <v>230</v>
      </c>
      <c r="I2950">
        <v>13</v>
      </c>
      <c r="J2950">
        <v>3</v>
      </c>
      <c r="K2950">
        <v>1</v>
      </c>
      <c r="L2950">
        <v>1</v>
      </c>
      <c r="M2950">
        <v>30</v>
      </c>
      <c r="N2950">
        <v>1109.8800000000001</v>
      </c>
      <c r="O2950">
        <v>0</v>
      </c>
      <c r="P29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50" t="str">
        <f>IF(Table1[[#This Row],[Fraud_Score]]&gt;=6, "High Risk",IF(Table1[[#This Row],[Fraud_Score]]&gt;=3, "Medium Risk", "Low Risk"))</f>
        <v>Low Risk</v>
      </c>
      <c r="R2950">
        <f>IF(Table1[[#This Row],[Seconds of Use]]=0,0,Table1[[#This Row],[Customer Value]]/Table1[[#This Row],[Seconds of Use]]*100)</f>
        <v>23.639616613418532</v>
      </c>
    </row>
    <row r="2951" spans="1:18" x14ac:dyDescent="0.35">
      <c r="A2951" s="3" t="s">
        <v>2972</v>
      </c>
      <c r="B2951">
        <v>10</v>
      </c>
      <c r="C2951">
        <v>0</v>
      </c>
      <c r="D2951">
        <v>16</v>
      </c>
      <c r="E2951">
        <v>3</v>
      </c>
      <c r="F2951">
        <v>1792</v>
      </c>
      <c r="G2951">
        <v>31</v>
      </c>
      <c r="H2951">
        <v>15</v>
      </c>
      <c r="I2951">
        <v>10</v>
      </c>
      <c r="J2951">
        <v>3</v>
      </c>
      <c r="K2951">
        <v>1</v>
      </c>
      <c r="L2951">
        <v>1</v>
      </c>
      <c r="M2951">
        <v>30</v>
      </c>
      <c r="N2951">
        <v>132.91999999999999</v>
      </c>
      <c r="O2951">
        <v>1</v>
      </c>
      <c r="P29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2951" t="str">
        <f>IF(Table1[[#This Row],[Fraud_Score]]&gt;=6, "High Risk",IF(Table1[[#This Row],[Fraud_Score]]&gt;=3, "Medium Risk", "Low Risk"))</f>
        <v>Low Risk</v>
      </c>
      <c r="R2951">
        <f>IF(Table1[[#This Row],[Seconds of Use]]=0,0,Table1[[#This Row],[Customer Value]]/Table1[[#This Row],[Seconds of Use]]*100)</f>
        <v>7.4174107142857135</v>
      </c>
    </row>
    <row r="2952" spans="1:18" x14ac:dyDescent="0.35">
      <c r="A2952" s="3" t="s">
        <v>2973</v>
      </c>
      <c r="B2952">
        <v>19</v>
      </c>
      <c r="C2952">
        <v>0</v>
      </c>
      <c r="D2952">
        <v>41</v>
      </c>
      <c r="E2952">
        <v>2</v>
      </c>
      <c r="F2952">
        <v>5385</v>
      </c>
      <c r="G2952">
        <v>88</v>
      </c>
      <c r="H2952">
        <v>37</v>
      </c>
      <c r="I2952">
        <v>19</v>
      </c>
      <c r="J2952">
        <v>3</v>
      </c>
      <c r="K2952">
        <v>1</v>
      </c>
      <c r="L2952">
        <v>1</v>
      </c>
      <c r="M2952">
        <v>30</v>
      </c>
      <c r="N2952">
        <v>366.92</v>
      </c>
      <c r="O2952">
        <v>0</v>
      </c>
      <c r="P29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52" t="str">
        <f>IF(Table1[[#This Row],[Fraud_Score]]&gt;=6, "High Risk",IF(Table1[[#This Row],[Fraud_Score]]&gt;=3, "Medium Risk", "Low Risk"))</f>
        <v>Low Risk</v>
      </c>
      <c r="R2952">
        <f>IF(Table1[[#This Row],[Seconds of Use]]=0,0,Table1[[#This Row],[Customer Value]]/Table1[[#This Row],[Seconds of Use]]*100)</f>
        <v>6.8137418755803161</v>
      </c>
    </row>
    <row r="2953" spans="1:18" x14ac:dyDescent="0.35">
      <c r="A2953" s="3" t="s">
        <v>2974</v>
      </c>
      <c r="B2953">
        <v>11</v>
      </c>
      <c r="C2953">
        <v>0</v>
      </c>
      <c r="D2953">
        <v>42</v>
      </c>
      <c r="E2953">
        <v>0</v>
      </c>
      <c r="F2953">
        <v>1333</v>
      </c>
      <c r="G2953">
        <v>22</v>
      </c>
      <c r="H2953">
        <v>22</v>
      </c>
      <c r="I2953">
        <v>6</v>
      </c>
      <c r="J2953">
        <v>3</v>
      </c>
      <c r="K2953">
        <v>1</v>
      </c>
      <c r="L2953">
        <v>2</v>
      </c>
      <c r="M2953">
        <v>30</v>
      </c>
      <c r="N2953">
        <v>142.19999999999999</v>
      </c>
      <c r="O2953">
        <v>0</v>
      </c>
      <c r="P29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53" t="str">
        <f>IF(Table1[[#This Row],[Fraud_Score]]&gt;=6, "High Risk",IF(Table1[[#This Row],[Fraud_Score]]&gt;=3, "Medium Risk", "Low Risk"))</f>
        <v>Medium Risk</v>
      </c>
      <c r="R2953">
        <f>IF(Table1[[#This Row],[Seconds of Use]]=0,0,Table1[[#This Row],[Customer Value]]/Table1[[#This Row],[Seconds of Use]]*100)</f>
        <v>10.667666916729182</v>
      </c>
    </row>
    <row r="2954" spans="1:18" x14ac:dyDescent="0.35">
      <c r="A2954" s="3" t="s">
        <v>2975</v>
      </c>
      <c r="B2954">
        <v>21</v>
      </c>
      <c r="C2954">
        <v>0</v>
      </c>
      <c r="D2954">
        <v>40</v>
      </c>
      <c r="E2954">
        <v>2</v>
      </c>
      <c r="F2954">
        <v>3468</v>
      </c>
      <c r="G2954">
        <v>77</v>
      </c>
      <c r="H2954">
        <v>374</v>
      </c>
      <c r="I2954">
        <v>26</v>
      </c>
      <c r="J2954">
        <v>3</v>
      </c>
      <c r="K2954">
        <v>1</v>
      </c>
      <c r="L2954">
        <v>1</v>
      </c>
      <c r="M2954">
        <v>30</v>
      </c>
      <c r="N2954">
        <v>1637.8</v>
      </c>
      <c r="O2954">
        <v>0</v>
      </c>
      <c r="P29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54" t="str">
        <f>IF(Table1[[#This Row],[Fraud_Score]]&gt;=6, "High Risk",IF(Table1[[#This Row],[Fraud_Score]]&gt;=3, "Medium Risk", "Low Risk"))</f>
        <v>Low Risk</v>
      </c>
      <c r="R2954">
        <f>IF(Table1[[#This Row],[Seconds of Use]]=0,0,Table1[[#This Row],[Customer Value]]/Table1[[#This Row],[Seconds of Use]]*100)</f>
        <v>47.226066897347174</v>
      </c>
    </row>
    <row r="2955" spans="1:18" x14ac:dyDescent="0.35">
      <c r="A2955" s="3" t="s">
        <v>2976</v>
      </c>
      <c r="B2955">
        <v>21</v>
      </c>
      <c r="C2955">
        <v>0</v>
      </c>
      <c r="D2955">
        <v>41</v>
      </c>
      <c r="E2955">
        <v>2</v>
      </c>
      <c r="F2955">
        <v>5213</v>
      </c>
      <c r="G2955">
        <v>83</v>
      </c>
      <c r="H2955">
        <v>16</v>
      </c>
      <c r="I2955">
        <v>37</v>
      </c>
      <c r="J2955">
        <v>1</v>
      </c>
      <c r="K2955">
        <v>1</v>
      </c>
      <c r="L2955">
        <v>1</v>
      </c>
      <c r="M2955">
        <v>15</v>
      </c>
      <c r="N2955">
        <v>379.28</v>
      </c>
      <c r="O2955">
        <v>0</v>
      </c>
      <c r="P29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55" t="str">
        <f>IF(Table1[[#This Row],[Fraud_Score]]&gt;=6, "High Risk",IF(Table1[[#This Row],[Fraud_Score]]&gt;=3, "Medium Risk", "Low Risk"))</f>
        <v>Low Risk</v>
      </c>
      <c r="R2955">
        <f>IF(Table1[[#This Row],[Seconds of Use]]=0,0,Table1[[#This Row],[Customer Value]]/Table1[[#This Row],[Seconds of Use]]*100)</f>
        <v>7.2756570113178585</v>
      </c>
    </row>
    <row r="2956" spans="1:18" x14ac:dyDescent="0.35">
      <c r="A2956" s="3" t="s">
        <v>2977</v>
      </c>
      <c r="B2956">
        <v>14</v>
      </c>
      <c r="C2956">
        <v>0</v>
      </c>
      <c r="D2956">
        <v>41</v>
      </c>
      <c r="E2956">
        <v>2</v>
      </c>
      <c r="F2956">
        <v>3408</v>
      </c>
      <c r="G2956">
        <v>75</v>
      </c>
      <c r="H2956">
        <v>17</v>
      </c>
      <c r="I2956">
        <v>35</v>
      </c>
      <c r="J2956">
        <v>2</v>
      </c>
      <c r="K2956">
        <v>1</v>
      </c>
      <c r="L2956">
        <v>1</v>
      </c>
      <c r="M2956">
        <v>25</v>
      </c>
      <c r="N2956">
        <v>233.23500000000001</v>
      </c>
      <c r="O2956">
        <v>0</v>
      </c>
      <c r="P29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56" t="str">
        <f>IF(Table1[[#This Row],[Fraud_Score]]&gt;=6, "High Risk",IF(Table1[[#This Row],[Fraud_Score]]&gt;=3, "Medium Risk", "Low Risk"))</f>
        <v>Low Risk</v>
      </c>
      <c r="R2956">
        <f>IF(Table1[[#This Row],[Seconds of Use]]=0,0,Table1[[#This Row],[Customer Value]]/Table1[[#This Row],[Seconds of Use]]*100)</f>
        <v>6.84375</v>
      </c>
    </row>
    <row r="2957" spans="1:18" x14ac:dyDescent="0.35">
      <c r="A2957" s="3" t="s">
        <v>2978</v>
      </c>
      <c r="B2957">
        <v>22</v>
      </c>
      <c r="C2957">
        <v>0</v>
      </c>
      <c r="D2957">
        <v>41</v>
      </c>
      <c r="E2957">
        <v>3</v>
      </c>
      <c r="F2957">
        <v>4790</v>
      </c>
      <c r="G2957">
        <v>99</v>
      </c>
      <c r="H2957">
        <v>47</v>
      </c>
      <c r="I2957">
        <v>30</v>
      </c>
      <c r="J2957">
        <v>3</v>
      </c>
      <c r="K2957">
        <v>1</v>
      </c>
      <c r="L2957">
        <v>1</v>
      </c>
      <c r="M2957">
        <v>30</v>
      </c>
      <c r="N2957">
        <v>383.56</v>
      </c>
      <c r="O2957">
        <v>0</v>
      </c>
      <c r="P29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57" t="str">
        <f>IF(Table1[[#This Row],[Fraud_Score]]&gt;=6, "High Risk",IF(Table1[[#This Row],[Fraud_Score]]&gt;=3, "Medium Risk", "Low Risk"))</f>
        <v>Low Risk</v>
      </c>
      <c r="R2957">
        <f>IF(Table1[[#This Row],[Seconds of Use]]=0,0,Table1[[#This Row],[Customer Value]]/Table1[[#This Row],[Seconds of Use]]*100)</f>
        <v>8.0075156576200417</v>
      </c>
    </row>
    <row r="2958" spans="1:18" x14ac:dyDescent="0.35">
      <c r="A2958" s="3" t="s">
        <v>2979</v>
      </c>
      <c r="B2958">
        <v>15</v>
      </c>
      <c r="C2958">
        <v>0</v>
      </c>
      <c r="D2958">
        <v>41</v>
      </c>
      <c r="E2958">
        <v>2</v>
      </c>
      <c r="F2958">
        <v>3375</v>
      </c>
      <c r="G2958">
        <v>56</v>
      </c>
      <c r="H2958">
        <v>300</v>
      </c>
      <c r="I2958">
        <v>20</v>
      </c>
      <c r="J2958">
        <v>4</v>
      </c>
      <c r="K2958">
        <v>1</v>
      </c>
      <c r="L2958">
        <v>1</v>
      </c>
      <c r="M2958">
        <v>45</v>
      </c>
      <c r="N2958">
        <v>835.77499999999998</v>
      </c>
      <c r="O2958">
        <v>0</v>
      </c>
      <c r="P29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58" t="str">
        <f>IF(Table1[[#This Row],[Fraud_Score]]&gt;=6, "High Risk",IF(Table1[[#This Row],[Fraud_Score]]&gt;=3, "Medium Risk", "Low Risk"))</f>
        <v>Low Risk</v>
      </c>
      <c r="R2958">
        <f>IF(Table1[[#This Row],[Seconds of Use]]=0,0,Table1[[#This Row],[Customer Value]]/Table1[[#This Row],[Seconds of Use]]*100)</f>
        <v>24.763703703703701</v>
      </c>
    </row>
    <row r="2959" spans="1:18" x14ac:dyDescent="0.35">
      <c r="A2959" s="3" t="s">
        <v>2980</v>
      </c>
      <c r="B2959">
        <v>24</v>
      </c>
      <c r="C2959">
        <v>0</v>
      </c>
      <c r="D2959">
        <v>40</v>
      </c>
      <c r="E2959">
        <v>4</v>
      </c>
      <c r="F2959">
        <v>10130</v>
      </c>
      <c r="G2959">
        <v>138</v>
      </c>
      <c r="H2959">
        <v>159</v>
      </c>
      <c r="I2959">
        <v>45</v>
      </c>
      <c r="J2959">
        <v>3</v>
      </c>
      <c r="K2959">
        <v>1</v>
      </c>
      <c r="L2959">
        <v>1</v>
      </c>
      <c r="M2959">
        <v>30</v>
      </c>
      <c r="N2959">
        <v>1046.72</v>
      </c>
      <c r="O2959">
        <v>0</v>
      </c>
      <c r="P29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59" t="str">
        <f>IF(Table1[[#This Row],[Fraud_Score]]&gt;=6, "High Risk",IF(Table1[[#This Row],[Fraud_Score]]&gt;=3, "Medium Risk", "Low Risk"))</f>
        <v>Low Risk</v>
      </c>
      <c r="R2959">
        <f>IF(Table1[[#This Row],[Seconds of Use]]=0,0,Table1[[#This Row],[Customer Value]]/Table1[[#This Row],[Seconds of Use]]*100)</f>
        <v>10.332872655478777</v>
      </c>
    </row>
    <row r="2960" spans="1:18" x14ac:dyDescent="0.35">
      <c r="A2960" s="3" t="s">
        <v>2981</v>
      </c>
      <c r="B2960">
        <v>18</v>
      </c>
      <c r="C2960">
        <v>0</v>
      </c>
      <c r="D2960">
        <v>41</v>
      </c>
      <c r="E2960">
        <v>2</v>
      </c>
      <c r="F2960">
        <v>14788</v>
      </c>
      <c r="G2960">
        <v>186</v>
      </c>
      <c r="H2960">
        <v>15</v>
      </c>
      <c r="I2960">
        <v>46</v>
      </c>
      <c r="J2960">
        <v>3</v>
      </c>
      <c r="K2960">
        <v>1</v>
      </c>
      <c r="L2960">
        <v>1</v>
      </c>
      <c r="M2960">
        <v>30</v>
      </c>
      <c r="N2960">
        <v>658.96</v>
      </c>
      <c r="O2960">
        <v>0</v>
      </c>
      <c r="P29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60" t="str">
        <f>IF(Table1[[#This Row],[Fraud_Score]]&gt;=6, "High Risk",IF(Table1[[#This Row],[Fraud_Score]]&gt;=3, "Medium Risk", "Low Risk"))</f>
        <v>Medium Risk</v>
      </c>
      <c r="R2960">
        <f>IF(Table1[[#This Row],[Seconds of Use]]=0,0,Table1[[#This Row],[Customer Value]]/Table1[[#This Row],[Seconds of Use]]*100)</f>
        <v>4.4560454422504741</v>
      </c>
    </row>
    <row r="2961" spans="1:18" x14ac:dyDescent="0.35">
      <c r="A2961" s="3" t="s">
        <v>2982</v>
      </c>
      <c r="B2961">
        <v>18</v>
      </c>
      <c r="C2961">
        <v>0</v>
      </c>
      <c r="D2961">
        <v>41</v>
      </c>
      <c r="E2961">
        <v>3</v>
      </c>
      <c r="F2961">
        <v>5530</v>
      </c>
      <c r="G2961">
        <v>100</v>
      </c>
      <c r="H2961">
        <v>17</v>
      </c>
      <c r="I2961">
        <v>27</v>
      </c>
      <c r="J2961">
        <v>4</v>
      </c>
      <c r="K2961">
        <v>1</v>
      </c>
      <c r="L2961">
        <v>1</v>
      </c>
      <c r="M2961">
        <v>45</v>
      </c>
      <c r="N2961">
        <v>183.25</v>
      </c>
      <c r="O2961">
        <v>0</v>
      </c>
      <c r="P29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61" t="str">
        <f>IF(Table1[[#This Row],[Fraud_Score]]&gt;=6, "High Risk",IF(Table1[[#This Row],[Fraud_Score]]&gt;=3, "Medium Risk", "Low Risk"))</f>
        <v>Low Risk</v>
      </c>
      <c r="R2961">
        <f>IF(Table1[[#This Row],[Seconds of Use]]=0,0,Table1[[#This Row],[Customer Value]]/Table1[[#This Row],[Seconds of Use]]*100)</f>
        <v>3.3137432188065099</v>
      </c>
    </row>
    <row r="2962" spans="1:18" x14ac:dyDescent="0.35">
      <c r="A2962" s="3" t="s">
        <v>2983</v>
      </c>
      <c r="B2962">
        <v>17</v>
      </c>
      <c r="C2962">
        <v>0</v>
      </c>
      <c r="D2962">
        <v>41</v>
      </c>
      <c r="E2962">
        <v>2</v>
      </c>
      <c r="F2962">
        <v>6933</v>
      </c>
      <c r="G2962">
        <v>112</v>
      </c>
      <c r="H2962">
        <v>22</v>
      </c>
      <c r="I2962">
        <v>14</v>
      </c>
      <c r="J2962">
        <v>3</v>
      </c>
      <c r="K2962">
        <v>1</v>
      </c>
      <c r="L2962">
        <v>1</v>
      </c>
      <c r="M2962">
        <v>30</v>
      </c>
      <c r="N2962">
        <v>369.8</v>
      </c>
      <c r="O2962">
        <v>0</v>
      </c>
      <c r="P29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62" t="str">
        <f>IF(Table1[[#This Row],[Fraud_Score]]&gt;=6, "High Risk",IF(Table1[[#This Row],[Fraud_Score]]&gt;=3, "Medium Risk", "Low Risk"))</f>
        <v>Low Risk</v>
      </c>
      <c r="R2962">
        <f>IF(Table1[[#This Row],[Seconds of Use]]=0,0,Table1[[#This Row],[Customer Value]]/Table1[[#This Row],[Seconds of Use]]*100)</f>
        <v>5.3339102841482768</v>
      </c>
    </row>
    <row r="2963" spans="1:18" x14ac:dyDescent="0.35">
      <c r="A2963" s="3" t="s">
        <v>2984</v>
      </c>
      <c r="B2963">
        <v>20</v>
      </c>
      <c r="C2963">
        <v>0</v>
      </c>
      <c r="D2963">
        <v>41</v>
      </c>
      <c r="E2963">
        <v>0</v>
      </c>
      <c r="F2963">
        <v>3253</v>
      </c>
      <c r="G2963">
        <v>71</v>
      </c>
      <c r="H2963">
        <v>23</v>
      </c>
      <c r="I2963">
        <v>19</v>
      </c>
      <c r="J2963">
        <v>4</v>
      </c>
      <c r="K2963">
        <v>1</v>
      </c>
      <c r="L2963">
        <v>2</v>
      </c>
      <c r="M2963">
        <v>45</v>
      </c>
      <c r="N2963">
        <v>140.6</v>
      </c>
      <c r="O2963">
        <v>0</v>
      </c>
      <c r="P29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63" t="str">
        <f>IF(Table1[[#This Row],[Fraud_Score]]&gt;=6, "High Risk",IF(Table1[[#This Row],[Fraud_Score]]&gt;=3, "Medium Risk", "Low Risk"))</f>
        <v>Medium Risk</v>
      </c>
      <c r="R2963">
        <f>IF(Table1[[#This Row],[Seconds of Use]]=0,0,Table1[[#This Row],[Customer Value]]/Table1[[#This Row],[Seconds of Use]]*100)</f>
        <v>4.3221641561635407</v>
      </c>
    </row>
    <row r="2964" spans="1:18" x14ac:dyDescent="0.35">
      <c r="A2964" s="3" t="s">
        <v>2985</v>
      </c>
      <c r="B2964">
        <v>36</v>
      </c>
      <c r="C2964">
        <v>0</v>
      </c>
      <c r="D2964">
        <v>41</v>
      </c>
      <c r="E2964">
        <v>5</v>
      </c>
      <c r="F2964">
        <v>16155</v>
      </c>
      <c r="G2964">
        <v>242</v>
      </c>
      <c r="H2964">
        <v>69</v>
      </c>
      <c r="I2964">
        <v>34</v>
      </c>
      <c r="J2964">
        <v>3</v>
      </c>
      <c r="K2964">
        <v>2</v>
      </c>
      <c r="L2964">
        <v>1</v>
      </c>
      <c r="M2964">
        <v>30</v>
      </c>
      <c r="N2964">
        <v>931.88</v>
      </c>
      <c r="O2964">
        <v>0</v>
      </c>
      <c r="P29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64" t="str">
        <f>IF(Table1[[#This Row],[Fraud_Score]]&gt;=6, "High Risk",IF(Table1[[#This Row],[Fraud_Score]]&gt;=3, "Medium Risk", "Low Risk"))</f>
        <v>Medium Risk</v>
      </c>
      <c r="R2964">
        <f>IF(Table1[[#This Row],[Seconds of Use]]=0,0,Table1[[#This Row],[Customer Value]]/Table1[[#This Row],[Seconds of Use]]*100)</f>
        <v>5.7683689260290931</v>
      </c>
    </row>
    <row r="2965" spans="1:18" x14ac:dyDescent="0.35">
      <c r="A2965" s="3" t="s">
        <v>2986</v>
      </c>
      <c r="B2965">
        <v>15</v>
      </c>
      <c r="C2965">
        <v>0</v>
      </c>
      <c r="D2965">
        <v>41</v>
      </c>
      <c r="E2965">
        <v>3</v>
      </c>
      <c r="F2965">
        <v>4110</v>
      </c>
      <c r="G2965">
        <v>44</v>
      </c>
      <c r="H2965">
        <v>498</v>
      </c>
      <c r="I2965">
        <v>10</v>
      </c>
      <c r="J2965">
        <v>4</v>
      </c>
      <c r="K2965">
        <v>1</v>
      </c>
      <c r="L2965">
        <v>1</v>
      </c>
      <c r="M2965">
        <v>45</v>
      </c>
      <c r="N2965">
        <v>1348.85</v>
      </c>
      <c r="O2965">
        <v>0</v>
      </c>
      <c r="P29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65" t="str">
        <f>IF(Table1[[#This Row],[Fraud_Score]]&gt;=6, "High Risk",IF(Table1[[#This Row],[Fraud_Score]]&gt;=3, "Medium Risk", "Low Risk"))</f>
        <v>Low Risk</v>
      </c>
      <c r="R2965">
        <f>IF(Table1[[#This Row],[Seconds of Use]]=0,0,Table1[[#This Row],[Customer Value]]/Table1[[#This Row],[Seconds of Use]]*100)</f>
        <v>32.818734793187346</v>
      </c>
    </row>
    <row r="2966" spans="1:18" x14ac:dyDescent="0.35">
      <c r="A2966" s="3" t="s">
        <v>2987</v>
      </c>
      <c r="B2966">
        <v>20</v>
      </c>
      <c r="C2966">
        <v>0</v>
      </c>
      <c r="D2966">
        <v>40</v>
      </c>
      <c r="E2966">
        <v>2</v>
      </c>
      <c r="F2966">
        <v>16500</v>
      </c>
      <c r="G2966">
        <v>199</v>
      </c>
      <c r="H2966">
        <v>165</v>
      </c>
      <c r="I2966">
        <v>32</v>
      </c>
      <c r="J2966">
        <v>2</v>
      </c>
      <c r="K2966">
        <v>1</v>
      </c>
      <c r="L2966">
        <v>1</v>
      </c>
      <c r="M2966">
        <v>25</v>
      </c>
      <c r="N2966">
        <v>1493.9549999999999</v>
      </c>
      <c r="O2966">
        <v>0</v>
      </c>
      <c r="P29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66" t="str">
        <f>IF(Table1[[#This Row],[Fraud_Score]]&gt;=6, "High Risk",IF(Table1[[#This Row],[Fraud_Score]]&gt;=3, "Medium Risk", "Low Risk"))</f>
        <v>Medium Risk</v>
      </c>
      <c r="R2966">
        <f>IF(Table1[[#This Row],[Seconds of Use]]=0,0,Table1[[#This Row],[Customer Value]]/Table1[[#This Row],[Seconds of Use]]*100)</f>
        <v>9.0542727272727284</v>
      </c>
    </row>
    <row r="2967" spans="1:18" x14ac:dyDescent="0.35">
      <c r="A2967" s="3" t="s">
        <v>2988</v>
      </c>
      <c r="B2967">
        <v>14</v>
      </c>
      <c r="C2967">
        <v>0</v>
      </c>
      <c r="D2967">
        <v>40</v>
      </c>
      <c r="E2967">
        <v>3</v>
      </c>
      <c r="F2967">
        <v>7515</v>
      </c>
      <c r="G2967">
        <v>103</v>
      </c>
      <c r="H2967">
        <v>201</v>
      </c>
      <c r="I2967">
        <v>28</v>
      </c>
      <c r="J2967">
        <v>3</v>
      </c>
      <c r="K2967">
        <v>1</v>
      </c>
      <c r="L2967">
        <v>1</v>
      </c>
      <c r="M2967">
        <v>30</v>
      </c>
      <c r="N2967">
        <v>1108.72</v>
      </c>
      <c r="O2967">
        <v>0</v>
      </c>
      <c r="P29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67" t="str">
        <f>IF(Table1[[#This Row],[Fraud_Score]]&gt;=6, "High Risk",IF(Table1[[#This Row],[Fraud_Score]]&gt;=3, "Medium Risk", "Low Risk"))</f>
        <v>Low Risk</v>
      </c>
      <c r="R2967">
        <f>IF(Table1[[#This Row],[Seconds of Use]]=0,0,Table1[[#This Row],[Customer Value]]/Table1[[#This Row],[Seconds of Use]]*100)</f>
        <v>14.753426480372589</v>
      </c>
    </row>
    <row r="2968" spans="1:18" x14ac:dyDescent="0.35">
      <c r="A2968" s="3" t="s">
        <v>2989</v>
      </c>
      <c r="B2968">
        <v>11</v>
      </c>
      <c r="C2968">
        <v>0</v>
      </c>
      <c r="D2968">
        <v>40</v>
      </c>
      <c r="E2968">
        <v>0</v>
      </c>
      <c r="F2968">
        <v>1890</v>
      </c>
      <c r="G2968">
        <v>31</v>
      </c>
      <c r="H2968">
        <v>15</v>
      </c>
      <c r="I2968">
        <v>13</v>
      </c>
      <c r="J2968">
        <v>2</v>
      </c>
      <c r="K2968">
        <v>1</v>
      </c>
      <c r="L2968">
        <v>2</v>
      </c>
      <c r="M2968">
        <v>25</v>
      </c>
      <c r="N2968">
        <v>153.94499999999999</v>
      </c>
      <c r="O2968">
        <v>0</v>
      </c>
      <c r="P29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68" t="str">
        <f>IF(Table1[[#This Row],[Fraud_Score]]&gt;=6, "High Risk",IF(Table1[[#This Row],[Fraud_Score]]&gt;=3, "Medium Risk", "Low Risk"))</f>
        <v>Medium Risk</v>
      </c>
      <c r="R2968">
        <f>IF(Table1[[#This Row],[Seconds of Use]]=0,0,Table1[[#This Row],[Customer Value]]/Table1[[#This Row],[Seconds of Use]]*100)</f>
        <v>8.1452380952380938</v>
      </c>
    </row>
    <row r="2969" spans="1:18" x14ac:dyDescent="0.35">
      <c r="A2969" s="3" t="s">
        <v>2990</v>
      </c>
      <c r="B2969">
        <v>13</v>
      </c>
      <c r="C2969">
        <v>0</v>
      </c>
      <c r="D2969">
        <v>41</v>
      </c>
      <c r="E2969">
        <v>0</v>
      </c>
      <c r="F2969">
        <v>1725</v>
      </c>
      <c r="G2969">
        <v>31</v>
      </c>
      <c r="H2969">
        <v>28</v>
      </c>
      <c r="I2969">
        <v>10</v>
      </c>
      <c r="J2969">
        <v>3</v>
      </c>
      <c r="K2969">
        <v>1</v>
      </c>
      <c r="L2969">
        <v>2</v>
      </c>
      <c r="M2969">
        <v>30</v>
      </c>
      <c r="N2969">
        <v>182.24</v>
      </c>
      <c r="O2969">
        <v>0</v>
      </c>
      <c r="P29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69" t="str">
        <f>IF(Table1[[#This Row],[Fraud_Score]]&gt;=6, "High Risk",IF(Table1[[#This Row],[Fraud_Score]]&gt;=3, "Medium Risk", "Low Risk"))</f>
        <v>Medium Risk</v>
      </c>
      <c r="R2969">
        <f>IF(Table1[[#This Row],[Seconds of Use]]=0,0,Table1[[#This Row],[Customer Value]]/Table1[[#This Row],[Seconds of Use]]*100)</f>
        <v>10.564637681159422</v>
      </c>
    </row>
    <row r="2970" spans="1:18" x14ac:dyDescent="0.35">
      <c r="A2970" s="3" t="s">
        <v>2991</v>
      </c>
      <c r="B2970">
        <v>11</v>
      </c>
      <c r="C2970">
        <v>0</v>
      </c>
      <c r="D2970">
        <v>40</v>
      </c>
      <c r="E2970">
        <v>0</v>
      </c>
      <c r="F2970">
        <v>1015</v>
      </c>
      <c r="G2970">
        <v>17</v>
      </c>
      <c r="H2970">
        <v>15</v>
      </c>
      <c r="I2970">
        <v>2</v>
      </c>
      <c r="J2970">
        <v>3</v>
      </c>
      <c r="K2970">
        <v>1</v>
      </c>
      <c r="L2970">
        <v>2</v>
      </c>
      <c r="M2970">
        <v>30</v>
      </c>
      <c r="N2970">
        <v>101.28</v>
      </c>
      <c r="O2970">
        <v>1</v>
      </c>
      <c r="P29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70" t="str">
        <f>IF(Table1[[#This Row],[Fraud_Score]]&gt;=6, "High Risk",IF(Table1[[#This Row],[Fraud_Score]]&gt;=3, "Medium Risk", "Low Risk"))</f>
        <v>Medium Risk</v>
      </c>
      <c r="R2970">
        <f>IF(Table1[[#This Row],[Seconds of Use]]=0,0,Table1[[#This Row],[Customer Value]]/Table1[[#This Row],[Seconds of Use]]*100)</f>
        <v>9.9783251231527093</v>
      </c>
    </row>
    <row r="2971" spans="1:18" x14ac:dyDescent="0.35">
      <c r="A2971" s="3" t="s">
        <v>2992</v>
      </c>
      <c r="B2971">
        <v>14</v>
      </c>
      <c r="C2971">
        <v>0</v>
      </c>
      <c r="D2971">
        <v>40</v>
      </c>
      <c r="E2971">
        <v>2</v>
      </c>
      <c r="F2971">
        <v>8523</v>
      </c>
      <c r="G2971">
        <v>144</v>
      </c>
      <c r="H2971">
        <v>399</v>
      </c>
      <c r="I2971">
        <v>45</v>
      </c>
      <c r="J2971">
        <v>3</v>
      </c>
      <c r="K2971">
        <v>1</v>
      </c>
      <c r="L2971">
        <v>1</v>
      </c>
      <c r="M2971">
        <v>30</v>
      </c>
      <c r="N2971">
        <v>1942.68</v>
      </c>
      <c r="O2971">
        <v>0</v>
      </c>
      <c r="P29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71" t="str">
        <f>IF(Table1[[#This Row],[Fraud_Score]]&gt;=6, "High Risk",IF(Table1[[#This Row],[Fraud_Score]]&gt;=3, "Medium Risk", "Low Risk"))</f>
        <v>Medium Risk</v>
      </c>
      <c r="R2971">
        <f>IF(Table1[[#This Row],[Seconds of Use]]=0,0,Table1[[#This Row],[Customer Value]]/Table1[[#This Row],[Seconds of Use]]*100)</f>
        <v>22.793382611756424</v>
      </c>
    </row>
    <row r="2972" spans="1:18" x14ac:dyDescent="0.35">
      <c r="A2972" s="3" t="s">
        <v>2993</v>
      </c>
      <c r="B2972">
        <v>18</v>
      </c>
      <c r="C2972">
        <v>0</v>
      </c>
      <c r="D2972">
        <v>40</v>
      </c>
      <c r="E2972">
        <v>3</v>
      </c>
      <c r="F2972">
        <v>12480</v>
      </c>
      <c r="G2972">
        <v>171</v>
      </c>
      <c r="H2972">
        <v>26</v>
      </c>
      <c r="I2972">
        <v>49</v>
      </c>
      <c r="J2972">
        <v>4</v>
      </c>
      <c r="K2972">
        <v>1</v>
      </c>
      <c r="L2972">
        <v>1</v>
      </c>
      <c r="M2972">
        <v>45</v>
      </c>
      <c r="N2972">
        <v>381.27499999999998</v>
      </c>
      <c r="O2972">
        <v>0</v>
      </c>
      <c r="P29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72" t="str">
        <f>IF(Table1[[#This Row],[Fraud_Score]]&gt;=6, "High Risk",IF(Table1[[#This Row],[Fraud_Score]]&gt;=3, "Medium Risk", "Low Risk"))</f>
        <v>Medium Risk</v>
      </c>
      <c r="R2972">
        <f>IF(Table1[[#This Row],[Seconds of Use]]=0,0,Table1[[#This Row],[Customer Value]]/Table1[[#This Row],[Seconds of Use]]*100)</f>
        <v>3.0550881410256405</v>
      </c>
    </row>
    <row r="2973" spans="1:18" x14ac:dyDescent="0.35">
      <c r="A2973" s="3" t="s">
        <v>2994</v>
      </c>
      <c r="B2973">
        <v>19</v>
      </c>
      <c r="C2973">
        <v>0</v>
      </c>
      <c r="D2973">
        <v>40</v>
      </c>
      <c r="E2973">
        <v>3</v>
      </c>
      <c r="F2973">
        <v>7733</v>
      </c>
      <c r="G2973">
        <v>92</v>
      </c>
      <c r="H2973">
        <v>123</v>
      </c>
      <c r="I2973">
        <v>39</v>
      </c>
      <c r="J2973">
        <v>2</v>
      </c>
      <c r="K2973">
        <v>1</v>
      </c>
      <c r="L2973">
        <v>1</v>
      </c>
      <c r="M2973">
        <v>25</v>
      </c>
      <c r="N2973">
        <v>905.625</v>
      </c>
      <c r="O2973">
        <v>0</v>
      </c>
      <c r="P29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73" t="str">
        <f>IF(Table1[[#This Row],[Fraud_Score]]&gt;=6, "High Risk",IF(Table1[[#This Row],[Fraud_Score]]&gt;=3, "Medium Risk", "Low Risk"))</f>
        <v>Low Risk</v>
      </c>
      <c r="R2973">
        <f>IF(Table1[[#This Row],[Seconds of Use]]=0,0,Table1[[#This Row],[Customer Value]]/Table1[[#This Row],[Seconds of Use]]*100)</f>
        <v>11.711172895383422</v>
      </c>
    </row>
    <row r="2974" spans="1:18" x14ac:dyDescent="0.35">
      <c r="A2974" s="3" t="s">
        <v>2995</v>
      </c>
      <c r="B2974">
        <v>34</v>
      </c>
      <c r="C2974">
        <v>1</v>
      </c>
      <c r="D2974">
        <v>36</v>
      </c>
      <c r="E2974">
        <v>0</v>
      </c>
      <c r="F2974">
        <v>1970</v>
      </c>
      <c r="G2974">
        <v>64</v>
      </c>
      <c r="H2974">
        <v>31</v>
      </c>
      <c r="I2974">
        <v>19</v>
      </c>
      <c r="J2974">
        <v>3</v>
      </c>
      <c r="K2974">
        <v>2</v>
      </c>
      <c r="L2974">
        <v>2</v>
      </c>
      <c r="M2974">
        <v>30</v>
      </c>
      <c r="N2974">
        <v>205.36</v>
      </c>
      <c r="O2974">
        <v>1</v>
      </c>
      <c r="P29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74" t="str">
        <f>IF(Table1[[#This Row],[Fraud_Score]]&gt;=6, "High Risk",IF(Table1[[#This Row],[Fraud_Score]]&gt;=3, "Medium Risk", "Low Risk"))</f>
        <v>Medium Risk</v>
      </c>
      <c r="R2974">
        <f>IF(Table1[[#This Row],[Seconds of Use]]=0,0,Table1[[#This Row],[Customer Value]]/Table1[[#This Row],[Seconds of Use]]*100)</f>
        <v>10.424365482233505</v>
      </c>
    </row>
    <row r="2975" spans="1:18" x14ac:dyDescent="0.35">
      <c r="A2975" s="3" t="s">
        <v>2996</v>
      </c>
      <c r="B2975">
        <v>32</v>
      </c>
      <c r="C2975">
        <v>0</v>
      </c>
      <c r="D2975">
        <v>39</v>
      </c>
      <c r="E2975">
        <v>10</v>
      </c>
      <c r="F2975">
        <v>11450</v>
      </c>
      <c r="G2975">
        <v>110</v>
      </c>
      <c r="H2975">
        <v>16</v>
      </c>
      <c r="I2975">
        <v>44</v>
      </c>
      <c r="J2975">
        <v>5</v>
      </c>
      <c r="K2975">
        <v>1</v>
      </c>
      <c r="L2975">
        <v>1</v>
      </c>
      <c r="M2975">
        <v>55</v>
      </c>
      <c r="N2975">
        <v>197.4</v>
      </c>
      <c r="O2975">
        <v>0</v>
      </c>
      <c r="P29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75" t="str">
        <f>IF(Table1[[#This Row],[Fraud_Score]]&gt;=6, "High Risk",IF(Table1[[#This Row],[Fraud_Score]]&gt;=3, "Medium Risk", "Low Risk"))</f>
        <v>Low Risk</v>
      </c>
      <c r="R2975">
        <f>IF(Table1[[#This Row],[Seconds of Use]]=0,0,Table1[[#This Row],[Customer Value]]/Table1[[#This Row],[Seconds of Use]]*100)</f>
        <v>1.7240174672489081</v>
      </c>
    </row>
    <row r="2976" spans="1:18" x14ac:dyDescent="0.35">
      <c r="A2976" s="3" t="s">
        <v>2997</v>
      </c>
      <c r="B2976">
        <v>24</v>
      </c>
      <c r="C2976">
        <v>0</v>
      </c>
      <c r="D2976">
        <v>39</v>
      </c>
      <c r="E2976">
        <v>3</v>
      </c>
      <c r="F2976">
        <v>6833</v>
      </c>
      <c r="G2976">
        <v>115</v>
      </c>
      <c r="H2976">
        <v>41</v>
      </c>
      <c r="I2976">
        <v>26</v>
      </c>
      <c r="J2976">
        <v>3</v>
      </c>
      <c r="K2976">
        <v>1</v>
      </c>
      <c r="L2976">
        <v>1</v>
      </c>
      <c r="M2976">
        <v>30</v>
      </c>
      <c r="N2976">
        <v>441.92</v>
      </c>
      <c r="O2976">
        <v>0</v>
      </c>
      <c r="P29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76" t="str">
        <f>IF(Table1[[#This Row],[Fraud_Score]]&gt;=6, "High Risk",IF(Table1[[#This Row],[Fraud_Score]]&gt;=3, "Medium Risk", "Low Risk"))</f>
        <v>Low Risk</v>
      </c>
      <c r="R2976">
        <f>IF(Table1[[#This Row],[Seconds of Use]]=0,0,Table1[[#This Row],[Customer Value]]/Table1[[#This Row],[Seconds of Use]]*100)</f>
        <v>6.4674374359724869</v>
      </c>
    </row>
    <row r="2977" spans="1:18" x14ac:dyDescent="0.35">
      <c r="A2977" s="3" t="s">
        <v>2998</v>
      </c>
      <c r="B2977">
        <v>12</v>
      </c>
      <c r="C2977">
        <v>0</v>
      </c>
      <c r="D2977">
        <v>37</v>
      </c>
      <c r="E2977">
        <v>2</v>
      </c>
      <c r="F2977">
        <v>3855</v>
      </c>
      <c r="G2977">
        <v>39</v>
      </c>
      <c r="H2977">
        <v>15</v>
      </c>
      <c r="I2977">
        <v>16</v>
      </c>
      <c r="J2977">
        <v>3</v>
      </c>
      <c r="K2977">
        <v>1</v>
      </c>
      <c r="L2977">
        <v>1</v>
      </c>
      <c r="M2977">
        <v>30</v>
      </c>
      <c r="N2977">
        <v>215.76</v>
      </c>
      <c r="O2977">
        <v>0</v>
      </c>
      <c r="P29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77" t="str">
        <f>IF(Table1[[#This Row],[Fraud_Score]]&gt;=6, "High Risk",IF(Table1[[#This Row],[Fraud_Score]]&gt;=3, "Medium Risk", "Low Risk"))</f>
        <v>Low Risk</v>
      </c>
      <c r="R2977">
        <f>IF(Table1[[#This Row],[Seconds of Use]]=0,0,Table1[[#This Row],[Customer Value]]/Table1[[#This Row],[Seconds of Use]]*100)</f>
        <v>5.5968871595330736</v>
      </c>
    </row>
    <row r="2978" spans="1:18" x14ac:dyDescent="0.35">
      <c r="A2978" s="3" t="s">
        <v>2999</v>
      </c>
      <c r="B2978">
        <v>20</v>
      </c>
      <c r="C2978">
        <v>1</v>
      </c>
      <c r="D2978">
        <v>38</v>
      </c>
      <c r="E2978">
        <v>0</v>
      </c>
      <c r="F2978">
        <v>4005</v>
      </c>
      <c r="G2978">
        <v>58</v>
      </c>
      <c r="H2978">
        <v>24</v>
      </c>
      <c r="I2978">
        <v>18</v>
      </c>
      <c r="J2978">
        <v>3</v>
      </c>
      <c r="K2978">
        <v>1</v>
      </c>
      <c r="L2978">
        <v>2</v>
      </c>
      <c r="M2978">
        <v>30</v>
      </c>
      <c r="N2978">
        <v>258.52</v>
      </c>
      <c r="O2978">
        <v>1</v>
      </c>
      <c r="P29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78" t="str">
        <f>IF(Table1[[#This Row],[Fraud_Score]]&gt;=6, "High Risk",IF(Table1[[#This Row],[Fraud_Score]]&gt;=3, "Medium Risk", "Low Risk"))</f>
        <v>Medium Risk</v>
      </c>
      <c r="R2978">
        <f>IF(Table1[[#This Row],[Seconds of Use]]=0,0,Table1[[#This Row],[Customer Value]]/Table1[[#This Row],[Seconds of Use]]*100)</f>
        <v>6.4549313358302118</v>
      </c>
    </row>
    <row r="2979" spans="1:18" x14ac:dyDescent="0.35">
      <c r="A2979" s="3" t="s">
        <v>3000</v>
      </c>
      <c r="B2979">
        <v>20</v>
      </c>
      <c r="C2979">
        <v>1</v>
      </c>
      <c r="D2979">
        <v>39</v>
      </c>
      <c r="E2979">
        <v>0</v>
      </c>
      <c r="F2979">
        <v>3283</v>
      </c>
      <c r="G2979">
        <v>61</v>
      </c>
      <c r="H2979">
        <v>49</v>
      </c>
      <c r="I2979">
        <v>33</v>
      </c>
      <c r="J2979">
        <v>4</v>
      </c>
      <c r="K2979">
        <v>1</v>
      </c>
      <c r="L2979">
        <v>2</v>
      </c>
      <c r="M2979">
        <v>45</v>
      </c>
      <c r="N2979">
        <v>206.1</v>
      </c>
      <c r="O2979">
        <v>1</v>
      </c>
      <c r="P29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79" t="str">
        <f>IF(Table1[[#This Row],[Fraud_Score]]&gt;=6, "High Risk",IF(Table1[[#This Row],[Fraud_Score]]&gt;=3, "Medium Risk", "Low Risk"))</f>
        <v>Medium Risk</v>
      </c>
      <c r="R2979">
        <f>IF(Table1[[#This Row],[Seconds of Use]]=0,0,Table1[[#This Row],[Customer Value]]/Table1[[#This Row],[Seconds of Use]]*100)</f>
        <v>6.2777946999695393</v>
      </c>
    </row>
    <row r="2980" spans="1:18" x14ac:dyDescent="0.35">
      <c r="A2980" s="3" t="s">
        <v>3001</v>
      </c>
      <c r="B2980">
        <v>11</v>
      </c>
      <c r="C2980">
        <v>0</v>
      </c>
      <c r="D2980">
        <v>39</v>
      </c>
      <c r="E2980">
        <v>0</v>
      </c>
      <c r="F2980">
        <v>1148</v>
      </c>
      <c r="G2980">
        <v>19</v>
      </c>
      <c r="H2980">
        <v>15</v>
      </c>
      <c r="I2980">
        <v>4</v>
      </c>
      <c r="J2980">
        <v>3</v>
      </c>
      <c r="K2980">
        <v>1</v>
      </c>
      <c r="L2980">
        <v>2</v>
      </c>
      <c r="M2980">
        <v>30</v>
      </c>
      <c r="N2980">
        <v>106.68</v>
      </c>
      <c r="O2980">
        <v>1</v>
      </c>
      <c r="P29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80" t="str">
        <f>IF(Table1[[#This Row],[Fraud_Score]]&gt;=6, "High Risk",IF(Table1[[#This Row],[Fraud_Score]]&gt;=3, "Medium Risk", "Low Risk"))</f>
        <v>Medium Risk</v>
      </c>
      <c r="R2980">
        <f>IF(Table1[[#This Row],[Seconds of Use]]=0,0,Table1[[#This Row],[Customer Value]]/Table1[[#This Row],[Seconds of Use]]*100)</f>
        <v>9.2926829268292686</v>
      </c>
    </row>
    <row r="2981" spans="1:18" x14ac:dyDescent="0.35">
      <c r="A2981" s="3" t="s">
        <v>3002</v>
      </c>
      <c r="B2981">
        <v>12</v>
      </c>
      <c r="C2981">
        <v>0</v>
      </c>
      <c r="D2981">
        <v>39</v>
      </c>
      <c r="E2981">
        <v>2</v>
      </c>
      <c r="F2981">
        <v>2683</v>
      </c>
      <c r="G2981">
        <v>42</v>
      </c>
      <c r="H2981">
        <v>15</v>
      </c>
      <c r="I2981">
        <v>8</v>
      </c>
      <c r="J2981">
        <v>4</v>
      </c>
      <c r="K2981">
        <v>1</v>
      </c>
      <c r="L2981">
        <v>1</v>
      </c>
      <c r="M2981">
        <v>45</v>
      </c>
      <c r="N2981">
        <v>105.625</v>
      </c>
      <c r="O2981">
        <v>0</v>
      </c>
      <c r="P29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81" t="str">
        <f>IF(Table1[[#This Row],[Fraud_Score]]&gt;=6, "High Risk",IF(Table1[[#This Row],[Fraud_Score]]&gt;=3, "Medium Risk", "Low Risk"))</f>
        <v>Low Risk</v>
      </c>
      <c r="R2981">
        <f>IF(Table1[[#This Row],[Seconds of Use]]=0,0,Table1[[#This Row],[Customer Value]]/Table1[[#This Row],[Seconds of Use]]*100)</f>
        <v>3.9368244502422662</v>
      </c>
    </row>
    <row r="2982" spans="1:18" x14ac:dyDescent="0.35">
      <c r="A2982" s="3" t="s">
        <v>3003</v>
      </c>
      <c r="B2982">
        <v>14</v>
      </c>
      <c r="C2982">
        <v>0</v>
      </c>
      <c r="D2982">
        <v>36</v>
      </c>
      <c r="E2982">
        <v>3</v>
      </c>
      <c r="F2982">
        <v>7800</v>
      </c>
      <c r="G2982">
        <v>114</v>
      </c>
      <c r="H2982">
        <v>29</v>
      </c>
      <c r="I2982">
        <v>24</v>
      </c>
      <c r="J2982">
        <v>5</v>
      </c>
      <c r="K2982">
        <v>1</v>
      </c>
      <c r="L2982">
        <v>1</v>
      </c>
      <c r="M2982">
        <v>55</v>
      </c>
      <c r="N2982">
        <v>162.21</v>
      </c>
      <c r="O2982">
        <v>0</v>
      </c>
      <c r="P29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82" t="str">
        <f>IF(Table1[[#This Row],[Fraud_Score]]&gt;=6, "High Risk",IF(Table1[[#This Row],[Fraud_Score]]&gt;=3, "Medium Risk", "Low Risk"))</f>
        <v>Low Risk</v>
      </c>
      <c r="R2982">
        <f>IF(Table1[[#This Row],[Seconds of Use]]=0,0,Table1[[#This Row],[Customer Value]]/Table1[[#This Row],[Seconds of Use]]*100)</f>
        <v>2.0796153846153844</v>
      </c>
    </row>
    <row r="2983" spans="1:18" x14ac:dyDescent="0.35">
      <c r="A2983" s="3" t="s">
        <v>3004</v>
      </c>
      <c r="B2983">
        <v>11</v>
      </c>
      <c r="C2983">
        <v>0</v>
      </c>
      <c r="D2983">
        <v>39</v>
      </c>
      <c r="E2983">
        <v>0</v>
      </c>
      <c r="F2983">
        <v>1643</v>
      </c>
      <c r="G2983">
        <v>24</v>
      </c>
      <c r="H2983">
        <v>24</v>
      </c>
      <c r="I2983">
        <v>6</v>
      </c>
      <c r="J2983">
        <v>4</v>
      </c>
      <c r="K2983">
        <v>1</v>
      </c>
      <c r="L2983">
        <v>2</v>
      </c>
      <c r="M2983">
        <v>45</v>
      </c>
      <c r="N2983">
        <v>101.675</v>
      </c>
      <c r="O2983">
        <v>1</v>
      </c>
      <c r="P29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83" t="str">
        <f>IF(Table1[[#This Row],[Fraud_Score]]&gt;=6, "High Risk",IF(Table1[[#This Row],[Fraud_Score]]&gt;=3, "Medium Risk", "Low Risk"))</f>
        <v>Medium Risk</v>
      </c>
      <c r="R2983">
        <f>IF(Table1[[#This Row],[Seconds of Use]]=0,0,Table1[[#This Row],[Customer Value]]/Table1[[#This Row],[Seconds of Use]]*100)</f>
        <v>6.1883749239196586</v>
      </c>
    </row>
    <row r="2984" spans="1:18" x14ac:dyDescent="0.35">
      <c r="A2984" s="3" t="s">
        <v>3005</v>
      </c>
      <c r="B2984">
        <v>11</v>
      </c>
      <c r="C2984">
        <v>0</v>
      </c>
      <c r="D2984">
        <v>39</v>
      </c>
      <c r="E2984">
        <v>3</v>
      </c>
      <c r="F2984">
        <v>1353</v>
      </c>
      <c r="G2984">
        <v>21</v>
      </c>
      <c r="H2984">
        <v>19</v>
      </c>
      <c r="I2984">
        <v>4</v>
      </c>
      <c r="J2984">
        <v>5</v>
      </c>
      <c r="K2984">
        <v>1</v>
      </c>
      <c r="L2984">
        <v>1</v>
      </c>
      <c r="M2984">
        <v>55</v>
      </c>
      <c r="N2984">
        <v>49.11</v>
      </c>
      <c r="O2984">
        <v>0</v>
      </c>
      <c r="P29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84" t="str">
        <f>IF(Table1[[#This Row],[Fraud_Score]]&gt;=6, "High Risk",IF(Table1[[#This Row],[Fraud_Score]]&gt;=3, "Medium Risk", "Low Risk"))</f>
        <v>Low Risk</v>
      </c>
      <c r="R2984">
        <f>IF(Table1[[#This Row],[Seconds of Use]]=0,0,Table1[[#This Row],[Customer Value]]/Table1[[#This Row],[Seconds of Use]]*100)</f>
        <v>3.6297117516629709</v>
      </c>
    </row>
    <row r="2985" spans="1:18" x14ac:dyDescent="0.35">
      <c r="A2985" s="3" t="s">
        <v>3006</v>
      </c>
      <c r="B2985">
        <v>36</v>
      </c>
      <c r="C2985">
        <v>0</v>
      </c>
      <c r="D2985">
        <v>34</v>
      </c>
      <c r="E2985">
        <v>5</v>
      </c>
      <c r="F2985">
        <v>17090</v>
      </c>
      <c r="G2985">
        <v>255</v>
      </c>
      <c r="H2985">
        <v>15</v>
      </c>
      <c r="I2985">
        <v>82</v>
      </c>
      <c r="J2985">
        <v>2</v>
      </c>
      <c r="K2985">
        <v>2</v>
      </c>
      <c r="L2985">
        <v>1</v>
      </c>
      <c r="M2985">
        <v>25</v>
      </c>
      <c r="N2985">
        <v>848.02499999999998</v>
      </c>
      <c r="O2985">
        <v>0</v>
      </c>
      <c r="P29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85" t="str">
        <f>IF(Table1[[#This Row],[Fraud_Score]]&gt;=6, "High Risk",IF(Table1[[#This Row],[Fraud_Score]]&gt;=3, "Medium Risk", "Low Risk"))</f>
        <v>Medium Risk</v>
      </c>
      <c r="R2985">
        <f>IF(Table1[[#This Row],[Seconds of Use]]=0,0,Table1[[#This Row],[Customer Value]]/Table1[[#This Row],[Seconds of Use]]*100)</f>
        <v>4.9621123464014039</v>
      </c>
    </row>
    <row r="2986" spans="1:18" x14ac:dyDescent="0.35">
      <c r="A2986" s="3" t="s">
        <v>3007</v>
      </c>
      <c r="B2986">
        <v>17</v>
      </c>
      <c r="C2986">
        <v>0</v>
      </c>
      <c r="D2986">
        <v>37</v>
      </c>
      <c r="E2986">
        <v>5</v>
      </c>
      <c r="F2986">
        <v>7980</v>
      </c>
      <c r="G2986">
        <v>133</v>
      </c>
      <c r="H2986">
        <v>286</v>
      </c>
      <c r="I2986">
        <v>35</v>
      </c>
      <c r="J2986">
        <v>3</v>
      </c>
      <c r="K2986">
        <v>2</v>
      </c>
      <c r="L2986">
        <v>1</v>
      </c>
      <c r="M2986">
        <v>30</v>
      </c>
      <c r="N2986">
        <v>1468.52</v>
      </c>
      <c r="O2986">
        <v>0</v>
      </c>
      <c r="P29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86" t="str">
        <f>IF(Table1[[#This Row],[Fraud_Score]]&gt;=6, "High Risk",IF(Table1[[#This Row],[Fraud_Score]]&gt;=3, "Medium Risk", "Low Risk"))</f>
        <v>Low Risk</v>
      </c>
      <c r="R2986">
        <f>IF(Table1[[#This Row],[Seconds of Use]]=0,0,Table1[[#This Row],[Customer Value]]/Table1[[#This Row],[Seconds of Use]]*100)</f>
        <v>18.402506265664158</v>
      </c>
    </row>
    <row r="2987" spans="1:18" x14ac:dyDescent="0.35">
      <c r="A2987" s="3" t="s">
        <v>3008</v>
      </c>
      <c r="B2987">
        <v>13</v>
      </c>
      <c r="C2987">
        <v>0</v>
      </c>
      <c r="D2987">
        <v>39</v>
      </c>
      <c r="E2987">
        <v>2</v>
      </c>
      <c r="F2987">
        <v>4733</v>
      </c>
      <c r="G2987">
        <v>99</v>
      </c>
      <c r="H2987">
        <v>17</v>
      </c>
      <c r="I2987">
        <v>30</v>
      </c>
      <c r="J2987">
        <v>3</v>
      </c>
      <c r="K2987">
        <v>1</v>
      </c>
      <c r="L2987">
        <v>1</v>
      </c>
      <c r="M2987">
        <v>30</v>
      </c>
      <c r="N2987">
        <v>261.27999999999997</v>
      </c>
      <c r="O2987">
        <v>0</v>
      </c>
      <c r="P29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87" t="str">
        <f>IF(Table1[[#This Row],[Fraud_Score]]&gt;=6, "High Risk",IF(Table1[[#This Row],[Fraud_Score]]&gt;=3, "Medium Risk", "Low Risk"))</f>
        <v>Low Risk</v>
      </c>
      <c r="R2987">
        <f>IF(Table1[[#This Row],[Seconds of Use]]=0,0,Table1[[#This Row],[Customer Value]]/Table1[[#This Row],[Seconds of Use]]*100)</f>
        <v>5.5203887597718149</v>
      </c>
    </row>
    <row r="2988" spans="1:18" x14ac:dyDescent="0.35">
      <c r="A2988" s="3" t="s">
        <v>3009</v>
      </c>
      <c r="B2988">
        <v>14</v>
      </c>
      <c r="C2988">
        <v>0</v>
      </c>
      <c r="D2988">
        <v>38</v>
      </c>
      <c r="E2988">
        <v>0</v>
      </c>
      <c r="F2988">
        <v>2680</v>
      </c>
      <c r="G2988">
        <v>61</v>
      </c>
      <c r="H2988">
        <v>53</v>
      </c>
      <c r="I2988">
        <v>22</v>
      </c>
      <c r="J2988">
        <v>4</v>
      </c>
      <c r="K2988">
        <v>1</v>
      </c>
      <c r="L2988">
        <v>2</v>
      </c>
      <c r="M2988">
        <v>45</v>
      </c>
      <c r="N2988">
        <v>201.02500000000001</v>
      </c>
      <c r="O2988">
        <v>0</v>
      </c>
      <c r="P29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88" t="str">
        <f>IF(Table1[[#This Row],[Fraud_Score]]&gt;=6, "High Risk",IF(Table1[[#This Row],[Fraud_Score]]&gt;=3, "Medium Risk", "Low Risk"))</f>
        <v>Medium Risk</v>
      </c>
      <c r="R2988">
        <f>IF(Table1[[#This Row],[Seconds of Use]]=0,0,Table1[[#This Row],[Customer Value]]/Table1[[#This Row],[Seconds of Use]]*100)</f>
        <v>7.5009328358208966</v>
      </c>
    </row>
    <row r="2989" spans="1:18" x14ac:dyDescent="0.35">
      <c r="A2989" s="3" t="s">
        <v>3010</v>
      </c>
      <c r="B2989">
        <v>17</v>
      </c>
      <c r="C2989">
        <v>0</v>
      </c>
      <c r="D2989">
        <v>39</v>
      </c>
      <c r="E2989">
        <v>2</v>
      </c>
      <c r="F2989">
        <v>3795</v>
      </c>
      <c r="G2989">
        <v>70</v>
      </c>
      <c r="H2989">
        <v>190</v>
      </c>
      <c r="I2989">
        <v>25</v>
      </c>
      <c r="J2989">
        <v>2</v>
      </c>
      <c r="K2989">
        <v>1</v>
      </c>
      <c r="L2989">
        <v>1</v>
      </c>
      <c r="M2989">
        <v>25</v>
      </c>
      <c r="N2989">
        <v>1028.925</v>
      </c>
      <c r="O2989">
        <v>0</v>
      </c>
      <c r="P29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89" t="str">
        <f>IF(Table1[[#This Row],[Fraud_Score]]&gt;=6, "High Risk",IF(Table1[[#This Row],[Fraud_Score]]&gt;=3, "Medium Risk", "Low Risk"))</f>
        <v>Low Risk</v>
      </c>
      <c r="R2989">
        <f>IF(Table1[[#This Row],[Seconds of Use]]=0,0,Table1[[#This Row],[Customer Value]]/Table1[[#This Row],[Seconds of Use]]*100)</f>
        <v>27.112648221343871</v>
      </c>
    </row>
    <row r="2990" spans="1:18" x14ac:dyDescent="0.35">
      <c r="A2990" s="3" t="s">
        <v>3011</v>
      </c>
      <c r="B2990">
        <v>15</v>
      </c>
      <c r="C2990">
        <v>0</v>
      </c>
      <c r="D2990">
        <v>30</v>
      </c>
      <c r="E2990">
        <v>3</v>
      </c>
      <c r="F2990">
        <v>2330</v>
      </c>
      <c r="G2990">
        <v>53</v>
      </c>
      <c r="H2990">
        <v>208</v>
      </c>
      <c r="I2990">
        <v>13</v>
      </c>
      <c r="J2990">
        <v>3</v>
      </c>
      <c r="K2990">
        <v>2</v>
      </c>
      <c r="L2990">
        <v>1</v>
      </c>
      <c r="M2990">
        <v>30</v>
      </c>
      <c r="N2990">
        <v>927.32</v>
      </c>
      <c r="O2990">
        <v>0</v>
      </c>
      <c r="P29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90" t="str">
        <f>IF(Table1[[#This Row],[Fraud_Score]]&gt;=6, "High Risk",IF(Table1[[#This Row],[Fraud_Score]]&gt;=3, "Medium Risk", "Low Risk"))</f>
        <v>Low Risk</v>
      </c>
      <c r="R2990">
        <f>IF(Table1[[#This Row],[Seconds of Use]]=0,0,Table1[[#This Row],[Customer Value]]/Table1[[#This Row],[Seconds of Use]]*100)</f>
        <v>39.799141630901289</v>
      </c>
    </row>
    <row r="2991" spans="1:18" x14ac:dyDescent="0.35">
      <c r="A2991" s="3" t="s">
        <v>3012</v>
      </c>
      <c r="B2991">
        <v>15</v>
      </c>
      <c r="C2991">
        <v>0</v>
      </c>
      <c r="D2991">
        <v>29</v>
      </c>
      <c r="E2991">
        <v>2</v>
      </c>
      <c r="F2991">
        <v>2583</v>
      </c>
      <c r="G2991">
        <v>56</v>
      </c>
      <c r="H2991">
        <v>45</v>
      </c>
      <c r="I2991">
        <v>70</v>
      </c>
      <c r="J2991">
        <v>5</v>
      </c>
      <c r="K2991">
        <v>1</v>
      </c>
      <c r="L2991">
        <v>1</v>
      </c>
      <c r="M2991">
        <v>55</v>
      </c>
      <c r="N2991">
        <v>107.08499999999999</v>
      </c>
      <c r="O2991">
        <v>0</v>
      </c>
      <c r="P29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91" t="str">
        <f>IF(Table1[[#This Row],[Fraud_Score]]&gt;=6, "High Risk",IF(Table1[[#This Row],[Fraud_Score]]&gt;=3, "Medium Risk", "Low Risk"))</f>
        <v>Medium Risk</v>
      </c>
      <c r="R2991">
        <f>IF(Table1[[#This Row],[Seconds of Use]]=0,0,Table1[[#This Row],[Customer Value]]/Table1[[#This Row],[Seconds of Use]]*100)</f>
        <v>4.1457607433217181</v>
      </c>
    </row>
    <row r="2992" spans="1:18" x14ac:dyDescent="0.35">
      <c r="A2992" s="3" t="s">
        <v>3013</v>
      </c>
      <c r="B2992">
        <v>22</v>
      </c>
      <c r="C2992">
        <v>1</v>
      </c>
      <c r="D2992">
        <v>30</v>
      </c>
      <c r="E2992">
        <v>0</v>
      </c>
      <c r="F2992">
        <v>1715</v>
      </c>
      <c r="G2992">
        <v>42</v>
      </c>
      <c r="H2992">
        <v>25</v>
      </c>
      <c r="I2992">
        <v>9</v>
      </c>
      <c r="J2992">
        <v>3</v>
      </c>
      <c r="K2992">
        <v>1</v>
      </c>
      <c r="L2992">
        <v>2</v>
      </c>
      <c r="M2992">
        <v>30</v>
      </c>
      <c r="N2992">
        <v>170.28</v>
      </c>
      <c r="O2992">
        <v>1</v>
      </c>
      <c r="P29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2992" t="str">
        <f>IF(Table1[[#This Row],[Fraud_Score]]&gt;=6, "High Risk",IF(Table1[[#This Row],[Fraud_Score]]&gt;=3, "Medium Risk", "Low Risk"))</f>
        <v>Medium Risk</v>
      </c>
      <c r="R2992">
        <f>IF(Table1[[#This Row],[Seconds of Use]]=0,0,Table1[[#This Row],[Customer Value]]/Table1[[#This Row],[Seconds of Use]]*100)</f>
        <v>9.928862973760932</v>
      </c>
    </row>
    <row r="2993" spans="1:18" x14ac:dyDescent="0.35">
      <c r="A2993" s="3" t="s">
        <v>3014</v>
      </c>
      <c r="B2993">
        <v>11</v>
      </c>
      <c r="C2993">
        <v>0</v>
      </c>
      <c r="D2993">
        <v>29</v>
      </c>
      <c r="E2993">
        <v>0</v>
      </c>
      <c r="F2993">
        <v>1840</v>
      </c>
      <c r="G2993">
        <v>27</v>
      </c>
      <c r="H2993">
        <v>36</v>
      </c>
      <c r="I2993">
        <v>5</v>
      </c>
      <c r="J2993">
        <v>4</v>
      </c>
      <c r="K2993">
        <v>1</v>
      </c>
      <c r="L2993">
        <v>2</v>
      </c>
      <c r="M2993">
        <v>45</v>
      </c>
      <c r="N2993">
        <v>136.67500000000001</v>
      </c>
      <c r="O2993">
        <v>0</v>
      </c>
      <c r="P29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2993" t="str">
        <f>IF(Table1[[#This Row],[Fraud_Score]]&gt;=6, "High Risk",IF(Table1[[#This Row],[Fraud_Score]]&gt;=3, "Medium Risk", "Low Risk"))</f>
        <v>Medium Risk</v>
      </c>
      <c r="R2993">
        <f>IF(Table1[[#This Row],[Seconds of Use]]=0,0,Table1[[#This Row],[Customer Value]]/Table1[[#This Row],[Seconds of Use]]*100)</f>
        <v>7.4279891304347823</v>
      </c>
    </row>
    <row r="2994" spans="1:18" x14ac:dyDescent="0.35">
      <c r="A2994" s="3" t="s">
        <v>3015</v>
      </c>
      <c r="B2994">
        <v>21</v>
      </c>
      <c r="C2994">
        <v>0</v>
      </c>
      <c r="D2994">
        <v>28</v>
      </c>
      <c r="E2994">
        <v>2</v>
      </c>
      <c r="F2994">
        <v>2240</v>
      </c>
      <c r="G2994">
        <v>49</v>
      </c>
      <c r="H2994">
        <v>34</v>
      </c>
      <c r="I2994">
        <v>15</v>
      </c>
      <c r="J2994">
        <v>2</v>
      </c>
      <c r="K2994">
        <v>1</v>
      </c>
      <c r="L2994">
        <v>1</v>
      </c>
      <c r="M2994">
        <v>25</v>
      </c>
      <c r="N2994">
        <v>256.005</v>
      </c>
      <c r="O2994">
        <v>0</v>
      </c>
      <c r="P29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94" t="str">
        <f>IF(Table1[[#This Row],[Fraud_Score]]&gt;=6, "High Risk",IF(Table1[[#This Row],[Fraud_Score]]&gt;=3, "Medium Risk", "Low Risk"))</f>
        <v>Low Risk</v>
      </c>
      <c r="R2994">
        <f>IF(Table1[[#This Row],[Seconds of Use]]=0,0,Table1[[#This Row],[Customer Value]]/Table1[[#This Row],[Seconds of Use]]*100)</f>
        <v>11.428794642857143</v>
      </c>
    </row>
    <row r="2995" spans="1:18" x14ac:dyDescent="0.35">
      <c r="A2995" s="3" t="s">
        <v>3016</v>
      </c>
      <c r="B2995">
        <v>13</v>
      </c>
      <c r="C2995">
        <v>0</v>
      </c>
      <c r="D2995">
        <v>28</v>
      </c>
      <c r="E2995">
        <v>2</v>
      </c>
      <c r="F2995">
        <v>4240</v>
      </c>
      <c r="G2995">
        <v>78</v>
      </c>
      <c r="H2995">
        <v>23</v>
      </c>
      <c r="I2995">
        <v>25</v>
      </c>
      <c r="J2995">
        <v>3</v>
      </c>
      <c r="K2995">
        <v>1</v>
      </c>
      <c r="L2995">
        <v>1</v>
      </c>
      <c r="M2995">
        <v>30</v>
      </c>
      <c r="N2995">
        <v>264.72000000000003</v>
      </c>
      <c r="O2995">
        <v>0</v>
      </c>
      <c r="P29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95" t="str">
        <f>IF(Table1[[#This Row],[Fraud_Score]]&gt;=6, "High Risk",IF(Table1[[#This Row],[Fraud_Score]]&gt;=3, "Medium Risk", "Low Risk"))</f>
        <v>Low Risk</v>
      </c>
      <c r="R2995">
        <f>IF(Table1[[#This Row],[Seconds of Use]]=0,0,Table1[[#This Row],[Customer Value]]/Table1[[#This Row],[Seconds of Use]]*100)</f>
        <v>6.2433962264150944</v>
      </c>
    </row>
    <row r="2996" spans="1:18" x14ac:dyDescent="0.35">
      <c r="A2996" s="3" t="s">
        <v>3017</v>
      </c>
      <c r="B2996">
        <v>13</v>
      </c>
      <c r="C2996">
        <v>0</v>
      </c>
      <c r="D2996">
        <v>21</v>
      </c>
      <c r="E2996">
        <v>2</v>
      </c>
      <c r="F2996">
        <v>2710</v>
      </c>
      <c r="G2996">
        <v>43</v>
      </c>
      <c r="H2996">
        <v>43</v>
      </c>
      <c r="I2996">
        <v>16</v>
      </c>
      <c r="J2996">
        <v>3</v>
      </c>
      <c r="K2996">
        <v>1</v>
      </c>
      <c r="L2996">
        <v>1</v>
      </c>
      <c r="M2996">
        <v>30</v>
      </c>
      <c r="N2996">
        <v>282.12</v>
      </c>
      <c r="O2996">
        <v>0</v>
      </c>
      <c r="P29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96" t="str">
        <f>IF(Table1[[#This Row],[Fraud_Score]]&gt;=6, "High Risk",IF(Table1[[#This Row],[Fraud_Score]]&gt;=3, "Medium Risk", "Low Risk"))</f>
        <v>Low Risk</v>
      </c>
      <c r="R2996">
        <f>IF(Table1[[#This Row],[Seconds of Use]]=0,0,Table1[[#This Row],[Customer Value]]/Table1[[#This Row],[Seconds of Use]]*100)</f>
        <v>10.410332103321034</v>
      </c>
    </row>
    <row r="2997" spans="1:18" x14ac:dyDescent="0.35">
      <c r="A2997" s="3" t="s">
        <v>3018</v>
      </c>
      <c r="B2997">
        <v>27</v>
      </c>
      <c r="C2997">
        <v>0</v>
      </c>
      <c r="D2997">
        <v>20</v>
      </c>
      <c r="E2997">
        <v>3</v>
      </c>
      <c r="F2997">
        <v>7407</v>
      </c>
      <c r="G2997">
        <v>158</v>
      </c>
      <c r="H2997">
        <v>100</v>
      </c>
      <c r="I2997">
        <v>44</v>
      </c>
      <c r="J2997">
        <v>2</v>
      </c>
      <c r="K2997">
        <v>2</v>
      </c>
      <c r="L2997">
        <v>1</v>
      </c>
      <c r="M2997">
        <v>25</v>
      </c>
      <c r="N2997">
        <v>790.42499999999995</v>
      </c>
      <c r="O2997">
        <v>0</v>
      </c>
      <c r="P29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97" t="str">
        <f>IF(Table1[[#This Row],[Fraud_Score]]&gt;=6, "High Risk",IF(Table1[[#This Row],[Fraud_Score]]&gt;=3, "Medium Risk", "Low Risk"))</f>
        <v>Medium Risk</v>
      </c>
      <c r="R2997">
        <f>IF(Table1[[#This Row],[Seconds of Use]]=0,0,Table1[[#This Row],[Customer Value]]/Table1[[#This Row],[Seconds of Use]]*100)</f>
        <v>10.671324422843256</v>
      </c>
    </row>
    <row r="2998" spans="1:18" x14ac:dyDescent="0.35">
      <c r="A2998" s="3" t="s">
        <v>3019</v>
      </c>
      <c r="B2998">
        <v>23</v>
      </c>
      <c r="C2998">
        <v>0</v>
      </c>
      <c r="D2998">
        <v>18</v>
      </c>
      <c r="E2998">
        <v>2</v>
      </c>
      <c r="F2998">
        <v>9947</v>
      </c>
      <c r="G2998">
        <v>188</v>
      </c>
      <c r="H2998">
        <v>88</v>
      </c>
      <c r="I2998">
        <v>42</v>
      </c>
      <c r="J2998">
        <v>5</v>
      </c>
      <c r="K2998">
        <v>1</v>
      </c>
      <c r="L2998">
        <v>1</v>
      </c>
      <c r="M2998">
        <v>55</v>
      </c>
      <c r="N2998">
        <v>284.02499999999998</v>
      </c>
      <c r="O2998">
        <v>0</v>
      </c>
      <c r="P29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2998" t="str">
        <f>IF(Table1[[#This Row],[Fraud_Score]]&gt;=6, "High Risk",IF(Table1[[#This Row],[Fraud_Score]]&gt;=3, "Medium Risk", "Low Risk"))</f>
        <v>Medium Risk</v>
      </c>
      <c r="R2998">
        <f>IF(Table1[[#This Row],[Seconds of Use]]=0,0,Table1[[#This Row],[Customer Value]]/Table1[[#This Row],[Seconds of Use]]*100)</f>
        <v>2.855383532723434</v>
      </c>
    </row>
    <row r="2999" spans="1:18" x14ac:dyDescent="0.35">
      <c r="A2999" s="3" t="s">
        <v>3020</v>
      </c>
      <c r="B2999">
        <v>19</v>
      </c>
      <c r="C2999">
        <v>0</v>
      </c>
      <c r="D2999">
        <v>19</v>
      </c>
      <c r="E2999">
        <v>5</v>
      </c>
      <c r="F2999">
        <v>3867</v>
      </c>
      <c r="G2999">
        <v>62</v>
      </c>
      <c r="H2999">
        <v>46</v>
      </c>
      <c r="I2999">
        <v>21</v>
      </c>
      <c r="J2999">
        <v>3</v>
      </c>
      <c r="K2999">
        <v>1</v>
      </c>
      <c r="L2999">
        <v>1</v>
      </c>
      <c r="M2999">
        <v>30</v>
      </c>
      <c r="N2999">
        <v>341.16</v>
      </c>
      <c r="O2999">
        <v>0</v>
      </c>
      <c r="P29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2999" t="str">
        <f>IF(Table1[[#This Row],[Fraud_Score]]&gt;=6, "High Risk",IF(Table1[[#This Row],[Fraud_Score]]&gt;=3, "Medium Risk", "Low Risk"))</f>
        <v>Low Risk</v>
      </c>
      <c r="R2999">
        <f>IF(Table1[[#This Row],[Seconds of Use]]=0,0,Table1[[#This Row],[Customer Value]]/Table1[[#This Row],[Seconds of Use]]*100)</f>
        <v>8.8223429014740127</v>
      </c>
    </row>
    <row r="3000" spans="1:18" x14ac:dyDescent="0.35">
      <c r="A3000" s="3" t="s">
        <v>3021</v>
      </c>
      <c r="B3000">
        <v>13</v>
      </c>
      <c r="C3000">
        <v>0</v>
      </c>
      <c r="D3000">
        <v>12</v>
      </c>
      <c r="E3000">
        <v>3</v>
      </c>
      <c r="F3000">
        <v>5405</v>
      </c>
      <c r="G3000">
        <v>57</v>
      </c>
      <c r="H3000">
        <v>230</v>
      </c>
      <c r="I3000">
        <v>12</v>
      </c>
      <c r="J3000">
        <v>3</v>
      </c>
      <c r="K3000">
        <v>1</v>
      </c>
      <c r="L3000">
        <v>1</v>
      </c>
      <c r="M3000">
        <v>30</v>
      </c>
      <c r="N3000">
        <v>1138.48</v>
      </c>
      <c r="O3000">
        <v>0</v>
      </c>
      <c r="P30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00" t="str">
        <f>IF(Table1[[#This Row],[Fraud_Score]]&gt;=6, "High Risk",IF(Table1[[#This Row],[Fraud_Score]]&gt;=3, "Medium Risk", "Low Risk"))</f>
        <v>Low Risk</v>
      </c>
      <c r="R3000">
        <f>IF(Table1[[#This Row],[Seconds of Use]]=0,0,Table1[[#This Row],[Customer Value]]/Table1[[#This Row],[Seconds of Use]]*100)</f>
        <v>21.063459759481962</v>
      </c>
    </row>
    <row r="3001" spans="1:18" x14ac:dyDescent="0.35">
      <c r="A3001" s="3" t="s">
        <v>3022</v>
      </c>
      <c r="B3001">
        <v>14</v>
      </c>
      <c r="C3001">
        <v>1</v>
      </c>
      <c r="D3001">
        <v>12</v>
      </c>
      <c r="E3001">
        <v>3</v>
      </c>
      <c r="F3001">
        <v>2502</v>
      </c>
      <c r="G3001">
        <v>36</v>
      </c>
      <c r="H3001">
        <v>15</v>
      </c>
      <c r="I3001">
        <v>9</v>
      </c>
      <c r="J3001">
        <v>3</v>
      </c>
      <c r="K3001">
        <v>1</v>
      </c>
      <c r="L3001">
        <v>1</v>
      </c>
      <c r="M3001">
        <v>30</v>
      </c>
      <c r="N3001">
        <v>161.52000000000001</v>
      </c>
      <c r="O3001">
        <v>1</v>
      </c>
      <c r="P30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001" t="str">
        <f>IF(Table1[[#This Row],[Fraud_Score]]&gt;=6, "High Risk",IF(Table1[[#This Row],[Fraud_Score]]&gt;=3, "Medium Risk", "Low Risk"))</f>
        <v>Medium Risk</v>
      </c>
      <c r="R3001">
        <f>IF(Table1[[#This Row],[Seconds of Use]]=0,0,Table1[[#This Row],[Customer Value]]/Table1[[#This Row],[Seconds of Use]]*100)</f>
        <v>6.4556354916067153</v>
      </c>
    </row>
    <row r="3002" spans="1:18" x14ac:dyDescent="0.35">
      <c r="A3002" s="3" t="s">
        <v>3023</v>
      </c>
      <c r="B3002">
        <v>7</v>
      </c>
      <c r="C3002">
        <v>0</v>
      </c>
      <c r="D3002">
        <v>39</v>
      </c>
      <c r="E3002">
        <v>0</v>
      </c>
      <c r="F3002">
        <v>3965</v>
      </c>
      <c r="G3002">
        <v>66</v>
      </c>
      <c r="H3002">
        <v>0</v>
      </c>
      <c r="I3002">
        <v>19</v>
      </c>
      <c r="J3002">
        <v>3</v>
      </c>
      <c r="K3002">
        <v>1</v>
      </c>
      <c r="L3002">
        <v>1</v>
      </c>
      <c r="M3002">
        <v>30</v>
      </c>
      <c r="N3002">
        <v>161.24</v>
      </c>
      <c r="O3002">
        <v>0</v>
      </c>
      <c r="P30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02" t="str">
        <f>IF(Table1[[#This Row],[Fraud_Score]]&gt;=6, "High Risk",IF(Table1[[#This Row],[Fraud_Score]]&gt;=3, "Medium Risk", "Low Risk"))</f>
        <v>Low Risk</v>
      </c>
      <c r="R3002">
        <f>IF(Table1[[#This Row],[Seconds of Use]]=0,0,Table1[[#This Row],[Customer Value]]/Table1[[#This Row],[Seconds of Use]]*100)</f>
        <v>4.0665825977301386</v>
      </c>
    </row>
    <row r="3003" spans="1:18" x14ac:dyDescent="0.35">
      <c r="A3003" s="3" t="s">
        <v>3024</v>
      </c>
      <c r="B3003">
        <v>0</v>
      </c>
      <c r="C3003">
        <v>0</v>
      </c>
      <c r="D3003">
        <v>40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3</v>
      </c>
      <c r="K3003">
        <v>1</v>
      </c>
      <c r="L3003">
        <v>2</v>
      </c>
      <c r="M3003">
        <v>30</v>
      </c>
      <c r="N3003">
        <v>0</v>
      </c>
      <c r="O3003">
        <v>0</v>
      </c>
      <c r="P30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03" t="str">
        <f>IF(Table1[[#This Row],[Fraud_Score]]&gt;=6, "High Risk",IF(Table1[[#This Row],[Fraud_Score]]&gt;=3, "Medium Risk", "Low Risk"))</f>
        <v>Low Risk</v>
      </c>
      <c r="R3003">
        <f>IF(Table1[[#This Row],[Seconds of Use]]=0,0,Table1[[#This Row],[Customer Value]]/Table1[[#This Row],[Seconds of Use]]*100)</f>
        <v>0</v>
      </c>
    </row>
    <row r="3004" spans="1:18" x14ac:dyDescent="0.35">
      <c r="A3004" s="3" t="s">
        <v>3025</v>
      </c>
      <c r="B3004">
        <v>9</v>
      </c>
      <c r="C3004">
        <v>0</v>
      </c>
      <c r="D3004">
        <v>38</v>
      </c>
      <c r="E3004">
        <v>0</v>
      </c>
      <c r="F3004">
        <v>2048</v>
      </c>
      <c r="G3004">
        <v>55</v>
      </c>
      <c r="H3004">
        <v>341</v>
      </c>
      <c r="I3004">
        <v>26</v>
      </c>
      <c r="J3004">
        <v>3</v>
      </c>
      <c r="K3004">
        <v>1</v>
      </c>
      <c r="L3004">
        <v>1</v>
      </c>
      <c r="M3004">
        <v>30</v>
      </c>
      <c r="N3004">
        <v>1448.12</v>
      </c>
      <c r="O3004">
        <v>0</v>
      </c>
      <c r="P30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04" t="str">
        <f>IF(Table1[[#This Row],[Fraud_Score]]&gt;=6, "High Risk",IF(Table1[[#This Row],[Fraud_Score]]&gt;=3, "Medium Risk", "Low Risk"))</f>
        <v>Low Risk</v>
      </c>
      <c r="R3004">
        <f>IF(Table1[[#This Row],[Seconds of Use]]=0,0,Table1[[#This Row],[Customer Value]]/Table1[[#This Row],[Seconds of Use]]*100)</f>
        <v>70.708984375</v>
      </c>
    </row>
    <row r="3005" spans="1:18" x14ac:dyDescent="0.35">
      <c r="A3005" s="3" t="s">
        <v>3026</v>
      </c>
      <c r="B3005">
        <v>9</v>
      </c>
      <c r="C3005">
        <v>0</v>
      </c>
      <c r="D3005">
        <v>39</v>
      </c>
      <c r="E3005">
        <v>0</v>
      </c>
      <c r="F3005">
        <v>3793</v>
      </c>
      <c r="G3005">
        <v>61</v>
      </c>
      <c r="H3005">
        <v>0</v>
      </c>
      <c r="I3005">
        <v>37</v>
      </c>
      <c r="J3005">
        <v>1</v>
      </c>
      <c r="K3005">
        <v>1</v>
      </c>
      <c r="L3005">
        <v>1</v>
      </c>
      <c r="M3005">
        <v>15</v>
      </c>
      <c r="N3005">
        <v>211.97</v>
      </c>
      <c r="O3005">
        <v>0</v>
      </c>
      <c r="P30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05" t="str">
        <f>IF(Table1[[#This Row],[Fraud_Score]]&gt;=6, "High Risk",IF(Table1[[#This Row],[Fraud_Score]]&gt;=3, "Medium Risk", "Low Risk"))</f>
        <v>Low Risk</v>
      </c>
      <c r="R3005">
        <f>IF(Table1[[#This Row],[Seconds of Use]]=0,0,Table1[[#This Row],[Customer Value]]/Table1[[#This Row],[Seconds of Use]]*100)</f>
        <v>5.5884524123385182</v>
      </c>
    </row>
    <row r="3006" spans="1:18" x14ac:dyDescent="0.35">
      <c r="A3006" s="3" t="s">
        <v>3027</v>
      </c>
      <c r="B3006">
        <v>2</v>
      </c>
      <c r="C3006">
        <v>0</v>
      </c>
      <c r="D3006">
        <v>39</v>
      </c>
      <c r="E3006">
        <v>0</v>
      </c>
      <c r="F3006">
        <v>1988</v>
      </c>
      <c r="G3006">
        <v>53</v>
      </c>
      <c r="H3006">
        <v>0</v>
      </c>
      <c r="I3006">
        <v>35</v>
      </c>
      <c r="J3006">
        <v>2</v>
      </c>
      <c r="K3006">
        <v>1</v>
      </c>
      <c r="L3006">
        <v>1</v>
      </c>
      <c r="M3006">
        <v>25</v>
      </c>
      <c r="N3006">
        <v>91.844999999999999</v>
      </c>
      <c r="O3006">
        <v>0</v>
      </c>
      <c r="P30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06" t="str">
        <f>IF(Table1[[#This Row],[Fraud_Score]]&gt;=6, "High Risk",IF(Table1[[#This Row],[Fraud_Score]]&gt;=3, "Medium Risk", "Low Risk"))</f>
        <v>Low Risk</v>
      </c>
      <c r="R3006">
        <f>IF(Table1[[#This Row],[Seconds of Use]]=0,0,Table1[[#This Row],[Customer Value]]/Table1[[#This Row],[Seconds of Use]]*100)</f>
        <v>4.6199698189134812</v>
      </c>
    </row>
    <row r="3007" spans="1:18" x14ac:dyDescent="0.35">
      <c r="A3007" s="3" t="s">
        <v>3028</v>
      </c>
      <c r="B3007">
        <v>10</v>
      </c>
      <c r="C3007">
        <v>0</v>
      </c>
      <c r="D3007">
        <v>39</v>
      </c>
      <c r="E3007">
        <v>1</v>
      </c>
      <c r="F3007">
        <v>3370</v>
      </c>
      <c r="G3007">
        <v>77</v>
      </c>
      <c r="H3007">
        <v>14</v>
      </c>
      <c r="I3007">
        <v>30</v>
      </c>
      <c r="J3007">
        <v>3</v>
      </c>
      <c r="K3007">
        <v>1</v>
      </c>
      <c r="L3007">
        <v>1</v>
      </c>
      <c r="M3007">
        <v>30</v>
      </c>
      <c r="N3007">
        <v>193.88</v>
      </c>
      <c r="O3007">
        <v>0</v>
      </c>
      <c r="P30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07" t="str">
        <f>IF(Table1[[#This Row],[Fraud_Score]]&gt;=6, "High Risk",IF(Table1[[#This Row],[Fraud_Score]]&gt;=3, "Medium Risk", "Low Risk"))</f>
        <v>Low Risk</v>
      </c>
      <c r="R3007">
        <f>IF(Table1[[#This Row],[Seconds of Use]]=0,0,Table1[[#This Row],[Customer Value]]/Table1[[#This Row],[Seconds of Use]]*100)</f>
        <v>5.7531157270029674</v>
      </c>
    </row>
    <row r="3008" spans="1:18" x14ac:dyDescent="0.35">
      <c r="A3008" s="3" t="s">
        <v>3029</v>
      </c>
      <c r="B3008">
        <v>3</v>
      </c>
      <c r="C3008">
        <v>0</v>
      </c>
      <c r="D3008">
        <v>39</v>
      </c>
      <c r="E3008">
        <v>0</v>
      </c>
      <c r="F3008">
        <v>1955</v>
      </c>
      <c r="G3008">
        <v>34</v>
      </c>
      <c r="H3008">
        <v>267</v>
      </c>
      <c r="I3008">
        <v>20</v>
      </c>
      <c r="J3008">
        <v>3</v>
      </c>
      <c r="K3008">
        <v>1</v>
      </c>
      <c r="L3008">
        <v>1</v>
      </c>
      <c r="M3008">
        <v>30</v>
      </c>
      <c r="N3008">
        <v>1147.56</v>
      </c>
      <c r="O3008">
        <v>0</v>
      </c>
      <c r="P30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08" t="str">
        <f>IF(Table1[[#This Row],[Fraud_Score]]&gt;=6, "High Risk",IF(Table1[[#This Row],[Fraud_Score]]&gt;=3, "Medium Risk", "Low Risk"))</f>
        <v>Low Risk</v>
      </c>
      <c r="R3008">
        <f>IF(Table1[[#This Row],[Seconds of Use]]=0,0,Table1[[#This Row],[Customer Value]]/Table1[[#This Row],[Seconds of Use]]*100)</f>
        <v>58.698721227621476</v>
      </c>
    </row>
    <row r="3009" spans="1:18" x14ac:dyDescent="0.35">
      <c r="A3009" s="3" t="s">
        <v>3030</v>
      </c>
      <c r="B3009">
        <v>12</v>
      </c>
      <c r="C3009">
        <v>0</v>
      </c>
      <c r="D3009">
        <v>38</v>
      </c>
      <c r="E3009">
        <v>2</v>
      </c>
      <c r="F3009">
        <v>8710</v>
      </c>
      <c r="G3009">
        <v>116</v>
      </c>
      <c r="H3009">
        <v>126</v>
      </c>
      <c r="I3009">
        <v>45</v>
      </c>
      <c r="J3009">
        <v>3</v>
      </c>
      <c r="K3009">
        <v>1</v>
      </c>
      <c r="L3009">
        <v>1</v>
      </c>
      <c r="M3009">
        <v>30</v>
      </c>
      <c r="N3009">
        <v>857.04</v>
      </c>
      <c r="O3009">
        <v>0</v>
      </c>
      <c r="P30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09" t="str">
        <f>IF(Table1[[#This Row],[Fraud_Score]]&gt;=6, "High Risk",IF(Table1[[#This Row],[Fraud_Score]]&gt;=3, "Medium Risk", "Low Risk"))</f>
        <v>Low Risk</v>
      </c>
      <c r="R3009">
        <f>IF(Table1[[#This Row],[Seconds of Use]]=0,0,Table1[[#This Row],[Customer Value]]/Table1[[#This Row],[Seconds of Use]]*100)</f>
        <v>9.8397244546498275</v>
      </c>
    </row>
    <row r="3010" spans="1:18" x14ac:dyDescent="0.35">
      <c r="A3010" s="3" t="s">
        <v>3031</v>
      </c>
      <c r="B3010">
        <v>6</v>
      </c>
      <c r="C3010">
        <v>0</v>
      </c>
      <c r="D3010">
        <v>39</v>
      </c>
      <c r="E3010">
        <v>0</v>
      </c>
      <c r="F3010">
        <v>13368</v>
      </c>
      <c r="G3010">
        <v>164</v>
      </c>
      <c r="H3010">
        <v>0</v>
      </c>
      <c r="I3010">
        <v>46</v>
      </c>
      <c r="J3010">
        <v>3</v>
      </c>
      <c r="K3010">
        <v>1</v>
      </c>
      <c r="L3010">
        <v>1</v>
      </c>
      <c r="M3010">
        <v>30</v>
      </c>
      <c r="N3010">
        <v>541.28</v>
      </c>
      <c r="O3010">
        <v>0</v>
      </c>
      <c r="P30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10" t="str">
        <f>IF(Table1[[#This Row],[Fraud_Score]]&gt;=6, "High Risk",IF(Table1[[#This Row],[Fraud_Score]]&gt;=3, "Medium Risk", "Low Risk"))</f>
        <v>Medium Risk</v>
      </c>
      <c r="R3010">
        <f>IF(Table1[[#This Row],[Seconds of Use]]=0,0,Table1[[#This Row],[Customer Value]]/Table1[[#This Row],[Seconds of Use]]*100)</f>
        <v>4.0490724117295036</v>
      </c>
    </row>
    <row r="3011" spans="1:18" x14ac:dyDescent="0.35">
      <c r="A3011" s="3" t="s">
        <v>3032</v>
      </c>
      <c r="B3011">
        <v>6</v>
      </c>
      <c r="C3011">
        <v>0</v>
      </c>
      <c r="D3011">
        <v>39</v>
      </c>
      <c r="E3011">
        <v>1</v>
      </c>
      <c r="F3011">
        <v>4110</v>
      </c>
      <c r="G3011">
        <v>78</v>
      </c>
      <c r="H3011">
        <v>0</v>
      </c>
      <c r="I3011">
        <v>27</v>
      </c>
      <c r="J3011">
        <v>3</v>
      </c>
      <c r="K3011">
        <v>1</v>
      </c>
      <c r="L3011">
        <v>1</v>
      </c>
      <c r="M3011">
        <v>30</v>
      </c>
      <c r="N3011">
        <v>167.52</v>
      </c>
      <c r="O3011">
        <v>0</v>
      </c>
      <c r="P30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11" t="str">
        <f>IF(Table1[[#This Row],[Fraud_Score]]&gt;=6, "High Risk",IF(Table1[[#This Row],[Fraud_Score]]&gt;=3, "Medium Risk", "Low Risk"))</f>
        <v>Low Risk</v>
      </c>
      <c r="R3011">
        <f>IF(Table1[[#This Row],[Seconds of Use]]=0,0,Table1[[#This Row],[Customer Value]]/Table1[[#This Row],[Seconds of Use]]*100)</f>
        <v>4.0759124087591241</v>
      </c>
    </row>
    <row r="3012" spans="1:18" x14ac:dyDescent="0.35">
      <c r="A3012" s="3" t="s">
        <v>3033</v>
      </c>
      <c r="B3012">
        <v>5</v>
      </c>
      <c r="C3012">
        <v>0</v>
      </c>
      <c r="D3012">
        <v>39</v>
      </c>
      <c r="E3012">
        <v>0</v>
      </c>
      <c r="F3012">
        <v>5513</v>
      </c>
      <c r="G3012">
        <v>90</v>
      </c>
      <c r="H3012">
        <v>0</v>
      </c>
      <c r="I3012">
        <v>14</v>
      </c>
      <c r="J3012">
        <v>3</v>
      </c>
      <c r="K3012">
        <v>1</v>
      </c>
      <c r="L3012">
        <v>1</v>
      </c>
      <c r="M3012">
        <v>30</v>
      </c>
      <c r="N3012">
        <v>224.12</v>
      </c>
      <c r="O3012">
        <v>0</v>
      </c>
      <c r="P30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12" t="str">
        <f>IF(Table1[[#This Row],[Fraud_Score]]&gt;=6, "High Risk",IF(Table1[[#This Row],[Fraud_Score]]&gt;=3, "Medium Risk", "Low Risk"))</f>
        <v>Low Risk</v>
      </c>
      <c r="R3012">
        <f>IF(Table1[[#This Row],[Seconds of Use]]=0,0,Table1[[#This Row],[Customer Value]]/Table1[[#This Row],[Seconds of Use]]*100)</f>
        <v>4.0653001995283873</v>
      </c>
    </row>
    <row r="3013" spans="1:18" x14ac:dyDescent="0.35">
      <c r="A3013" s="3" t="s">
        <v>3034</v>
      </c>
      <c r="B3013">
        <v>8</v>
      </c>
      <c r="C3013">
        <v>0</v>
      </c>
      <c r="D3013">
        <v>39</v>
      </c>
      <c r="E3013">
        <v>0</v>
      </c>
      <c r="F3013">
        <v>1833</v>
      </c>
      <c r="G3013">
        <v>49</v>
      </c>
      <c r="H3013">
        <v>0</v>
      </c>
      <c r="I3013">
        <v>19</v>
      </c>
      <c r="J3013">
        <v>3</v>
      </c>
      <c r="K3013">
        <v>1</v>
      </c>
      <c r="L3013">
        <v>2</v>
      </c>
      <c r="M3013">
        <v>30</v>
      </c>
      <c r="N3013">
        <v>75.28</v>
      </c>
      <c r="O3013">
        <v>0</v>
      </c>
      <c r="P30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13" t="str">
        <f>IF(Table1[[#This Row],[Fraud_Score]]&gt;=6, "High Risk",IF(Table1[[#This Row],[Fraud_Score]]&gt;=3, "Medium Risk", "Low Risk"))</f>
        <v>Low Risk</v>
      </c>
      <c r="R3013">
        <f>IF(Table1[[#This Row],[Seconds of Use]]=0,0,Table1[[#This Row],[Customer Value]]/Table1[[#This Row],[Seconds of Use]]*100)</f>
        <v>4.1069285324604472</v>
      </c>
    </row>
    <row r="3014" spans="1:18" x14ac:dyDescent="0.35">
      <c r="A3014" s="3" t="s">
        <v>3035</v>
      </c>
      <c r="B3014">
        <v>24</v>
      </c>
      <c r="C3014">
        <v>0</v>
      </c>
      <c r="D3014">
        <v>39</v>
      </c>
      <c r="E3014">
        <v>3</v>
      </c>
      <c r="F3014">
        <v>14735</v>
      </c>
      <c r="G3014">
        <v>220</v>
      </c>
      <c r="H3014">
        <v>36</v>
      </c>
      <c r="I3014">
        <v>34</v>
      </c>
      <c r="J3014">
        <v>3</v>
      </c>
      <c r="K3014">
        <v>1</v>
      </c>
      <c r="L3014">
        <v>1</v>
      </c>
      <c r="M3014">
        <v>30</v>
      </c>
      <c r="N3014">
        <v>742.2</v>
      </c>
      <c r="O3014">
        <v>0</v>
      </c>
      <c r="P30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014" t="str">
        <f>IF(Table1[[#This Row],[Fraud_Score]]&gt;=6, "High Risk",IF(Table1[[#This Row],[Fraud_Score]]&gt;=3, "Medium Risk", "Low Risk"))</f>
        <v>Medium Risk</v>
      </c>
      <c r="R3014">
        <f>IF(Table1[[#This Row],[Seconds of Use]]=0,0,Table1[[#This Row],[Customer Value]]/Table1[[#This Row],[Seconds of Use]]*100)</f>
        <v>5.0369867662029186</v>
      </c>
    </row>
    <row r="3015" spans="1:18" x14ac:dyDescent="0.35">
      <c r="A3015" s="3" t="s">
        <v>3036</v>
      </c>
      <c r="B3015">
        <v>3</v>
      </c>
      <c r="C3015">
        <v>0</v>
      </c>
      <c r="D3015">
        <v>39</v>
      </c>
      <c r="E3015">
        <v>1</v>
      </c>
      <c r="F3015">
        <v>2690</v>
      </c>
      <c r="G3015">
        <v>22</v>
      </c>
      <c r="H3015">
        <v>465</v>
      </c>
      <c r="I3015">
        <v>10</v>
      </c>
      <c r="J3015">
        <v>3</v>
      </c>
      <c r="K3015">
        <v>1</v>
      </c>
      <c r="L3015">
        <v>1</v>
      </c>
      <c r="M3015">
        <v>30</v>
      </c>
      <c r="N3015">
        <v>1968.48</v>
      </c>
      <c r="O3015">
        <v>0</v>
      </c>
      <c r="P30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15" t="str">
        <f>IF(Table1[[#This Row],[Fraud_Score]]&gt;=6, "High Risk",IF(Table1[[#This Row],[Fraud_Score]]&gt;=3, "Medium Risk", "Low Risk"))</f>
        <v>Low Risk</v>
      </c>
      <c r="R3015">
        <f>IF(Table1[[#This Row],[Seconds of Use]]=0,0,Table1[[#This Row],[Customer Value]]/Table1[[#This Row],[Seconds of Use]]*100)</f>
        <v>73.177695167286245</v>
      </c>
    </row>
    <row r="3016" spans="1:18" x14ac:dyDescent="0.35">
      <c r="A3016" s="3" t="s">
        <v>3037</v>
      </c>
      <c r="B3016">
        <v>8</v>
      </c>
      <c r="C3016">
        <v>0</v>
      </c>
      <c r="D3016">
        <v>38</v>
      </c>
      <c r="E3016">
        <v>0</v>
      </c>
      <c r="F3016">
        <v>15080</v>
      </c>
      <c r="G3016">
        <v>177</v>
      </c>
      <c r="H3016">
        <v>132</v>
      </c>
      <c r="I3016">
        <v>32</v>
      </c>
      <c r="J3016">
        <v>2</v>
      </c>
      <c r="K3016">
        <v>1</v>
      </c>
      <c r="L3016">
        <v>1</v>
      </c>
      <c r="M3016">
        <v>25</v>
      </c>
      <c r="N3016">
        <v>1280.5650000000001</v>
      </c>
      <c r="O3016">
        <v>0</v>
      </c>
      <c r="P30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16" t="str">
        <f>IF(Table1[[#This Row],[Fraud_Score]]&gt;=6, "High Risk",IF(Table1[[#This Row],[Fraud_Score]]&gt;=3, "Medium Risk", "Low Risk"))</f>
        <v>Medium Risk</v>
      </c>
      <c r="R3016">
        <f>IF(Table1[[#This Row],[Seconds of Use]]=0,0,Table1[[#This Row],[Customer Value]]/Table1[[#This Row],[Seconds of Use]]*100)</f>
        <v>8.4918103448275861</v>
      </c>
    </row>
    <row r="3017" spans="1:18" x14ac:dyDescent="0.35">
      <c r="A3017" s="3" t="s">
        <v>3038</v>
      </c>
      <c r="B3017">
        <v>2</v>
      </c>
      <c r="C3017">
        <v>0</v>
      </c>
      <c r="D3017">
        <v>38</v>
      </c>
      <c r="E3017">
        <v>1</v>
      </c>
      <c r="F3017">
        <v>6095</v>
      </c>
      <c r="G3017">
        <v>81</v>
      </c>
      <c r="H3017">
        <v>168</v>
      </c>
      <c r="I3017">
        <v>28</v>
      </c>
      <c r="J3017">
        <v>3</v>
      </c>
      <c r="K3017">
        <v>1</v>
      </c>
      <c r="L3017">
        <v>1</v>
      </c>
      <c r="M3017">
        <v>30</v>
      </c>
      <c r="N3017">
        <v>919.04</v>
      </c>
      <c r="O3017">
        <v>0</v>
      </c>
      <c r="P30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17" t="str">
        <f>IF(Table1[[#This Row],[Fraud_Score]]&gt;=6, "High Risk",IF(Table1[[#This Row],[Fraud_Score]]&gt;=3, "Medium Risk", "Low Risk"))</f>
        <v>Low Risk</v>
      </c>
      <c r="R3017">
        <f>IF(Table1[[#This Row],[Seconds of Use]]=0,0,Table1[[#This Row],[Customer Value]]/Table1[[#This Row],[Seconds of Use]]*100)</f>
        <v>15.078589007383099</v>
      </c>
    </row>
    <row r="3018" spans="1:18" x14ac:dyDescent="0.35">
      <c r="A3018" s="3" t="s">
        <v>3039</v>
      </c>
      <c r="B3018">
        <v>0</v>
      </c>
      <c r="C3018">
        <v>0</v>
      </c>
      <c r="D3018">
        <v>38</v>
      </c>
      <c r="E3018">
        <v>0</v>
      </c>
      <c r="F3018">
        <v>470</v>
      </c>
      <c r="G3018">
        <v>9</v>
      </c>
      <c r="H3018">
        <v>0</v>
      </c>
      <c r="I3018">
        <v>13</v>
      </c>
      <c r="J3018">
        <v>2</v>
      </c>
      <c r="K3018">
        <v>1</v>
      </c>
      <c r="L3018">
        <v>2</v>
      </c>
      <c r="M3018">
        <v>25</v>
      </c>
      <c r="N3018">
        <v>21.555</v>
      </c>
      <c r="O3018">
        <v>0</v>
      </c>
      <c r="P30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18" t="str">
        <f>IF(Table1[[#This Row],[Fraud_Score]]&gt;=6, "High Risk",IF(Table1[[#This Row],[Fraud_Score]]&gt;=3, "Medium Risk", "Low Risk"))</f>
        <v>Low Risk</v>
      </c>
      <c r="R3018">
        <f>IF(Table1[[#This Row],[Seconds of Use]]=0,0,Table1[[#This Row],[Customer Value]]/Table1[[#This Row],[Seconds of Use]]*100)</f>
        <v>4.5861702127659578</v>
      </c>
    </row>
    <row r="3019" spans="1:18" x14ac:dyDescent="0.35">
      <c r="A3019" s="3" t="s">
        <v>3040</v>
      </c>
      <c r="B3019">
        <v>1</v>
      </c>
      <c r="C3019">
        <v>0</v>
      </c>
      <c r="D3019">
        <v>39</v>
      </c>
      <c r="E3019">
        <v>0</v>
      </c>
      <c r="F3019">
        <v>305</v>
      </c>
      <c r="G3019">
        <v>9</v>
      </c>
      <c r="H3019">
        <v>0</v>
      </c>
      <c r="I3019">
        <v>10</v>
      </c>
      <c r="J3019">
        <v>3</v>
      </c>
      <c r="K3019">
        <v>1</v>
      </c>
      <c r="L3019">
        <v>2</v>
      </c>
      <c r="M3019">
        <v>30</v>
      </c>
      <c r="N3019">
        <v>12.56</v>
      </c>
      <c r="O3019">
        <v>0</v>
      </c>
      <c r="P30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19" t="str">
        <f>IF(Table1[[#This Row],[Fraud_Score]]&gt;=6, "High Risk",IF(Table1[[#This Row],[Fraud_Score]]&gt;=3, "Medium Risk", "Low Risk"))</f>
        <v>Low Risk</v>
      </c>
      <c r="R3019">
        <f>IF(Table1[[#This Row],[Seconds of Use]]=0,0,Table1[[#This Row],[Customer Value]]/Table1[[#This Row],[Seconds of Use]]*100)</f>
        <v>4.1180327868852462</v>
      </c>
    </row>
    <row r="3020" spans="1:18" x14ac:dyDescent="0.35">
      <c r="A3020" s="3" t="s">
        <v>3041</v>
      </c>
      <c r="B3020">
        <v>0</v>
      </c>
      <c r="C3020">
        <v>0</v>
      </c>
      <c r="D3020">
        <v>38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2</v>
      </c>
      <c r="K3020">
        <v>1</v>
      </c>
      <c r="L3020">
        <v>2</v>
      </c>
      <c r="M3020">
        <v>25</v>
      </c>
      <c r="N3020">
        <v>0</v>
      </c>
      <c r="O3020">
        <v>1</v>
      </c>
      <c r="P30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20" t="str">
        <f>IF(Table1[[#This Row],[Fraud_Score]]&gt;=6, "High Risk",IF(Table1[[#This Row],[Fraud_Score]]&gt;=3, "Medium Risk", "Low Risk"))</f>
        <v>Low Risk</v>
      </c>
      <c r="R3020">
        <f>IF(Table1[[#This Row],[Seconds of Use]]=0,0,Table1[[#This Row],[Customer Value]]/Table1[[#This Row],[Seconds of Use]]*100)</f>
        <v>0</v>
      </c>
    </row>
    <row r="3021" spans="1:18" x14ac:dyDescent="0.35">
      <c r="A3021" s="3" t="s">
        <v>3042</v>
      </c>
      <c r="B3021">
        <v>2</v>
      </c>
      <c r="C3021">
        <v>0</v>
      </c>
      <c r="D3021">
        <v>38</v>
      </c>
      <c r="E3021">
        <v>0</v>
      </c>
      <c r="F3021">
        <v>7103</v>
      </c>
      <c r="G3021">
        <v>122</v>
      </c>
      <c r="H3021">
        <v>366</v>
      </c>
      <c r="I3021">
        <v>45</v>
      </c>
      <c r="J3021">
        <v>3</v>
      </c>
      <c r="K3021">
        <v>1</v>
      </c>
      <c r="L3021">
        <v>1</v>
      </c>
      <c r="M3021">
        <v>30</v>
      </c>
      <c r="N3021">
        <v>1753</v>
      </c>
      <c r="O3021">
        <v>0</v>
      </c>
      <c r="P30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21" t="str">
        <f>IF(Table1[[#This Row],[Fraud_Score]]&gt;=6, "High Risk",IF(Table1[[#This Row],[Fraud_Score]]&gt;=3, "Medium Risk", "Low Risk"))</f>
        <v>Low Risk</v>
      </c>
      <c r="R3021">
        <f>IF(Table1[[#This Row],[Seconds of Use]]=0,0,Table1[[#This Row],[Customer Value]]/Table1[[#This Row],[Seconds of Use]]*100)</f>
        <v>24.679712797409543</v>
      </c>
    </row>
    <row r="3022" spans="1:18" x14ac:dyDescent="0.35">
      <c r="A3022" s="3" t="s">
        <v>3043</v>
      </c>
      <c r="B3022">
        <v>6</v>
      </c>
      <c r="C3022">
        <v>0</v>
      </c>
      <c r="D3022">
        <v>38</v>
      </c>
      <c r="E3022">
        <v>1</v>
      </c>
      <c r="F3022">
        <v>11060</v>
      </c>
      <c r="G3022">
        <v>149</v>
      </c>
      <c r="H3022">
        <v>0</v>
      </c>
      <c r="I3022">
        <v>49</v>
      </c>
      <c r="J3022">
        <v>4</v>
      </c>
      <c r="K3022">
        <v>1</v>
      </c>
      <c r="L3022">
        <v>1</v>
      </c>
      <c r="M3022">
        <v>45</v>
      </c>
      <c r="N3022">
        <v>280.22500000000002</v>
      </c>
      <c r="O3022">
        <v>0</v>
      </c>
      <c r="P30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22" t="str">
        <f>IF(Table1[[#This Row],[Fraud_Score]]&gt;=6, "High Risk",IF(Table1[[#This Row],[Fraud_Score]]&gt;=3, "Medium Risk", "Low Risk"))</f>
        <v>Medium Risk</v>
      </c>
      <c r="R3022">
        <f>IF(Table1[[#This Row],[Seconds of Use]]=0,0,Table1[[#This Row],[Customer Value]]/Table1[[#This Row],[Seconds of Use]]*100)</f>
        <v>2.5336799276672695</v>
      </c>
    </row>
    <row r="3023" spans="1:18" x14ac:dyDescent="0.35">
      <c r="A3023" s="3" t="s">
        <v>3044</v>
      </c>
      <c r="B3023">
        <v>7</v>
      </c>
      <c r="C3023">
        <v>0</v>
      </c>
      <c r="D3023">
        <v>38</v>
      </c>
      <c r="E3023">
        <v>1</v>
      </c>
      <c r="F3023">
        <v>6313</v>
      </c>
      <c r="G3023">
        <v>70</v>
      </c>
      <c r="H3023">
        <v>90</v>
      </c>
      <c r="I3023">
        <v>39</v>
      </c>
      <c r="J3023">
        <v>2</v>
      </c>
      <c r="K3023">
        <v>1</v>
      </c>
      <c r="L3023">
        <v>1</v>
      </c>
      <c r="M3023">
        <v>25</v>
      </c>
      <c r="N3023">
        <v>692.23500000000001</v>
      </c>
      <c r="O3023">
        <v>0</v>
      </c>
      <c r="P30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23" t="str">
        <f>IF(Table1[[#This Row],[Fraud_Score]]&gt;=6, "High Risk",IF(Table1[[#This Row],[Fraud_Score]]&gt;=3, "Medium Risk", "Low Risk"))</f>
        <v>Low Risk</v>
      </c>
      <c r="R3023">
        <f>IF(Table1[[#This Row],[Seconds of Use]]=0,0,Table1[[#This Row],[Customer Value]]/Table1[[#This Row],[Seconds of Use]]*100)</f>
        <v>10.965230476793918</v>
      </c>
    </row>
    <row r="3024" spans="1:18" x14ac:dyDescent="0.35">
      <c r="A3024" s="3" t="s">
        <v>3045</v>
      </c>
      <c r="B3024">
        <v>22</v>
      </c>
      <c r="C3024">
        <v>0</v>
      </c>
      <c r="D3024">
        <v>34</v>
      </c>
      <c r="E3024">
        <v>0</v>
      </c>
      <c r="F3024">
        <v>550</v>
      </c>
      <c r="G3024">
        <v>42</v>
      </c>
      <c r="H3024">
        <v>0</v>
      </c>
      <c r="I3024">
        <v>19</v>
      </c>
      <c r="J3024">
        <v>3</v>
      </c>
      <c r="K3024">
        <v>1</v>
      </c>
      <c r="L3024">
        <v>2</v>
      </c>
      <c r="M3024">
        <v>30</v>
      </c>
      <c r="N3024">
        <v>23.68</v>
      </c>
      <c r="O3024">
        <v>1</v>
      </c>
      <c r="P30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24" t="str">
        <f>IF(Table1[[#This Row],[Fraud_Score]]&gt;=6, "High Risk",IF(Table1[[#This Row],[Fraud_Score]]&gt;=3, "Medium Risk", "Low Risk"))</f>
        <v>Medium Risk</v>
      </c>
      <c r="R3024">
        <f>IF(Table1[[#This Row],[Seconds of Use]]=0,0,Table1[[#This Row],[Customer Value]]/Table1[[#This Row],[Seconds of Use]]*100)</f>
        <v>4.3054545454545456</v>
      </c>
    </row>
    <row r="3025" spans="1:18" x14ac:dyDescent="0.35">
      <c r="A3025" s="3" t="s">
        <v>3046</v>
      </c>
      <c r="B3025">
        <v>20</v>
      </c>
      <c r="C3025">
        <v>0</v>
      </c>
      <c r="D3025">
        <v>37</v>
      </c>
      <c r="E3025">
        <v>8</v>
      </c>
      <c r="F3025">
        <v>10030</v>
      </c>
      <c r="G3025">
        <v>88</v>
      </c>
      <c r="H3025">
        <v>0</v>
      </c>
      <c r="I3025">
        <v>44</v>
      </c>
      <c r="J3025">
        <v>5</v>
      </c>
      <c r="K3025">
        <v>1</v>
      </c>
      <c r="L3025">
        <v>1</v>
      </c>
      <c r="M3025">
        <v>55</v>
      </c>
      <c r="N3025">
        <v>151.77000000000001</v>
      </c>
      <c r="O3025">
        <v>0</v>
      </c>
      <c r="P30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25" t="str">
        <f>IF(Table1[[#This Row],[Fraud_Score]]&gt;=6, "High Risk",IF(Table1[[#This Row],[Fraud_Score]]&gt;=3, "Medium Risk", "Low Risk"))</f>
        <v>Low Risk</v>
      </c>
      <c r="R3025">
        <f>IF(Table1[[#This Row],[Seconds of Use]]=0,0,Table1[[#This Row],[Customer Value]]/Table1[[#This Row],[Seconds of Use]]*100)</f>
        <v>1.5131605184446661</v>
      </c>
    </row>
    <row r="3026" spans="1:18" x14ac:dyDescent="0.35">
      <c r="A3026" s="3" t="s">
        <v>3047</v>
      </c>
      <c r="B3026">
        <v>12</v>
      </c>
      <c r="C3026">
        <v>0</v>
      </c>
      <c r="D3026">
        <v>37</v>
      </c>
      <c r="E3026">
        <v>1</v>
      </c>
      <c r="F3026">
        <v>5413</v>
      </c>
      <c r="G3026">
        <v>93</v>
      </c>
      <c r="H3026">
        <v>8</v>
      </c>
      <c r="I3026">
        <v>26</v>
      </c>
      <c r="J3026">
        <v>2</v>
      </c>
      <c r="K3026">
        <v>1</v>
      </c>
      <c r="L3026">
        <v>1</v>
      </c>
      <c r="M3026">
        <v>25</v>
      </c>
      <c r="N3026">
        <v>283.77</v>
      </c>
      <c r="O3026">
        <v>1</v>
      </c>
      <c r="P30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26" t="str">
        <f>IF(Table1[[#This Row],[Fraud_Score]]&gt;=6, "High Risk",IF(Table1[[#This Row],[Fraud_Score]]&gt;=3, "Medium Risk", "Low Risk"))</f>
        <v>Low Risk</v>
      </c>
      <c r="R3026">
        <f>IF(Table1[[#This Row],[Seconds of Use]]=0,0,Table1[[#This Row],[Customer Value]]/Table1[[#This Row],[Seconds of Use]]*100)</f>
        <v>5.242379456863107</v>
      </c>
    </row>
    <row r="3027" spans="1:18" x14ac:dyDescent="0.35">
      <c r="A3027" s="3" t="s">
        <v>3048</v>
      </c>
      <c r="B3027">
        <v>0</v>
      </c>
      <c r="C3027">
        <v>0</v>
      </c>
      <c r="D3027">
        <v>35</v>
      </c>
      <c r="E3027">
        <v>0</v>
      </c>
      <c r="F3027">
        <v>2435</v>
      </c>
      <c r="G3027">
        <v>17</v>
      </c>
      <c r="H3027">
        <v>0</v>
      </c>
      <c r="I3027">
        <v>16</v>
      </c>
      <c r="J3027">
        <v>3</v>
      </c>
      <c r="K3027">
        <v>1</v>
      </c>
      <c r="L3027">
        <v>1</v>
      </c>
      <c r="M3027">
        <v>30</v>
      </c>
      <c r="N3027">
        <v>98.08</v>
      </c>
      <c r="O3027">
        <v>0</v>
      </c>
      <c r="P30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27" t="str">
        <f>IF(Table1[[#This Row],[Fraud_Score]]&gt;=6, "High Risk",IF(Table1[[#This Row],[Fraud_Score]]&gt;=3, "Medium Risk", "Low Risk"))</f>
        <v>Low Risk</v>
      </c>
      <c r="R3027">
        <f>IF(Table1[[#This Row],[Seconds of Use]]=0,0,Table1[[#This Row],[Customer Value]]/Table1[[#This Row],[Seconds of Use]]*100)</f>
        <v>4.0279260780287469</v>
      </c>
    </row>
    <row r="3028" spans="1:18" x14ac:dyDescent="0.35">
      <c r="A3028" s="3" t="s">
        <v>3049</v>
      </c>
      <c r="B3028">
        <v>8</v>
      </c>
      <c r="C3028">
        <v>1</v>
      </c>
      <c r="D3028">
        <v>36</v>
      </c>
      <c r="E3028">
        <v>0</v>
      </c>
      <c r="F3028">
        <v>2585</v>
      </c>
      <c r="G3028">
        <v>36</v>
      </c>
      <c r="H3028">
        <v>0</v>
      </c>
      <c r="I3028">
        <v>18</v>
      </c>
      <c r="J3028">
        <v>3</v>
      </c>
      <c r="K3028">
        <v>1</v>
      </c>
      <c r="L3028">
        <v>2</v>
      </c>
      <c r="M3028">
        <v>30</v>
      </c>
      <c r="N3028">
        <v>104.84</v>
      </c>
      <c r="O3028">
        <v>1</v>
      </c>
      <c r="P30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28" t="str">
        <f>IF(Table1[[#This Row],[Fraud_Score]]&gt;=6, "High Risk",IF(Table1[[#This Row],[Fraud_Score]]&gt;=3, "Medium Risk", "Low Risk"))</f>
        <v>Medium Risk</v>
      </c>
      <c r="R3028">
        <f>IF(Table1[[#This Row],[Seconds of Use]]=0,0,Table1[[#This Row],[Customer Value]]/Table1[[#This Row],[Seconds of Use]]*100)</f>
        <v>4.055705996131528</v>
      </c>
    </row>
    <row r="3029" spans="1:18" x14ac:dyDescent="0.35">
      <c r="A3029" s="3" t="s">
        <v>3050</v>
      </c>
      <c r="B3029">
        <v>8</v>
      </c>
      <c r="C3029">
        <v>0</v>
      </c>
      <c r="D3029">
        <v>37</v>
      </c>
      <c r="E3029">
        <v>0</v>
      </c>
      <c r="F3029">
        <v>1863</v>
      </c>
      <c r="G3029">
        <v>39</v>
      </c>
      <c r="H3029">
        <v>16</v>
      </c>
      <c r="I3029">
        <v>33</v>
      </c>
      <c r="J3029">
        <v>3</v>
      </c>
      <c r="K3029">
        <v>1</v>
      </c>
      <c r="L3029">
        <v>2</v>
      </c>
      <c r="M3029">
        <v>30</v>
      </c>
      <c r="N3029">
        <v>140.08000000000001</v>
      </c>
      <c r="O3029">
        <v>1</v>
      </c>
      <c r="P30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29" t="str">
        <f>IF(Table1[[#This Row],[Fraud_Score]]&gt;=6, "High Risk",IF(Table1[[#This Row],[Fraud_Score]]&gt;=3, "Medium Risk", "Low Risk"))</f>
        <v>Low Risk</v>
      </c>
      <c r="R3029">
        <f>IF(Table1[[#This Row],[Seconds of Use]]=0,0,Table1[[#This Row],[Customer Value]]/Table1[[#This Row],[Seconds of Use]]*100)</f>
        <v>7.5190552871712297</v>
      </c>
    </row>
    <row r="3030" spans="1:18" x14ac:dyDescent="0.35">
      <c r="A3030" s="3" t="s">
        <v>3051</v>
      </c>
      <c r="B3030">
        <v>0</v>
      </c>
      <c r="C3030">
        <v>0</v>
      </c>
      <c r="D3030">
        <v>37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3</v>
      </c>
      <c r="K3030">
        <v>1</v>
      </c>
      <c r="L3030">
        <v>2</v>
      </c>
      <c r="M3030">
        <v>30</v>
      </c>
      <c r="N3030">
        <v>0</v>
      </c>
      <c r="O3030">
        <v>1</v>
      </c>
      <c r="P30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30" t="str">
        <f>IF(Table1[[#This Row],[Fraud_Score]]&gt;=6, "High Risk",IF(Table1[[#This Row],[Fraud_Score]]&gt;=3, "Medium Risk", "Low Risk"))</f>
        <v>Low Risk</v>
      </c>
      <c r="R3030">
        <f>IF(Table1[[#This Row],[Seconds of Use]]=0,0,Table1[[#This Row],[Customer Value]]/Table1[[#This Row],[Seconds of Use]]*100)</f>
        <v>0</v>
      </c>
    </row>
    <row r="3031" spans="1:18" x14ac:dyDescent="0.35">
      <c r="A3031" s="3" t="s">
        <v>3052</v>
      </c>
      <c r="B3031">
        <v>0</v>
      </c>
      <c r="C3031">
        <v>0</v>
      </c>
      <c r="D3031">
        <v>37</v>
      </c>
      <c r="E3031">
        <v>0</v>
      </c>
      <c r="F3031">
        <v>1263</v>
      </c>
      <c r="G3031">
        <v>20</v>
      </c>
      <c r="H3031">
        <v>0</v>
      </c>
      <c r="I3031">
        <v>8</v>
      </c>
      <c r="J3031">
        <v>4</v>
      </c>
      <c r="K3031">
        <v>1</v>
      </c>
      <c r="L3031">
        <v>1</v>
      </c>
      <c r="M3031">
        <v>45</v>
      </c>
      <c r="N3031">
        <v>32.075000000000003</v>
      </c>
      <c r="O3031">
        <v>0</v>
      </c>
      <c r="P30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31" t="str">
        <f>IF(Table1[[#This Row],[Fraud_Score]]&gt;=6, "High Risk",IF(Table1[[#This Row],[Fraud_Score]]&gt;=3, "Medium Risk", "Low Risk"))</f>
        <v>Low Risk</v>
      </c>
      <c r="R3031">
        <f>IF(Table1[[#This Row],[Seconds of Use]]=0,0,Table1[[#This Row],[Customer Value]]/Table1[[#This Row],[Seconds of Use]]*100)</f>
        <v>2.5395882818685673</v>
      </c>
    </row>
    <row r="3032" spans="1:18" x14ac:dyDescent="0.35">
      <c r="A3032" s="3" t="s">
        <v>3053</v>
      </c>
      <c r="B3032">
        <v>2</v>
      </c>
      <c r="C3032">
        <v>0</v>
      </c>
      <c r="D3032">
        <v>34</v>
      </c>
      <c r="E3032">
        <v>1</v>
      </c>
      <c r="F3032">
        <v>6380</v>
      </c>
      <c r="G3032">
        <v>92</v>
      </c>
      <c r="H3032">
        <v>0</v>
      </c>
      <c r="I3032">
        <v>24</v>
      </c>
      <c r="J3032">
        <v>5</v>
      </c>
      <c r="K3032">
        <v>1</v>
      </c>
      <c r="L3032">
        <v>1</v>
      </c>
      <c r="M3032">
        <v>55</v>
      </c>
      <c r="N3032">
        <v>97.08</v>
      </c>
      <c r="O3032">
        <v>0</v>
      </c>
      <c r="P30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32" t="str">
        <f>IF(Table1[[#This Row],[Fraud_Score]]&gt;=6, "High Risk",IF(Table1[[#This Row],[Fraud_Score]]&gt;=3, "Medium Risk", "Low Risk"))</f>
        <v>Low Risk</v>
      </c>
      <c r="R3032">
        <f>IF(Table1[[#This Row],[Seconds of Use]]=0,0,Table1[[#This Row],[Customer Value]]/Table1[[#This Row],[Seconds of Use]]*100)</f>
        <v>1.5216300940438872</v>
      </c>
    </row>
    <row r="3033" spans="1:18" x14ac:dyDescent="0.35">
      <c r="A3033" s="3" t="s">
        <v>3054</v>
      </c>
      <c r="B3033">
        <v>0</v>
      </c>
      <c r="C3033">
        <v>0</v>
      </c>
      <c r="D3033">
        <v>37</v>
      </c>
      <c r="E3033">
        <v>0</v>
      </c>
      <c r="F3033">
        <v>223</v>
      </c>
      <c r="G3033">
        <v>2</v>
      </c>
      <c r="H3033">
        <v>0</v>
      </c>
      <c r="I3033">
        <v>6</v>
      </c>
      <c r="J3033">
        <v>4</v>
      </c>
      <c r="K3033">
        <v>1</v>
      </c>
      <c r="L3033">
        <v>2</v>
      </c>
      <c r="M3033">
        <v>45</v>
      </c>
      <c r="N3033">
        <v>5.625</v>
      </c>
      <c r="O3033">
        <v>1</v>
      </c>
      <c r="P30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33" t="str">
        <f>IF(Table1[[#This Row],[Fraud_Score]]&gt;=6, "High Risk",IF(Table1[[#This Row],[Fraud_Score]]&gt;=3, "Medium Risk", "Low Risk"))</f>
        <v>Low Risk</v>
      </c>
      <c r="R3033">
        <f>IF(Table1[[#This Row],[Seconds of Use]]=0,0,Table1[[#This Row],[Customer Value]]/Table1[[#This Row],[Seconds of Use]]*100)</f>
        <v>2.522421524663677</v>
      </c>
    </row>
    <row r="3034" spans="1:18" x14ac:dyDescent="0.35">
      <c r="A3034" s="3" t="s">
        <v>3055</v>
      </c>
      <c r="B3034">
        <v>0</v>
      </c>
      <c r="C3034">
        <v>0</v>
      </c>
      <c r="D3034">
        <v>37</v>
      </c>
      <c r="E3034">
        <v>1</v>
      </c>
      <c r="F3034">
        <v>0</v>
      </c>
      <c r="G3034">
        <v>0</v>
      </c>
      <c r="H3034">
        <v>0</v>
      </c>
      <c r="I3034">
        <v>0</v>
      </c>
      <c r="J3034">
        <v>5</v>
      </c>
      <c r="K3034">
        <v>1</v>
      </c>
      <c r="L3034">
        <v>1</v>
      </c>
      <c r="M3034">
        <v>55</v>
      </c>
      <c r="N3034">
        <v>0</v>
      </c>
      <c r="O3034">
        <v>0</v>
      </c>
      <c r="P30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34" t="str">
        <f>IF(Table1[[#This Row],[Fraud_Score]]&gt;=6, "High Risk",IF(Table1[[#This Row],[Fraud_Score]]&gt;=3, "Medium Risk", "Low Risk"))</f>
        <v>Low Risk</v>
      </c>
      <c r="R3034">
        <f>IF(Table1[[#This Row],[Seconds of Use]]=0,0,Table1[[#This Row],[Customer Value]]/Table1[[#This Row],[Seconds of Use]]*100)</f>
        <v>0</v>
      </c>
    </row>
    <row r="3035" spans="1:18" x14ac:dyDescent="0.35">
      <c r="A3035" s="3" t="s">
        <v>3056</v>
      </c>
      <c r="B3035">
        <v>24</v>
      </c>
      <c r="C3035">
        <v>1</v>
      </c>
      <c r="D3035">
        <v>32</v>
      </c>
      <c r="E3035">
        <v>3</v>
      </c>
      <c r="F3035">
        <v>15670</v>
      </c>
      <c r="G3035">
        <v>233</v>
      </c>
      <c r="H3035">
        <v>0</v>
      </c>
      <c r="I3035">
        <v>82</v>
      </c>
      <c r="J3035">
        <v>2</v>
      </c>
      <c r="K3035">
        <v>1</v>
      </c>
      <c r="L3035">
        <v>1</v>
      </c>
      <c r="M3035">
        <v>25</v>
      </c>
      <c r="N3035">
        <v>715.63499999999999</v>
      </c>
      <c r="O3035">
        <v>0</v>
      </c>
      <c r="P30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7</v>
      </c>
      <c r="Q3035" t="str">
        <f>IF(Table1[[#This Row],[Fraud_Score]]&gt;=6, "High Risk",IF(Table1[[#This Row],[Fraud_Score]]&gt;=3, "Medium Risk", "Low Risk"))</f>
        <v>High Risk</v>
      </c>
      <c r="R3035">
        <f>IF(Table1[[#This Row],[Seconds of Use]]=0,0,Table1[[#This Row],[Customer Value]]/Table1[[#This Row],[Seconds of Use]]*100)</f>
        <v>4.5669112954690494</v>
      </c>
    </row>
    <row r="3036" spans="1:18" x14ac:dyDescent="0.35">
      <c r="A3036" s="3" t="s">
        <v>3057</v>
      </c>
      <c r="B3036">
        <v>5</v>
      </c>
      <c r="C3036">
        <v>0</v>
      </c>
      <c r="D3036">
        <v>35</v>
      </c>
      <c r="E3036">
        <v>3</v>
      </c>
      <c r="F3036">
        <v>6560</v>
      </c>
      <c r="G3036">
        <v>111</v>
      </c>
      <c r="H3036">
        <v>253</v>
      </c>
      <c r="I3036">
        <v>35</v>
      </c>
      <c r="J3036">
        <v>2</v>
      </c>
      <c r="K3036">
        <v>2</v>
      </c>
      <c r="L3036">
        <v>1</v>
      </c>
      <c r="M3036">
        <v>25</v>
      </c>
      <c r="N3036">
        <v>1438.6949999999999</v>
      </c>
      <c r="O3036">
        <v>0</v>
      </c>
      <c r="P30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36" t="str">
        <f>IF(Table1[[#This Row],[Fraud_Score]]&gt;=6, "High Risk",IF(Table1[[#This Row],[Fraud_Score]]&gt;=3, "Medium Risk", "Low Risk"))</f>
        <v>Low Risk</v>
      </c>
      <c r="R3036">
        <f>IF(Table1[[#This Row],[Seconds of Use]]=0,0,Table1[[#This Row],[Customer Value]]/Table1[[#This Row],[Seconds of Use]]*100)</f>
        <v>21.931326219512197</v>
      </c>
    </row>
    <row r="3037" spans="1:18" x14ac:dyDescent="0.35">
      <c r="A3037" s="3" t="s">
        <v>3058</v>
      </c>
      <c r="B3037">
        <v>1</v>
      </c>
      <c r="C3037">
        <v>0</v>
      </c>
      <c r="D3037">
        <v>37</v>
      </c>
      <c r="E3037">
        <v>0</v>
      </c>
      <c r="F3037">
        <v>3313</v>
      </c>
      <c r="G3037">
        <v>77</v>
      </c>
      <c r="H3037">
        <v>0</v>
      </c>
      <c r="I3037">
        <v>30</v>
      </c>
      <c r="J3037">
        <v>3</v>
      </c>
      <c r="K3037">
        <v>1</v>
      </c>
      <c r="L3037">
        <v>1</v>
      </c>
      <c r="M3037">
        <v>30</v>
      </c>
      <c r="N3037">
        <v>135.6</v>
      </c>
      <c r="O3037">
        <v>0</v>
      </c>
      <c r="P30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37" t="str">
        <f>IF(Table1[[#This Row],[Fraud_Score]]&gt;=6, "High Risk",IF(Table1[[#This Row],[Fraud_Score]]&gt;=3, "Medium Risk", "Low Risk"))</f>
        <v>Low Risk</v>
      </c>
      <c r="R3037">
        <f>IF(Table1[[#This Row],[Seconds of Use]]=0,0,Table1[[#This Row],[Customer Value]]/Table1[[#This Row],[Seconds of Use]]*100)</f>
        <v>4.0929670993057652</v>
      </c>
    </row>
    <row r="3038" spans="1:18" x14ac:dyDescent="0.35">
      <c r="A3038" s="3" t="s">
        <v>3059</v>
      </c>
      <c r="B3038">
        <v>2</v>
      </c>
      <c r="C3038">
        <v>0</v>
      </c>
      <c r="D3038">
        <v>36</v>
      </c>
      <c r="E3038">
        <v>0</v>
      </c>
      <c r="F3038">
        <v>1260</v>
      </c>
      <c r="G3038">
        <v>39</v>
      </c>
      <c r="H3038">
        <v>20</v>
      </c>
      <c r="I3038">
        <v>22</v>
      </c>
      <c r="J3038">
        <v>3</v>
      </c>
      <c r="K3038">
        <v>1</v>
      </c>
      <c r="L3038">
        <v>2</v>
      </c>
      <c r="M3038">
        <v>30</v>
      </c>
      <c r="N3038">
        <v>131.96</v>
      </c>
      <c r="O3038">
        <v>0</v>
      </c>
      <c r="P30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38" t="str">
        <f>IF(Table1[[#This Row],[Fraud_Score]]&gt;=6, "High Risk",IF(Table1[[#This Row],[Fraud_Score]]&gt;=3, "Medium Risk", "Low Risk"))</f>
        <v>Low Risk</v>
      </c>
      <c r="R3038">
        <f>IF(Table1[[#This Row],[Seconds of Use]]=0,0,Table1[[#This Row],[Customer Value]]/Table1[[#This Row],[Seconds of Use]]*100)</f>
        <v>10.473015873015875</v>
      </c>
    </row>
    <row r="3039" spans="1:18" x14ac:dyDescent="0.35">
      <c r="A3039" s="3" t="s">
        <v>3060</v>
      </c>
      <c r="B3039">
        <v>5</v>
      </c>
      <c r="C3039">
        <v>0</v>
      </c>
      <c r="D3039">
        <v>37</v>
      </c>
      <c r="E3039">
        <v>0</v>
      </c>
      <c r="F3039">
        <v>2375</v>
      </c>
      <c r="G3039">
        <v>48</v>
      </c>
      <c r="H3039">
        <v>157</v>
      </c>
      <c r="I3039">
        <v>25</v>
      </c>
      <c r="J3039">
        <v>2</v>
      </c>
      <c r="K3039">
        <v>1</v>
      </c>
      <c r="L3039">
        <v>1</v>
      </c>
      <c r="M3039">
        <v>25</v>
      </c>
      <c r="N3039">
        <v>815.53499999999997</v>
      </c>
      <c r="O3039">
        <v>0</v>
      </c>
      <c r="P30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39" t="str">
        <f>IF(Table1[[#This Row],[Fraud_Score]]&gt;=6, "High Risk",IF(Table1[[#This Row],[Fraud_Score]]&gt;=3, "Medium Risk", "Low Risk"))</f>
        <v>Low Risk</v>
      </c>
      <c r="R3039">
        <f>IF(Table1[[#This Row],[Seconds of Use]]=0,0,Table1[[#This Row],[Customer Value]]/Table1[[#This Row],[Seconds of Use]]*100)</f>
        <v>34.338315789473683</v>
      </c>
    </row>
    <row r="3040" spans="1:18" x14ac:dyDescent="0.35">
      <c r="A3040" s="3" t="s">
        <v>3061</v>
      </c>
      <c r="B3040">
        <v>3</v>
      </c>
      <c r="C3040">
        <v>0</v>
      </c>
      <c r="D3040">
        <v>28</v>
      </c>
      <c r="E3040">
        <v>1</v>
      </c>
      <c r="F3040">
        <v>910</v>
      </c>
      <c r="G3040">
        <v>31</v>
      </c>
      <c r="H3040">
        <v>175</v>
      </c>
      <c r="I3040">
        <v>13</v>
      </c>
      <c r="J3040">
        <v>2</v>
      </c>
      <c r="K3040">
        <v>2</v>
      </c>
      <c r="L3040">
        <v>1</v>
      </c>
      <c r="M3040">
        <v>25</v>
      </c>
      <c r="N3040">
        <v>829.84500000000003</v>
      </c>
      <c r="O3040">
        <v>0</v>
      </c>
      <c r="P30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40" t="str">
        <f>IF(Table1[[#This Row],[Fraud_Score]]&gt;=6, "High Risk",IF(Table1[[#This Row],[Fraud_Score]]&gt;=3, "Medium Risk", "Low Risk"))</f>
        <v>Low Risk</v>
      </c>
      <c r="R3040">
        <f>IF(Table1[[#This Row],[Seconds of Use]]=0,0,Table1[[#This Row],[Customer Value]]/Table1[[#This Row],[Seconds of Use]]*100)</f>
        <v>91.191758241758251</v>
      </c>
    </row>
    <row r="3041" spans="1:18" x14ac:dyDescent="0.35">
      <c r="A3041" s="3" t="s">
        <v>3062</v>
      </c>
      <c r="B3041">
        <v>3</v>
      </c>
      <c r="C3041">
        <v>0</v>
      </c>
      <c r="D3041">
        <v>27</v>
      </c>
      <c r="E3041">
        <v>0</v>
      </c>
      <c r="F3041">
        <v>1163</v>
      </c>
      <c r="G3041">
        <v>34</v>
      </c>
      <c r="H3041">
        <v>12</v>
      </c>
      <c r="I3041">
        <v>70</v>
      </c>
      <c r="J3041">
        <v>4</v>
      </c>
      <c r="K3041">
        <v>1</v>
      </c>
      <c r="L3041">
        <v>1</v>
      </c>
      <c r="M3041">
        <v>45</v>
      </c>
      <c r="N3041">
        <v>59.924999999999997</v>
      </c>
      <c r="O3041">
        <v>0</v>
      </c>
      <c r="P30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41" t="str">
        <f>IF(Table1[[#This Row],[Fraud_Score]]&gt;=6, "High Risk",IF(Table1[[#This Row],[Fraud_Score]]&gt;=3, "Medium Risk", "Low Risk"))</f>
        <v>Low Risk</v>
      </c>
      <c r="R3041">
        <f>IF(Table1[[#This Row],[Seconds of Use]]=0,0,Table1[[#This Row],[Customer Value]]/Table1[[#This Row],[Seconds of Use]]*100)</f>
        <v>5.1526225279449696</v>
      </c>
    </row>
    <row r="3042" spans="1:18" x14ac:dyDescent="0.35">
      <c r="A3042" s="3" t="s">
        <v>3063</v>
      </c>
      <c r="B3042">
        <v>10</v>
      </c>
      <c r="C3042">
        <v>0</v>
      </c>
      <c r="D3042">
        <v>28</v>
      </c>
      <c r="E3042">
        <v>0</v>
      </c>
      <c r="F3042">
        <v>295</v>
      </c>
      <c r="G3042">
        <v>20</v>
      </c>
      <c r="H3042">
        <v>0</v>
      </c>
      <c r="I3042">
        <v>9</v>
      </c>
      <c r="J3042">
        <v>3</v>
      </c>
      <c r="K3042">
        <v>1</v>
      </c>
      <c r="L3042">
        <v>2</v>
      </c>
      <c r="M3042">
        <v>30</v>
      </c>
      <c r="N3042">
        <v>12.6</v>
      </c>
      <c r="O3042">
        <v>0</v>
      </c>
      <c r="P30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42" t="str">
        <f>IF(Table1[[#This Row],[Fraud_Score]]&gt;=6, "High Risk",IF(Table1[[#This Row],[Fraud_Score]]&gt;=3, "Medium Risk", "Low Risk"))</f>
        <v>Low Risk</v>
      </c>
      <c r="R3042">
        <f>IF(Table1[[#This Row],[Seconds of Use]]=0,0,Table1[[#This Row],[Customer Value]]/Table1[[#This Row],[Seconds of Use]]*100)</f>
        <v>4.2711864406779663</v>
      </c>
    </row>
    <row r="3043" spans="1:18" x14ac:dyDescent="0.35">
      <c r="A3043" s="3" t="s">
        <v>3064</v>
      </c>
      <c r="B3043">
        <v>0</v>
      </c>
      <c r="C3043">
        <v>0</v>
      </c>
      <c r="D3043">
        <v>27</v>
      </c>
      <c r="E3043">
        <v>0</v>
      </c>
      <c r="F3043">
        <v>420</v>
      </c>
      <c r="G3043">
        <v>5</v>
      </c>
      <c r="H3043">
        <v>3</v>
      </c>
      <c r="I3043">
        <v>5</v>
      </c>
      <c r="J3043">
        <v>4</v>
      </c>
      <c r="K3043">
        <v>1</v>
      </c>
      <c r="L3043">
        <v>2</v>
      </c>
      <c r="M3043">
        <v>45</v>
      </c>
      <c r="N3043">
        <v>18.125</v>
      </c>
      <c r="O3043">
        <v>0</v>
      </c>
      <c r="P30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43" t="str">
        <f>IF(Table1[[#This Row],[Fraud_Score]]&gt;=6, "High Risk",IF(Table1[[#This Row],[Fraud_Score]]&gt;=3, "Medium Risk", "Low Risk"))</f>
        <v>Low Risk</v>
      </c>
      <c r="R3043">
        <f>IF(Table1[[#This Row],[Seconds of Use]]=0,0,Table1[[#This Row],[Customer Value]]/Table1[[#This Row],[Seconds of Use]]*100)</f>
        <v>4.3154761904761907</v>
      </c>
    </row>
    <row r="3044" spans="1:18" x14ac:dyDescent="0.35">
      <c r="A3044" s="3" t="s">
        <v>3065</v>
      </c>
      <c r="B3044">
        <v>9</v>
      </c>
      <c r="C3044">
        <v>0</v>
      </c>
      <c r="D3044">
        <v>26</v>
      </c>
      <c r="E3044">
        <v>0</v>
      </c>
      <c r="F3044">
        <v>820</v>
      </c>
      <c r="G3044">
        <v>27</v>
      </c>
      <c r="H3044">
        <v>1</v>
      </c>
      <c r="I3044">
        <v>15</v>
      </c>
      <c r="J3044">
        <v>2</v>
      </c>
      <c r="K3044">
        <v>1</v>
      </c>
      <c r="L3044">
        <v>1</v>
      </c>
      <c r="M3044">
        <v>25</v>
      </c>
      <c r="N3044">
        <v>42.615000000000002</v>
      </c>
      <c r="O3044">
        <v>0</v>
      </c>
      <c r="P30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44" t="str">
        <f>IF(Table1[[#This Row],[Fraud_Score]]&gt;=6, "High Risk",IF(Table1[[#This Row],[Fraud_Score]]&gt;=3, "Medium Risk", "Low Risk"))</f>
        <v>Low Risk</v>
      </c>
      <c r="R3044">
        <f>IF(Table1[[#This Row],[Seconds of Use]]=0,0,Table1[[#This Row],[Customer Value]]/Table1[[#This Row],[Seconds of Use]]*100)</f>
        <v>5.1969512195121954</v>
      </c>
    </row>
    <row r="3045" spans="1:18" x14ac:dyDescent="0.35">
      <c r="A3045" s="3" t="s">
        <v>3066</v>
      </c>
      <c r="B3045">
        <v>1</v>
      </c>
      <c r="C3045">
        <v>0</v>
      </c>
      <c r="D3045">
        <v>26</v>
      </c>
      <c r="E3045">
        <v>0</v>
      </c>
      <c r="F3045">
        <v>2820</v>
      </c>
      <c r="G3045">
        <v>56</v>
      </c>
      <c r="H3045">
        <v>0</v>
      </c>
      <c r="I3045">
        <v>25</v>
      </c>
      <c r="J3045">
        <v>3</v>
      </c>
      <c r="K3045">
        <v>1</v>
      </c>
      <c r="L3045">
        <v>1</v>
      </c>
      <c r="M3045">
        <v>30</v>
      </c>
      <c r="N3045">
        <v>115.04</v>
      </c>
      <c r="O3045">
        <v>0</v>
      </c>
      <c r="P30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45" t="str">
        <f>IF(Table1[[#This Row],[Fraud_Score]]&gt;=6, "High Risk",IF(Table1[[#This Row],[Fraud_Score]]&gt;=3, "Medium Risk", "Low Risk"))</f>
        <v>Low Risk</v>
      </c>
      <c r="R3045">
        <f>IF(Table1[[#This Row],[Seconds of Use]]=0,0,Table1[[#This Row],[Customer Value]]/Table1[[#This Row],[Seconds of Use]]*100)</f>
        <v>4.0794326241134753</v>
      </c>
    </row>
    <row r="3046" spans="1:18" x14ac:dyDescent="0.35">
      <c r="A3046" s="3" t="s">
        <v>3067</v>
      </c>
      <c r="B3046">
        <v>1</v>
      </c>
      <c r="C3046">
        <v>0</v>
      </c>
      <c r="D3046">
        <v>19</v>
      </c>
      <c r="E3046">
        <v>0</v>
      </c>
      <c r="F3046">
        <v>1290</v>
      </c>
      <c r="G3046">
        <v>21</v>
      </c>
      <c r="H3046">
        <v>10</v>
      </c>
      <c r="I3046">
        <v>16</v>
      </c>
      <c r="J3046">
        <v>2</v>
      </c>
      <c r="K3046">
        <v>1</v>
      </c>
      <c r="L3046">
        <v>1</v>
      </c>
      <c r="M3046">
        <v>25</v>
      </c>
      <c r="N3046">
        <v>103.995</v>
      </c>
      <c r="O3046">
        <v>0</v>
      </c>
      <c r="P30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46" t="str">
        <f>IF(Table1[[#This Row],[Fraud_Score]]&gt;=6, "High Risk",IF(Table1[[#This Row],[Fraud_Score]]&gt;=3, "Medium Risk", "Low Risk"))</f>
        <v>Low Risk</v>
      </c>
      <c r="R3046">
        <f>IF(Table1[[#This Row],[Seconds of Use]]=0,0,Table1[[#This Row],[Customer Value]]/Table1[[#This Row],[Seconds of Use]]*100)</f>
        <v>8.061627906976744</v>
      </c>
    </row>
    <row r="3047" spans="1:18" x14ac:dyDescent="0.35">
      <c r="A3047" s="3" t="s">
        <v>3068</v>
      </c>
      <c r="B3047">
        <v>15</v>
      </c>
      <c r="C3047">
        <v>0</v>
      </c>
      <c r="D3047">
        <v>18</v>
      </c>
      <c r="E3047">
        <v>1</v>
      </c>
      <c r="F3047">
        <v>5987</v>
      </c>
      <c r="G3047">
        <v>136</v>
      </c>
      <c r="H3047">
        <v>67</v>
      </c>
      <c r="I3047">
        <v>44</v>
      </c>
      <c r="J3047">
        <v>2</v>
      </c>
      <c r="K3047">
        <v>2</v>
      </c>
      <c r="L3047">
        <v>1</v>
      </c>
      <c r="M3047">
        <v>25</v>
      </c>
      <c r="N3047">
        <v>577.03499999999997</v>
      </c>
      <c r="O3047">
        <v>0</v>
      </c>
      <c r="P30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47" t="str">
        <f>IF(Table1[[#This Row],[Fraud_Score]]&gt;=6, "High Risk",IF(Table1[[#This Row],[Fraud_Score]]&gt;=3, "Medium Risk", "Low Risk"))</f>
        <v>Low Risk</v>
      </c>
      <c r="R3047">
        <f>IF(Table1[[#This Row],[Seconds of Use]]=0,0,Table1[[#This Row],[Customer Value]]/Table1[[#This Row],[Seconds of Use]]*100)</f>
        <v>9.6381326206781353</v>
      </c>
    </row>
    <row r="3048" spans="1:18" x14ac:dyDescent="0.35">
      <c r="A3048" s="3" t="s">
        <v>3069</v>
      </c>
      <c r="B3048">
        <v>11</v>
      </c>
      <c r="C3048">
        <v>0</v>
      </c>
      <c r="D3048">
        <v>16</v>
      </c>
      <c r="E3048">
        <v>0</v>
      </c>
      <c r="F3048">
        <v>8527</v>
      </c>
      <c r="G3048">
        <v>166</v>
      </c>
      <c r="H3048">
        <v>55</v>
      </c>
      <c r="I3048">
        <v>42</v>
      </c>
      <c r="J3048">
        <v>5</v>
      </c>
      <c r="K3048">
        <v>1</v>
      </c>
      <c r="L3048">
        <v>1</v>
      </c>
      <c r="M3048">
        <v>55</v>
      </c>
      <c r="N3048">
        <v>212.89500000000001</v>
      </c>
      <c r="O3048">
        <v>0</v>
      </c>
      <c r="P30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048" t="str">
        <f>IF(Table1[[#This Row],[Fraud_Score]]&gt;=6, "High Risk",IF(Table1[[#This Row],[Fraud_Score]]&gt;=3, "Medium Risk", "Low Risk"))</f>
        <v>Medium Risk</v>
      </c>
      <c r="R3048">
        <f>IF(Table1[[#This Row],[Seconds of Use]]=0,0,Table1[[#This Row],[Customer Value]]/Table1[[#This Row],[Seconds of Use]]*100)</f>
        <v>2.4967163128884717</v>
      </c>
    </row>
    <row r="3049" spans="1:18" x14ac:dyDescent="0.35">
      <c r="A3049" s="3" t="s">
        <v>3070</v>
      </c>
      <c r="B3049">
        <v>7</v>
      </c>
      <c r="C3049">
        <v>0</v>
      </c>
      <c r="D3049">
        <v>17</v>
      </c>
      <c r="E3049">
        <v>3</v>
      </c>
      <c r="F3049">
        <v>2447</v>
      </c>
      <c r="G3049">
        <v>40</v>
      </c>
      <c r="H3049">
        <v>13</v>
      </c>
      <c r="I3049">
        <v>21</v>
      </c>
      <c r="J3049">
        <v>3</v>
      </c>
      <c r="K3049">
        <v>1</v>
      </c>
      <c r="L3049">
        <v>1</v>
      </c>
      <c r="M3049">
        <v>30</v>
      </c>
      <c r="N3049">
        <v>151.47999999999999</v>
      </c>
      <c r="O3049">
        <v>0</v>
      </c>
      <c r="P30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49" t="str">
        <f>IF(Table1[[#This Row],[Fraud_Score]]&gt;=6, "High Risk",IF(Table1[[#This Row],[Fraud_Score]]&gt;=3, "Medium Risk", "Low Risk"))</f>
        <v>Low Risk</v>
      </c>
      <c r="R3049">
        <f>IF(Table1[[#This Row],[Seconds of Use]]=0,0,Table1[[#This Row],[Customer Value]]/Table1[[#This Row],[Seconds of Use]]*100)</f>
        <v>6.1904372701266857</v>
      </c>
    </row>
    <row r="3050" spans="1:18" x14ac:dyDescent="0.35">
      <c r="A3050" s="3" t="s">
        <v>3071</v>
      </c>
      <c r="B3050">
        <v>1</v>
      </c>
      <c r="C3050">
        <v>0</v>
      </c>
      <c r="D3050">
        <v>10</v>
      </c>
      <c r="E3050">
        <v>1</v>
      </c>
      <c r="F3050">
        <v>3985</v>
      </c>
      <c r="G3050">
        <v>35</v>
      </c>
      <c r="H3050">
        <v>197</v>
      </c>
      <c r="I3050">
        <v>12</v>
      </c>
      <c r="J3050">
        <v>3</v>
      </c>
      <c r="K3050">
        <v>1</v>
      </c>
      <c r="L3050">
        <v>1</v>
      </c>
      <c r="M3050">
        <v>30</v>
      </c>
      <c r="N3050">
        <v>948.8</v>
      </c>
      <c r="O3050">
        <v>0</v>
      </c>
      <c r="P30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50" t="str">
        <f>IF(Table1[[#This Row],[Fraud_Score]]&gt;=6, "High Risk",IF(Table1[[#This Row],[Fraud_Score]]&gt;=3, "Medium Risk", "Low Risk"))</f>
        <v>Low Risk</v>
      </c>
      <c r="R3050">
        <f>IF(Table1[[#This Row],[Seconds of Use]]=0,0,Table1[[#This Row],[Customer Value]]/Table1[[#This Row],[Seconds of Use]]*100)</f>
        <v>23.809284818067752</v>
      </c>
    </row>
    <row r="3051" spans="1:18" x14ac:dyDescent="0.35">
      <c r="A3051" s="3" t="s">
        <v>3072</v>
      </c>
      <c r="B3051">
        <v>2</v>
      </c>
      <c r="C3051">
        <v>1</v>
      </c>
      <c r="D3051">
        <v>10</v>
      </c>
      <c r="E3051">
        <v>1</v>
      </c>
      <c r="F3051">
        <v>1082</v>
      </c>
      <c r="G3051">
        <v>14</v>
      </c>
      <c r="H3051">
        <v>0</v>
      </c>
      <c r="I3051">
        <v>9</v>
      </c>
      <c r="J3051">
        <v>3</v>
      </c>
      <c r="K3051">
        <v>1</v>
      </c>
      <c r="L3051">
        <v>1</v>
      </c>
      <c r="M3051">
        <v>30</v>
      </c>
      <c r="N3051">
        <v>43.84</v>
      </c>
      <c r="O3051">
        <v>1</v>
      </c>
      <c r="P30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51" t="str">
        <f>IF(Table1[[#This Row],[Fraud_Score]]&gt;=6, "High Risk",IF(Table1[[#This Row],[Fraud_Score]]&gt;=3, "Medium Risk", "Low Risk"))</f>
        <v>Low Risk</v>
      </c>
      <c r="R3051">
        <f>IF(Table1[[#This Row],[Seconds of Use]]=0,0,Table1[[#This Row],[Customer Value]]/Table1[[#This Row],[Seconds of Use]]*100)</f>
        <v>4.051756007393716</v>
      </c>
    </row>
    <row r="3052" spans="1:18" x14ac:dyDescent="0.35">
      <c r="A3052" s="3" t="s">
        <v>3073</v>
      </c>
      <c r="B3052">
        <v>13</v>
      </c>
      <c r="C3052">
        <v>0</v>
      </c>
      <c r="D3052">
        <v>40</v>
      </c>
      <c r="E3052">
        <v>1</v>
      </c>
      <c r="F3052">
        <v>4675</v>
      </c>
      <c r="G3052">
        <v>77</v>
      </c>
      <c r="H3052">
        <v>12</v>
      </c>
      <c r="I3052">
        <v>19</v>
      </c>
      <c r="J3052">
        <v>3</v>
      </c>
      <c r="K3052">
        <v>1</v>
      </c>
      <c r="L3052">
        <v>1</v>
      </c>
      <c r="M3052">
        <v>30</v>
      </c>
      <c r="N3052">
        <v>238.08</v>
      </c>
      <c r="O3052">
        <v>0</v>
      </c>
      <c r="P305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52" t="str">
        <f>IF(Table1[[#This Row],[Fraud_Score]]&gt;=6, "High Risk",IF(Table1[[#This Row],[Fraud_Score]]&gt;=3, "Medium Risk", "Low Risk"))</f>
        <v>Low Risk</v>
      </c>
      <c r="R3052">
        <f>IF(Table1[[#This Row],[Seconds of Use]]=0,0,Table1[[#This Row],[Customer Value]]/Table1[[#This Row],[Seconds of Use]]*100)</f>
        <v>5.0926203208556151</v>
      </c>
    </row>
    <row r="3053" spans="1:18" x14ac:dyDescent="0.35">
      <c r="A3053" s="3" t="s">
        <v>3074</v>
      </c>
      <c r="B3053">
        <v>5</v>
      </c>
      <c r="C3053">
        <v>0</v>
      </c>
      <c r="D3053">
        <v>41</v>
      </c>
      <c r="E3053">
        <v>0</v>
      </c>
      <c r="F3053">
        <v>623</v>
      </c>
      <c r="G3053">
        <v>11</v>
      </c>
      <c r="H3053">
        <v>14</v>
      </c>
      <c r="I3053">
        <v>6</v>
      </c>
      <c r="J3053">
        <v>3</v>
      </c>
      <c r="K3053">
        <v>1</v>
      </c>
      <c r="L3053">
        <v>2</v>
      </c>
      <c r="M3053">
        <v>30</v>
      </c>
      <c r="N3053">
        <v>81.36</v>
      </c>
      <c r="O3053">
        <v>0</v>
      </c>
      <c r="P305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53" t="str">
        <f>IF(Table1[[#This Row],[Fraud_Score]]&gt;=6, "High Risk",IF(Table1[[#This Row],[Fraud_Score]]&gt;=3, "Medium Risk", "Low Risk"))</f>
        <v>Low Risk</v>
      </c>
      <c r="R3053">
        <f>IF(Table1[[#This Row],[Seconds of Use]]=0,0,Table1[[#This Row],[Customer Value]]/Table1[[#This Row],[Seconds of Use]]*100)</f>
        <v>13.059390048154093</v>
      </c>
    </row>
    <row r="3054" spans="1:18" x14ac:dyDescent="0.35">
      <c r="A3054" s="3" t="s">
        <v>3075</v>
      </c>
      <c r="B3054">
        <v>15</v>
      </c>
      <c r="C3054">
        <v>0</v>
      </c>
      <c r="D3054">
        <v>39</v>
      </c>
      <c r="E3054">
        <v>1</v>
      </c>
      <c r="F3054">
        <v>2758</v>
      </c>
      <c r="G3054">
        <v>66</v>
      </c>
      <c r="H3054">
        <v>366</v>
      </c>
      <c r="I3054">
        <v>26</v>
      </c>
      <c r="J3054">
        <v>3</v>
      </c>
      <c r="K3054">
        <v>1</v>
      </c>
      <c r="L3054">
        <v>1</v>
      </c>
      <c r="M3054">
        <v>30</v>
      </c>
      <c r="N3054">
        <v>1576.96</v>
      </c>
      <c r="O3054">
        <v>0</v>
      </c>
      <c r="P305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54" t="str">
        <f>IF(Table1[[#This Row],[Fraud_Score]]&gt;=6, "High Risk",IF(Table1[[#This Row],[Fraud_Score]]&gt;=3, "Medium Risk", "Low Risk"))</f>
        <v>Low Risk</v>
      </c>
      <c r="R3054">
        <f>IF(Table1[[#This Row],[Seconds of Use]]=0,0,Table1[[#This Row],[Customer Value]]/Table1[[#This Row],[Seconds of Use]]*100)</f>
        <v>57.17766497461929</v>
      </c>
    </row>
    <row r="3055" spans="1:18" x14ac:dyDescent="0.35">
      <c r="A3055" s="3" t="s">
        <v>3076</v>
      </c>
      <c r="B3055">
        <v>15</v>
      </c>
      <c r="C3055">
        <v>0</v>
      </c>
      <c r="D3055">
        <v>40</v>
      </c>
      <c r="E3055">
        <v>1</v>
      </c>
      <c r="F3055">
        <v>4503</v>
      </c>
      <c r="G3055">
        <v>72</v>
      </c>
      <c r="H3055">
        <v>8</v>
      </c>
      <c r="I3055">
        <v>37</v>
      </c>
      <c r="J3055">
        <v>1</v>
      </c>
      <c r="K3055">
        <v>1</v>
      </c>
      <c r="L3055">
        <v>1</v>
      </c>
      <c r="M3055">
        <v>15</v>
      </c>
      <c r="N3055">
        <v>295.625</v>
      </c>
      <c r="O3055">
        <v>0</v>
      </c>
      <c r="P305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55" t="str">
        <f>IF(Table1[[#This Row],[Fraud_Score]]&gt;=6, "High Risk",IF(Table1[[#This Row],[Fraud_Score]]&gt;=3, "Medium Risk", "Low Risk"))</f>
        <v>Low Risk</v>
      </c>
      <c r="R3055">
        <f>IF(Table1[[#This Row],[Seconds of Use]]=0,0,Table1[[#This Row],[Customer Value]]/Table1[[#This Row],[Seconds of Use]]*100)</f>
        <v>6.5650677326226967</v>
      </c>
    </row>
    <row r="3056" spans="1:18" x14ac:dyDescent="0.35">
      <c r="A3056" s="3" t="s">
        <v>3077</v>
      </c>
      <c r="B3056">
        <v>8</v>
      </c>
      <c r="C3056">
        <v>0</v>
      </c>
      <c r="D3056">
        <v>40</v>
      </c>
      <c r="E3056">
        <v>1</v>
      </c>
      <c r="F3056">
        <v>2698</v>
      </c>
      <c r="G3056">
        <v>64</v>
      </c>
      <c r="H3056">
        <v>9</v>
      </c>
      <c r="I3056">
        <v>35</v>
      </c>
      <c r="J3056">
        <v>2</v>
      </c>
      <c r="K3056">
        <v>1</v>
      </c>
      <c r="L3056">
        <v>1</v>
      </c>
      <c r="M3056">
        <v>25</v>
      </c>
      <c r="N3056">
        <v>164.79</v>
      </c>
      <c r="O3056">
        <v>0</v>
      </c>
      <c r="P305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56" t="str">
        <f>IF(Table1[[#This Row],[Fraud_Score]]&gt;=6, "High Risk",IF(Table1[[#This Row],[Fraud_Score]]&gt;=3, "Medium Risk", "Low Risk"))</f>
        <v>Low Risk</v>
      </c>
      <c r="R3056">
        <f>IF(Table1[[#This Row],[Seconds of Use]]=0,0,Table1[[#This Row],[Customer Value]]/Table1[[#This Row],[Seconds of Use]]*100)</f>
        <v>6.1078576723498887</v>
      </c>
    </row>
    <row r="3057" spans="1:18" x14ac:dyDescent="0.35">
      <c r="A3057" s="3" t="s">
        <v>3078</v>
      </c>
      <c r="B3057">
        <v>16</v>
      </c>
      <c r="C3057">
        <v>0</v>
      </c>
      <c r="D3057">
        <v>40</v>
      </c>
      <c r="E3057">
        <v>2</v>
      </c>
      <c r="F3057">
        <v>4080</v>
      </c>
      <c r="G3057">
        <v>88</v>
      </c>
      <c r="H3057">
        <v>39</v>
      </c>
      <c r="I3057">
        <v>30</v>
      </c>
      <c r="J3057">
        <v>3</v>
      </c>
      <c r="K3057">
        <v>1</v>
      </c>
      <c r="L3057">
        <v>1</v>
      </c>
      <c r="M3057">
        <v>30</v>
      </c>
      <c r="N3057">
        <v>322.72000000000003</v>
      </c>
      <c r="O3057">
        <v>0</v>
      </c>
      <c r="P305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57" t="str">
        <f>IF(Table1[[#This Row],[Fraud_Score]]&gt;=6, "High Risk",IF(Table1[[#This Row],[Fraud_Score]]&gt;=3, "Medium Risk", "Low Risk"))</f>
        <v>Low Risk</v>
      </c>
      <c r="R3057">
        <f>IF(Table1[[#This Row],[Seconds of Use]]=0,0,Table1[[#This Row],[Customer Value]]/Table1[[#This Row],[Seconds of Use]]*100)</f>
        <v>7.9098039215686287</v>
      </c>
    </row>
    <row r="3058" spans="1:18" x14ac:dyDescent="0.35">
      <c r="A3058" s="3" t="s">
        <v>3079</v>
      </c>
      <c r="B3058">
        <v>9</v>
      </c>
      <c r="C3058">
        <v>0</v>
      </c>
      <c r="D3058">
        <v>40</v>
      </c>
      <c r="E3058">
        <v>1</v>
      </c>
      <c r="F3058">
        <v>2665</v>
      </c>
      <c r="G3058">
        <v>45</v>
      </c>
      <c r="H3058">
        <v>292</v>
      </c>
      <c r="I3058">
        <v>20</v>
      </c>
      <c r="J3058">
        <v>3</v>
      </c>
      <c r="K3058">
        <v>1</v>
      </c>
      <c r="L3058">
        <v>1</v>
      </c>
      <c r="M3058">
        <v>30</v>
      </c>
      <c r="N3058">
        <v>1276.4000000000001</v>
      </c>
      <c r="O3058">
        <v>0</v>
      </c>
      <c r="P305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58" t="str">
        <f>IF(Table1[[#This Row],[Fraud_Score]]&gt;=6, "High Risk",IF(Table1[[#This Row],[Fraud_Score]]&gt;=3, "Medium Risk", "Low Risk"))</f>
        <v>Low Risk</v>
      </c>
      <c r="R3058">
        <f>IF(Table1[[#This Row],[Seconds of Use]]=0,0,Table1[[#This Row],[Customer Value]]/Table1[[#This Row],[Seconds of Use]]*100)</f>
        <v>47.89493433395873</v>
      </c>
    </row>
    <row r="3059" spans="1:18" x14ac:dyDescent="0.35">
      <c r="A3059" s="3" t="s">
        <v>3080</v>
      </c>
      <c r="B3059">
        <v>18</v>
      </c>
      <c r="C3059">
        <v>0</v>
      </c>
      <c r="D3059">
        <v>39</v>
      </c>
      <c r="E3059">
        <v>3</v>
      </c>
      <c r="F3059">
        <v>9420</v>
      </c>
      <c r="G3059">
        <v>127</v>
      </c>
      <c r="H3059">
        <v>151</v>
      </c>
      <c r="I3059">
        <v>45</v>
      </c>
      <c r="J3059">
        <v>3</v>
      </c>
      <c r="K3059">
        <v>1</v>
      </c>
      <c r="L3059">
        <v>1</v>
      </c>
      <c r="M3059">
        <v>30</v>
      </c>
      <c r="N3059">
        <v>985.88</v>
      </c>
      <c r="O3059">
        <v>0</v>
      </c>
      <c r="P305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59" t="str">
        <f>IF(Table1[[#This Row],[Fraud_Score]]&gt;=6, "High Risk",IF(Table1[[#This Row],[Fraud_Score]]&gt;=3, "Medium Risk", "Low Risk"))</f>
        <v>Low Risk</v>
      </c>
      <c r="R3059">
        <f>IF(Table1[[#This Row],[Seconds of Use]]=0,0,Table1[[#This Row],[Customer Value]]/Table1[[#This Row],[Seconds of Use]]*100)</f>
        <v>10.465817409766455</v>
      </c>
    </row>
    <row r="3060" spans="1:18" x14ac:dyDescent="0.35">
      <c r="A3060" s="3" t="s">
        <v>3081</v>
      </c>
      <c r="B3060">
        <v>12</v>
      </c>
      <c r="C3060">
        <v>0</v>
      </c>
      <c r="D3060">
        <v>40</v>
      </c>
      <c r="E3060">
        <v>1</v>
      </c>
      <c r="F3060">
        <v>14078</v>
      </c>
      <c r="G3060">
        <v>175</v>
      </c>
      <c r="H3060">
        <v>7</v>
      </c>
      <c r="I3060">
        <v>46</v>
      </c>
      <c r="J3060">
        <v>3</v>
      </c>
      <c r="K3060">
        <v>1</v>
      </c>
      <c r="L3060">
        <v>1</v>
      </c>
      <c r="M3060">
        <v>30</v>
      </c>
      <c r="N3060">
        <v>598.12</v>
      </c>
      <c r="O3060">
        <v>0</v>
      </c>
      <c r="P306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060" t="str">
        <f>IF(Table1[[#This Row],[Fraud_Score]]&gt;=6, "High Risk",IF(Table1[[#This Row],[Fraud_Score]]&gt;=3, "Medium Risk", "Low Risk"))</f>
        <v>Medium Risk</v>
      </c>
      <c r="R3060">
        <f>IF(Table1[[#This Row],[Seconds of Use]]=0,0,Table1[[#This Row],[Customer Value]]/Table1[[#This Row],[Seconds of Use]]*100)</f>
        <v>4.2486148600653504</v>
      </c>
    </row>
    <row r="3061" spans="1:18" x14ac:dyDescent="0.35">
      <c r="A3061" s="3" t="s">
        <v>3082</v>
      </c>
      <c r="B3061">
        <v>12</v>
      </c>
      <c r="C3061">
        <v>0</v>
      </c>
      <c r="D3061">
        <v>40</v>
      </c>
      <c r="E3061">
        <v>2</v>
      </c>
      <c r="F3061">
        <v>4820</v>
      </c>
      <c r="G3061">
        <v>89</v>
      </c>
      <c r="H3061">
        <v>9</v>
      </c>
      <c r="I3061">
        <v>27</v>
      </c>
      <c r="J3061">
        <v>3</v>
      </c>
      <c r="K3061">
        <v>1</v>
      </c>
      <c r="L3061">
        <v>1</v>
      </c>
      <c r="M3061">
        <v>30</v>
      </c>
      <c r="N3061">
        <v>232.36</v>
      </c>
      <c r="O3061">
        <v>0</v>
      </c>
      <c r="P306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61" t="str">
        <f>IF(Table1[[#This Row],[Fraud_Score]]&gt;=6, "High Risk",IF(Table1[[#This Row],[Fraud_Score]]&gt;=3, "Medium Risk", "Low Risk"))</f>
        <v>Low Risk</v>
      </c>
      <c r="R3061">
        <f>IF(Table1[[#This Row],[Seconds of Use]]=0,0,Table1[[#This Row],[Customer Value]]/Table1[[#This Row],[Seconds of Use]]*100)</f>
        <v>4.8207468879668047</v>
      </c>
    </row>
    <row r="3062" spans="1:18" x14ac:dyDescent="0.35">
      <c r="A3062" s="3" t="s">
        <v>3083</v>
      </c>
      <c r="B3062">
        <v>11</v>
      </c>
      <c r="C3062">
        <v>0</v>
      </c>
      <c r="D3062">
        <v>40</v>
      </c>
      <c r="E3062">
        <v>1</v>
      </c>
      <c r="F3062">
        <v>6223</v>
      </c>
      <c r="G3062">
        <v>101</v>
      </c>
      <c r="H3062">
        <v>14</v>
      </c>
      <c r="I3062">
        <v>14</v>
      </c>
      <c r="J3062">
        <v>3</v>
      </c>
      <c r="K3062">
        <v>1</v>
      </c>
      <c r="L3062">
        <v>1</v>
      </c>
      <c r="M3062">
        <v>30</v>
      </c>
      <c r="N3062">
        <v>308.95999999999998</v>
      </c>
      <c r="O3062">
        <v>0</v>
      </c>
      <c r="P306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62" t="str">
        <f>IF(Table1[[#This Row],[Fraud_Score]]&gt;=6, "High Risk",IF(Table1[[#This Row],[Fraud_Score]]&gt;=3, "Medium Risk", "Low Risk"))</f>
        <v>Low Risk</v>
      </c>
      <c r="R3062">
        <f>IF(Table1[[#This Row],[Seconds of Use]]=0,0,Table1[[#This Row],[Customer Value]]/Table1[[#This Row],[Seconds of Use]]*100)</f>
        <v>4.9648079704322665</v>
      </c>
    </row>
    <row r="3063" spans="1:18" x14ac:dyDescent="0.35">
      <c r="A3063" s="3" t="s">
        <v>3084</v>
      </c>
      <c r="B3063">
        <v>14</v>
      </c>
      <c r="C3063">
        <v>0</v>
      </c>
      <c r="D3063">
        <v>40</v>
      </c>
      <c r="E3063">
        <v>0</v>
      </c>
      <c r="F3063">
        <v>2543</v>
      </c>
      <c r="G3063">
        <v>60</v>
      </c>
      <c r="H3063">
        <v>15</v>
      </c>
      <c r="I3063">
        <v>19</v>
      </c>
      <c r="J3063">
        <v>3</v>
      </c>
      <c r="K3063">
        <v>1</v>
      </c>
      <c r="L3063">
        <v>2</v>
      </c>
      <c r="M3063">
        <v>30</v>
      </c>
      <c r="N3063">
        <v>164.12</v>
      </c>
      <c r="O3063">
        <v>0</v>
      </c>
      <c r="P306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63" t="str">
        <f>IF(Table1[[#This Row],[Fraud_Score]]&gt;=6, "High Risk",IF(Table1[[#This Row],[Fraud_Score]]&gt;=3, "Medium Risk", "Low Risk"))</f>
        <v>Medium Risk</v>
      </c>
      <c r="R3063">
        <f>IF(Table1[[#This Row],[Seconds of Use]]=0,0,Table1[[#This Row],[Customer Value]]/Table1[[#This Row],[Seconds of Use]]*100)</f>
        <v>6.4537947306331116</v>
      </c>
    </row>
    <row r="3064" spans="1:18" x14ac:dyDescent="0.35">
      <c r="A3064" s="3" t="s">
        <v>3085</v>
      </c>
      <c r="B3064">
        <v>30</v>
      </c>
      <c r="C3064">
        <v>0</v>
      </c>
      <c r="D3064">
        <v>40</v>
      </c>
      <c r="E3064">
        <v>4</v>
      </c>
      <c r="F3064">
        <v>15445</v>
      </c>
      <c r="G3064">
        <v>231</v>
      </c>
      <c r="H3064">
        <v>61</v>
      </c>
      <c r="I3064">
        <v>34</v>
      </c>
      <c r="J3064">
        <v>3</v>
      </c>
      <c r="K3064">
        <v>1</v>
      </c>
      <c r="L3064">
        <v>1</v>
      </c>
      <c r="M3064">
        <v>30</v>
      </c>
      <c r="N3064">
        <v>871.04</v>
      </c>
      <c r="O3064">
        <v>0</v>
      </c>
      <c r="P306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064" t="str">
        <f>IF(Table1[[#This Row],[Fraud_Score]]&gt;=6, "High Risk",IF(Table1[[#This Row],[Fraud_Score]]&gt;=3, "Medium Risk", "Low Risk"))</f>
        <v>Medium Risk</v>
      </c>
      <c r="R3064">
        <f>IF(Table1[[#This Row],[Seconds of Use]]=0,0,Table1[[#This Row],[Customer Value]]/Table1[[#This Row],[Seconds of Use]]*100)</f>
        <v>5.6396244739397865</v>
      </c>
    </row>
    <row r="3065" spans="1:18" x14ac:dyDescent="0.35">
      <c r="A3065" s="3" t="s">
        <v>3086</v>
      </c>
      <c r="B3065">
        <v>9</v>
      </c>
      <c r="C3065">
        <v>0</v>
      </c>
      <c r="D3065">
        <v>40</v>
      </c>
      <c r="E3065">
        <v>2</v>
      </c>
      <c r="F3065">
        <v>3400</v>
      </c>
      <c r="G3065">
        <v>33</v>
      </c>
      <c r="H3065">
        <v>490</v>
      </c>
      <c r="I3065">
        <v>10</v>
      </c>
      <c r="J3065">
        <v>3</v>
      </c>
      <c r="K3065">
        <v>1</v>
      </c>
      <c r="L3065">
        <v>1</v>
      </c>
      <c r="M3065">
        <v>30</v>
      </c>
      <c r="N3065">
        <v>2097.3200000000002</v>
      </c>
      <c r="O3065">
        <v>0</v>
      </c>
      <c r="P306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65" t="str">
        <f>IF(Table1[[#This Row],[Fraud_Score]]&gt;=6, "High Risk",IF(Table1[[#This Row],[Fraud_Score]]&gt;=3, "Medium Risk", "Low Risk"))</f>
        <v>Low Risk</v>
      </c>
      <c r="R3065">
        <f>IF(Table1[[#This Row],[Seconds of Use]]=0,0,Table1[[#This Row],[Customer Value]]/Table1[[#This Row],[Seconds of Use]]*100)</f>
        <v>61.685882352941178</v>
      </c>
    </row>
    <row r="3066" spans="1:18" x14ac:dyDescent="0.35">
      <c r="A3066" s="3" t="s">
        <v>3087</v>
      </c>
      <c r="B3066">
        <v>14</v>
      </c>
      <c r="C3066">
        <v>0</v>
      </c>
      <c r="D3066">
        <v>39</v>
      </c>
      <c r="E3066">
        <v>1</v>
      </c>
      <c r="F3066">
        <v>15790</v>
      </c>
      <c r="G3066">
        <v>188</v>
      </c>
      <c r="H3066">
        <v>157</v>
      </c>
      <c r="I3066">
        <v>32</v>
      </c>
      <c r="J3066">
        <v>2</v>
      </c>
      <c r="K3066">
        <v>1</v>
      </c>
      <c r="L3066">
        <v>1</v>
      </c>
      <c r="M3066">
        <v>25</v>
      </c>
      <c r="N3066">
        <v>1425.51</v>
      </c>
      <c r="O3066">
        <v>0</v>
      </c>
      <c r="P306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066" t="str">
        <f>IF(Table1[[#This Row],[Fraud_Score]]&gt;=6, "High Risk",IF(Table1[[#This Row],[Fraud_Score]]&gt;=3, "Medium Risk", "Low Risk"))</f>
        <v>Medium Risk</v>
      </c>
      <c r="R3066">
        <f>IF(Table1[[#This Row],[Seconds of Use]]=0,0,Table1[[#This Row],[Customer Value]]/Table1[[#This Row],[Seconds of Use]]*100)</f>
        <v>9.0279290690310319</v>
      </c>
    </row>
    <row r="3067" spans="1:18" x14ac:dyDescent="0.35">
      <c r="A3067" s="3" t="s">
        <v>3088</v>
      </c>
      <c r="B3067">
        <v>8</v>
      </c>
      <c r="C3067">
        <v>0</v>
      </c>
      <c r="D3067">
        <v>39</v>
      </c>
      <c r="E3067">
        <v>2</v>
      </c>
      <c r="F3067">
        <v>6805</v>
      </c>
      <c r="G3067">
        <v>92</v>
      </c>
      <c r="H3067">
        <v>193</v>
      </c>
      <c r="I3067">
        <v>28</v>
      </c>
      <c r="J3067">
        <v>3</v>
      </c>
      <c r="K3067">
        <v>1</v>
      </c>
      <c r="L3067">
        <v>1</v>
      </c>
      <c r="M3067">
        <v>30</v>
      </c>
      <c r="N3067">
        <v>1047.8800000000001</v>
      </c>
      <c r="O3067">
        <v>0</v>
      </c>
      <c r="P306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67" t="str">
        <f>IF(Table1[[#This Row],[Fraud_Score]]&gt;=6, "High Risk",IF(Table1[[#This Row],[Fraud_Score]]&gt;=3, "Medium Risk", "Low Risk"))</f>
        <v>Low Risk</v>
      </c>
      <c r="R3067">
        <f>IF(Table1[[#This Row],[Seconds of Use]]=0,0,Table1[[#This Row],[Customer Value]]/Table1[[#This Row],[Seconds of Use]]*100)</f>
        <v>15.398677443056577</v>
      </c>
    </row>
    <row r="3068" spans="1:18" x14ac:dyDescent="0.35">
      <c r="A3068" s="3" t="s">
        <v>3089</v>
      </c>
      <c r="B3068">
        <v>5</v>
      </c>
      <c r="C3068">
        <v>0</v>
      </c>
      <c r="D3068">
        <v>39</v>
      </c>
      <c r="E3068">
        <v>0</v>
      </c>
      <c r="F3068">
        <v>1180</v>
      </c>
      <c r="G3068">
        <v>20</v>
      </c>
      <c r="H3068">
        <v>7</v>
      </c>
      <c r="I3068">
        <v>13</v>
      </c>
      <c r="J3068">
        <v>2</v>
      </c>
      <c r="K3068">
        <v>1</v>
      </c>
      <c r="L3068">
        <v>2</v>
      </c>
      <c r="M3068">
        <v>25</v>
      </c>
      <c r="N3068">
        <v>85.5</v>
      </c>
      <c r="O3068">
        <v>0</v>
      </c>
      <c r="P306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68" t="str">
        <f>IF(Table1[[#This Row],[Fraud_Score]]&gt;=6, "High Risk",IF(Table1[[#This Row],[Fraud_Score]]&gt;=3, "Medium Risk", "Low Risk"))</f>
        <v>Low Risk</v>
      </c>
      <c r="R3068">
        <f>IF(Table1[[#This Row],[Seconds of Use]]=0,0,Table1[[#This Row],[Customer Value]]/Table1[[#This Row],[Seconds of Use]]*100)</f>
        <v>7.2457627118644066</v>
      </c>
    </row>
    <row r="3069" spans="1:18" x14ac:dyDescent="0.35">
      <c r="A3069" s="3" t="s">
        <v>3090</v>
      </c>
      <c r="B3069">
        <v>7</v>
      </c>
      <c r="C3069">
        <v>0</v>
      </c>
      <c r="D3069">
        <v>40</v>
      </c>
      <c r="E3069">
        <v>0</v>
      </c>
      <c r="F3069">
        <v>1015</v>
      </c>
      <c r="G3069">
        <v>20</v>
      </c>
      <c r="H3069">
        <v>20</v>
      </c>
      <c r="I3069">
        <v>10</v>
      </c>
      <c r="J3069">
        <v>3</v>
      </c>
      <c r="K3069">
        <v>1</v>
      </c>
      <c r="L3069">
        <v>2</v>
      </c>
      <c r="M3069">
        <v>30</v>
      </c>
      <c r="N3069">
        <v>121.4</v>
      </c>
      <c r="O3069">
        <v>0</v>
      </c>
      <c r="P306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69" t="str">
        <f>IF(Table1[[#This Row],[Fraud_Score]]&gt;=6, "High Risk",IF(Table1[[#This Row],[Fraud_Score]]&gt;=3, "Medium Risk", "Low Risk"))</f>
        <v>Low Risk</v>
      </c>
      <c r="R3069">
        <f>IF(Table1[[#This Row],[Seconds of Use]]=0,0,Table1[[#This Row],[Customer Value]]/Table1[[#This Row],[Seconds of Use]]*100)</f>
        <v>11.960591133004925</v>
      </c>
    </row>
    <row r="3070" spans="1:18" x14ac:dyDescent="0.35">
      <c r="A3070" s="3" t="s">
        <v>3091</v>
      </c>
      <c r="B3070">
        <v>5</v>
      </c>
      <c r="C3070">
        <v>0</v>
      </c>
      <c r="D3070">
        <v>39</v>
      </c>
      <c r="E3070">
        <v>0</v>
      </c>
      <c r="F3070">
        <v>305</v>
      </c>
      <c r="G3070">
        <v>6</v>
      </c>
      <c r="H3070">
        <v>7</v>
      </c>
      <c r="I3070">
        <v>2</v>
      </c>
      <c r="J3070">
        <v>2</v>
      </c>
      <c r="K3070">
        <v>1</v>
      </c>
      <c r="L3070">
        <v>2</v>
      </c>
      <c r="M3070">
        <v>25</v>
      </c>
      <c r="N3070">
        <v>45.494999999999997</v>
      </c>
      <c r="O3070">
        <v>1</v>
      </c>
      <c r="P307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70" t="str">
        <f>IF(Table1[[#This Row],[Fraud_Score]]&gt;=6, "High Risk",IF(Table1[[#This Row],[Fraud_Score]]&gt;=3, "Medium Risk", "Low Risk"))</f>
        <v>Low Risk</v>
      </c>
      <c r="R3070">
        <f>IF(Table1[[#This Row],[Seconds of Use]]=0,0,Table1[[#This Row],[Customer Value]]/Table1[[#This Row],[Seconds of Use]]*100)</f>
        <v>14.916393442622949</v>
      </c>
    </row>
    <row r="3071" spans="1:18" x14ac:dyDescent="0.35">
      <c r="A3071" s="3" t="s">
        <v>3092</v>
      </c>
      <c r="B3071">
        <v>8</v>
      </c>
      <c r="C3071">
        <v>0</v>
      </c>
      <c r="D3071">
        <v>39</v>
      </c>
      <c r="E3071">
        <v>1</v>
      </c>
      <c r="F3071">
        <v>7813</v>
      </c>
      <c r="G3071">
        <v>133</v>
      </c>
      <c r="H3071">
        <v>391</v>
      </c>
      <c r="I3071">
        <v>45</v>
      </c>
      <c r="J3071">
        <v>3</v>
      </c>
      <c r="K3071">
        <v>1</v>
      </c>
      <c r="L3071">
        <v>1</v>
      </c>
      <c r="M3071">
        <v>30</v>
      </c>
      <c r="N3071">
        <v>1881.84</v>
      </c>
      <c r="O3071">
        <v>0</v>
      </c>
      <c r="P307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71" t="str">
        <f>IF(Table1[[#This Row],[Fraud_Score]]&gt;=6, "High Risk",IF(Table1[[#This Row],[Fraud_Score]]&gt;=3, "Medium Risk", "Low Risk"))</f>
        <v>Low Risk</v>
      </c>
      <c r="R3071">
        <f>IF(Table1[[#This Row],[Seconds of Use]]=0,0,Table1[[#This Row],[Customer Value]]/Table1[[#This Row],[Seconds of Use]]*100)</f>
        <v>24.086010495328296</v>
      </c>
    </row>
    <row r="3072" spans="1:18" x14ac:dyDescent="0.35">
      <c r="A3072" s="3" t="s">
        <v>3093</v>
      </c>
      <c r="B3072">
        <v>12</v>
      </c>
      <c r="C3072">
        <v>0</v>
      </c>
      <c r="D3072">
        <v>39</v>
      </c>
      <c r="E3072">
        <v>2</v>
      </c>
      <c r="F3072">
        <v>11770</v>
      </c>
      <c r="G3072">
        <v>160</v>
      </c>
      <c r="H3072">
        <v>18</v>
      </c>
      <c r="I3072">
        <v>49</v>
      </c>
      <c r="J3072">
        <v>4</v>
      </c>
      <c r="K3072">
        <v>1</v>
      </c>
      <c r="L3072">
        <v>1</v>
      </c>
      <c r="M3072">
        <v>45</v>
      </c>
      <c r="N3072">
        <v>343.25</v>
      </c>
      <c r="O3072">
        <v>0</v>
      </c>
      <c r="P307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072" t="str">
        <f>IF(Table1[[#This Row],[Fraud_Score]]&gt;=6, "High Risk",IF(Table1[[#This Row],[Fraud_Score]]&gt;=3, "Medium Risk", "Low Risk"))</f>
        <v>Medium Risk</v>
      </c>
      <c r="R3072">
        <f>IF(Table1[[#This Row],[Seconds of Use]]=0,0,Table1[[#This Row],[Customer Value]]/Table1[[#This Row],[Seconds of Use]]*100)</f>
        <v>2.9163126593033133</v>
      </c>
    </row>
    <row r="3073" spans="1:18" x14ac:dyDescent="0.35">
      <c r="A3073" s="3" t="s">
        <v>3094</v>
      </c>
      <c r="B3073">
        <v>13</v>
      </c>
      <c r="C3073">
        <v>0</v>
      </c>
      <c r="D3073">
        <v>39</v>
      </c>
      <c r="E3073">
        <v>2</v>
      </c>
      <c r="F3073">
        <v>7023</v>
      </c>
      <c r="G3073">
        <v>81</v>
      </c>
      <c r="H3073">
        <v>115</v>
      </c>
      <c r="I3073">
        <v>39</v>
      </c>
      <c r="J3073">
        <v>2</v>
      </c>
      <c r="K3073">
        <v>1</v>
      </c>
      <c r="L3073">
        <v>1</v>
      </c>
      <c r="M3073">
        <v>25</v>
      </c>
      <c r="N3073">
        <v>837.18</v>
      </c>
      <c r="O3073">
        <v>0</v>
      </c>
      <c r="P307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73" t="str">
        <f>IF(Table1[[#This Row],[Fraud_Score]]&gt;=6, "High Risk",IF(Table1[[#This Row],[Fraud_Score]]&gt;=3, "Medium Risk", "Low Risk"))</f>
        <v>Low Risk</v>
      </c>
      <c r="R3073">
        <f>IF(Table1[[#This Row],[Seconds of Use]]=0,0,Table1[[#This Row],[Customer Value]]/Table1[[#This Row],[Seconds of Use]]*100)</f>
        <v>11.920546774882528</v>
      </c>
    </row>
    <row r="3074" spans="1:18" x14ac:dyDescent="0.35">
      <c r="A3074" s="3" t="s">
        <v>3095</v>
      </c>
      <c r="B3074">
        <v>28</v>
      </c>
      <c r="C3074">
        <v>1</v>
      </c>
      <c r="D3074">
        <v>35</v>
      </c>
      <c r="E3074">
        <v>0</v>
      </c>
      <c r="F3074">
        <v>1260</v>
      </c>
      <c r="G3074">
        <v>53</v>
      </c>
      <c r="H3074">
        <v>23</v>
      </c>
      <c r="I3074">
        <v>19</v>
      </c>
      <c r="J3074">
        <v>3</v>
      </c>
      <c r="K3074">
        <v>1</v>
      </c>
      <c r="L3074">
        <v>2</v>
      </c>
      <c r="M3074">
        <v>30</v>
      </c>
      <c r="N3074">
        <v>144.52000000000001</v>
      </c>
      <c r="O3074">
        <v>1</v>
      </c>
      <c r="P307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074" t="str">
        <f>IF(Table1[[#This Row],[Fraud_Score]]&gt;=6, "High Risk",IF(Table1[[#This Row],[Fraud_Score]]&gt;=3, "Medium Risk", "Low Risk"))</f>
        <v>Medium Risk</v>
      </c>
      <c r="R3074">
        <f>IF(Table1[[#This Row],[Seconds of Use]]=0,0,Table1[[#This Row],[Customer Value]]/Table1[[#This Row],[Seconds of Use]]*100)</f>
        <v>11.46984126984127</v>
      </c>
    </row>
    <row r="3075" spans="1:18" x14ac:dyDescent="0.35">
      <c r="A3075" s="3" t="s">
        <v>3096</v>
      </c>
      <c r="B3075">
        <v>26</v>
      </c>
      <c r="C3075">
        <v>0</v>
      </c>
      <c r="D3075">
        <v>38</v>
      </c>
      <c r="E3075">
        <v>9</v>
      </c>
      <c r="F3075">
        <v>10740</v>
      </c>
      <c r="G3075">
        <v>99</v>
      </c>
      <c r="H3075">
        <v>8</v>
      </c>
      <c r="I3075">
        <v>44</v>
      </c>
      <c r="J3075">
        <v>5</v>
      </c>
      <c r="K3075">
        <v>1</v>
      </c>
      <c r="L3075">
        <v>1</v>
      </c>
      <c r="M3075">
        <v>55</v>
      </c>
      <c r="N3075">
        <v>174.58500000000001</v>
      </c>
      <c r="O3075">
        <v>0</v>
      </c>
      <c r="P307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75" t="str">
        <f>IF(Table1[[#This Row],[Fraud_Score]]&gt;=6, "High Risk",IF(Table1[[#This Row],[Fraud_Score]]&gt;=3, "Medium Risk", "Low Risk"))</f>
        <v>Low Risk</v>
      </c>
      <c r="R3075">
        <f>IF(Table1[[#This Row],[Seconds of Use]]=0,0,Table1[[#This Row],[Customer Value]]/Table1[[#This Row],[Seconds of Use]]*100)</f>
        <v>1.625558659217877</v>
      </c>
    </row>
    <row r="3076" spans="1:18" x14ac:dyDescent="0.35">
      <c r="A3076" s="3" t="s">
        <v>3097</v>
      </c>
      <c r="B3076">
        <v>18</v>
      </c>
      <c r="C3076">
        <v>0</v>
      </c>
      <c r="D3076">
        <v>38</v>
      </c>
      <c r="E3076">
        <v>2</v>
      </c>
      <c r="F3076">
        <v>6123</v>
      </c>
      <c r="G3076">
        <v>104</v>
      </c>
      <c r="H3076">
        <v>33</v>
      </c>
      <c r="I3076">
        <v>26</v>
      </c>
      <c r="J3076">
        <v>2</v>
      </c>
      <c r="K3076">
        <v>1</v>
      </c>
      <c r="L3076">
        <v>1</v>
      </c>
      <c r="M3076">
        <v>25</v>
      </c>
      <c r="N3076">
        <v>428.71499999999997</v>
      </c>
      <c r="O3076">
        <v>0</v>
      </c>
      <c r="P307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76" t="str">
        <f>IF(Table1[[#This Row],[Fraud_Score]]&gt;=6, "High Risk",IF(Table1[[#This Row],[Fraud_Score]]&gt;=3, "Medium Risk", "Low Risk"))</f>
        <v>Low Risk</v>
      </c>
      <c r="R3076">
        <f>IF(Table1[[#This Row],[Seconds of Use]]=0,0,Table1[[#This Row],[Customer Value]]/Table1[[#This Row],[Seconds of Use]]*100)</f>
        <v>7.0017148456638898</v>
      </c>
    </row>
    <row r="3077" spans="1:18" x14ac:dyDescent="0.35">
      <c r="A3077" s="3" t="s">
        <v>3098</v>
      </c>
      <c r="B3077">
        <v>6</v>
      </c>
      <c r="C3077">
        <v>0</v>
      </c>
      <c r="D3077">
        <v>36</v>
      </c>
      <c r="E3077">
        <v>1</v>
      </c>
      <c r="F3077">
        <v>3145</v>
      </c>
      <c r="G3077">
        <v>28</v>
      </c>
      <c r="H3077">
        <v>7</v>
      </c>
      <c r="I3077">
        <v>16</v>
      </c>
      <c r="J3077">
        <v>3</v>
      </c>
      <c r="K3077">
        <v>1</v>
      </c>
      <c r="L3077">
        <v>1</v>
      </c>
      <c r="M3077">
        <v>30</v>
      </c>
      <c r="N3077">
        <v>154.91999999999999</v>
      </c>
      <c r="O3077">
        <v>0</v>
      </c>
      <c r="P307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77" t="str">
        <f>IF(Table1[[#This Row],[Fraud_Score]]&gt;=6, "High Risk",IF(Table1[[#This Row],[Fraud_Score]]&gt;=3, "Medium Risk", "Low Risk"))</f>
        <v>Low Risk</v>
      </c>
      <c r="R3077">
        <f>IF(Table1[[#This Row],[Seconds of Use]]=0,0,Table1[[#This Row],[Customer Value]]/Table1[[#This Row],[Seconds of Use]]*100)</f>
        <v>4.9259141494435612</v>
      </c>
    </row>
    <row r="3078" spans="1:18" x14ac:dyDescent="0.35">
      <c r="A3078" s="3" t="s">
        <v>3099</v>
      </c>
      <c r="B3078">
        <v>14</v>
      </c>
      <c r="C3078">
        <v>1</v>
      </c>
      <c r="D3078">
        <v>37</v>
      </c>
      <c r="E3078">
        <v>0</v>
      </c>
      <c r="F3078">
        <v>3295</v>
      </c>
      <c r="G3078">
        <v>47</v>
      </c>
      <c r="H3078">
        <v>16</v>
      </c>
      <c r="I3078">
        <v>18</v>
      </c>
      <c r="J3078">
        <v>3</v>
      </c>
      <c r="K3078">
        <v>1</v>
      </c>
      <c r="L3078">
        <v>2</v>
      </c>
      <c r="M3078">
        <v>30</v>
      </c>
      <c r="N3078">
        <v>197.68</v>
      </c>
      <c r="O3078">
        <v>1</v>
      </c>
      <c r="P307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078" t="str">
        <f>IF(Table1[[#This Row],[Fraud_Score]]&gt;=6, "High Risk",IF(Table1[[#This Row],[Fraud_Score]]&gt;=3, "Medium Risk", "Low Risk"))</f>
        <v>Medium Risk</v>
      </c>
      <c r="R3078">
        <f>IF(Table1[[#This Row],[Seconds of Use]]=0,0,Table1[[#This Row],[Customer Value]]/Table1[[#This Row],[Seconds of Use]]*100)</f>
        <v>5.9993930197268588</v>
      </c>
    </row>
    <row r="3079" spans="1:18" x14ac:dyDescent="0.35">
      <c r="A3079" s="3" t="s">
        <v>3100</v>
      </c>
      <c r="B3079">
        <v>14</v>
      </c>
      <c r="C3079">
        <v>0</v>
      </c>
      <c r="D3079">
        <v>38</v>
      </c>
      <c r="E3079">
        <v>0</v>
      </c>
      <c r="F3079">
        <v>2573</v>
      </c>
      <c r="G3079">
        <v>50</v>
      </c>
      <c r="H3079">
        <v>41</v>
      </c>
      <c r="I3079">
        <v>33</v>
      </c>
      <c r="J3079">
        <v>4</v>
      </c>
      <c r="K3079">
        <v>1</v>
      </c>
      <c r="L3079">
        <v>2</v>
      </c>
      <c r="M3079">
        <v>45</v>
      </c>
      <c r="N3079">
        <v>168.07499999999999</v>
      </c>
      <c r="O3079">
        <v>1</v>
      </c>
      <c r="P307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79" t="str">
        <f>IF(Table1[[#This Row],[Fraud_Score]]&gt;=6, "High Risk",IF(Table1[[#This Row],[Fraud_Score]]&gt;=3, "Medium Risk", "Low Risk"))</f>
        <v>Medium Risk</v>
      </c>
      <c r="R3079">
        <f>IF(Table1[[#This Row],[Seconds of Use]]=0,0,Table1[[#This Row],[Customer Value]]/Table1[[#This Row],[Seconds of Use]]*100)</f>
        <v>6.532258064516129</v>
      </c>
    </row>
    <row r="3080" spans="1:18" x14ac:dyDescent="0.35">
      <c r="A3080" s="3" t="s">
        <v>3101</v>
      </c>
      <c r="B3080">
        <v>5</v>
      </c>
      <c r="C3080">
        <v>0</v>
      </c>
      <c r="D3080">
        <v>38</v>
      </c>
      <c r="E3080">
        <v>0</v>
      </c>
      <c r="F3080">
        <v>438</v>
      </c>
      <c r="G3080">
        <v>8</v>
      </c>
      <c r="H3080">
        <v>7</v>
      </c>
      <c r="I3080">
        <v>4</v>
      </c>
      <c r="J3080">
        <v>3</v>
      </c>
      <c r="K3080">
        <v>1</v>
      </c>
      <c r="L3080">
        <v>2</v>
      </c>
      <c r="M3080">
        <v>30</v>
      </c>
      <c r="N3080">
        <v>45.84</v>
      </c>
      <c r="O3080">
        <v>1</v>
      </c>
      <c r="P308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80" t="str">
        <f>IF(Table1[[#This Row],[Fraud_Score]]&gt;=6, "High Risk",IF(Table1[[#This Row],[Fraud_Score]]&gt;=3, "Medium Risk", "Low Risk"))</f>
        <v>Low Risk</v>
      </c>
      <c r="R3080">
        <f>IF(Table1[[#This Row],[Seconds of Use]]=0,0,Table1[[#This Row],[Customer Value]]/Table1[[#This Row],[Seconds of Use]]*100)</f>
        <v>10.465753424657535</v>
      </c>
    </row>
    <row r="3081" spans="1:18" x14ac:dyDescent="0.35">
      <c r="A3081" s="3" t="s">
        <v>3102</v>
      </c>
      <c r="B3081">
        <v>6</v>
      </c>
      <c r="C3081">
        <v>0</v>
      </c>
      <c r="D3081">
        <v>38</v>
      </c>
      <c r="E3081">
        <v>1</v>
      </c>
      <c r="F3081">
        <v>1973</v>
      </c>
      <c r="G3081">
        <v>31</v>
      </c>
      <c r="H3081">
        <v>7</v>
      </c>
      <c r="I3081">
        <v>8</v>
      </c>
      <c r="J3081">
        <v>4</v>
      </c>
      <c r="K3081">
        <v>1</v>
      </c>
      <c r="L3081">
        <v>1</v>
      </c>
      <c r="M3081">
        <v>45</v>
      </c>
      <c r="N3081">
        <v>67.599999999999994</v>
      </c>
      <c r="O3081">
        <v>0</v>
      </c>
      <c r="P308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81" t="str">
        <f>IF(Table1[[#This Row],[Fraud_Score]]&gt;=6, "High Risk",IF(Table1[[#This Row],[Fraud_Score]]&gt;=3, "Medium Risk", "Low Risk"))</f>
        <v>Low Risk</v>
      </c>
      <c r="R3081">
        <f>IF(Table1[[#This Row],[Seconds of Use]]=0,0,Table1[[#This Row],[Customer Value]]/Table1[[#This Row],[Seconds of Use]]*100)</f>
        <v>3.4262544348707547</v>
      </c>
    </row>
    <row r="3082" spans="1:18" x14ac:dyDescent="0.35">
      <c r="A3082" s="3" t="s">
        <v>3103</v>
      </c>
      <c r="B3082">
        <v>8</v>
      </c>
      <c r="C3082">
        <v>0</v>
      </c>
      <c r="D3082">
        <v>35</v>
      </c>
      <c r="E3082">
        <v>2</v>
      </c>
      <c r="F3082">
        <v>7090</v>
      </c>
      <c r="G3082">
        <v>103</v>
      </c>
      <c r="H3082">
        <v>21</v>
      </c>
      <c r="I3082">
        <v>24</v>
      </c>
      <c r="J3082">
        <v>5</v>
      </c>
      <c r="K3082">
        <v>1</v>
      </c>
      <c r="L3082">
        <v>1</v>
      </c>
      <c r="M3082">
        <v>55</v>
      </c>
      <c r="N3082">
        <v>139.39500000000001</v>
      </c>
      <c r="O3082">
        <v>0</v>
      </c>
      <c r="P308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82" t="str">
        <f>IF(Table1[[#This Row],[Fraud_Score]]&gt;=6, "High Risk",IF(Table1[[#This Row],[Fraud_Score]]&gt;=3, "Medium Risk", "Low Risk"))</f>
        <v>Low Risk</v>
      </c>
      <c r="R3082">
        <f>IF(Table1[[#This Row],[Seconds of Use]]=0,0,Table1[[#This Row],[Customer Value]]/Table1[[#This Row],[Seconds of Use]]*100)</f>
        <v>1.9660789844851905</v>
      </c>
    </row>
    <row r="3083" spans="1:18" x14ac:dyDescent="0.35">
      <c r="A3083" s="3" t="s">
        <v>3104</v>
      </c>
      <c r="B3083">
        <v>5</v>
      </c>
      <c r="C3083">
        <v>0</v>
      </c>
      <c r="D3083">
        <v>38</v>
      </c>
      <c r="E3083">
        <v>0</v>
      </c>
      <c r="F3083">
        <v>933</v>
      </c>
      <c r="G3083">
        <v>13</v>
      </c>
      <c r="H3083">
        <v>16</v>
      </c>
      <c r="I3083">
        <v>6</v>
      </c>
      <c r="J3083">
        <v>4</v>
      </c>
      <c r="K3083">
        <v>1</v>
      </c>
      <c r="L3083">
        <v>2</v>
      </c>
      <c r="M3083">
        <v>45</v>
      </c>
      <c r="N3083">
        <v>63.65</v>
      </c>
      <c r="O3083">
        <v>1</v>
      </c>
      <c r="P308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83" t="str">
        <f>IF(Table1[[#This Row],[Fraud_Score]]&gt;=6, "High Risk",IF(Table1[[#This Row],[Fraud_Score]]&gt;=3, "Medium Risk", "Low Risk"))</f>
        <v>Low Risk</v>
      </c>
      <c r="R3083">
        <f>IF(Table1[[#This Row],[Seconds of Use]]=0,0,Table1[[#This Row],[Customer Value]]/Table1[[#This Row],[Seconds of Use]]*100)</f>
        <v>6.8220793140407281</v>
      </c>
    </row>
    <row r="3084" spans="1:18" x14ac:dyDescent="0.35">
      <c r="A3084" s="3" t="s">
        <v>3105</v>
      </c>
      <c r="B3084">
        <v>5</v>
      </c>
      <c r="C3084">
        <v>0</v>
      </c>
      <c r="D3084">
        <v>38</v>
      </c>
      <c r="E3084">
        <v>2</v>
      </c>
      <c r="F3084">
        <v>643</v>
      </c>
      <c r="G3084">
        <v>10</v>
      </c>
      <c r="H3084">
        <v>11</v>
      </c>
      <c r="I3084">
        <v>4</v>
      </c>
      <c r="J3084">
        <v>5</v>
      </c>
      <c r="K3084">
        <v>1</v>
      </c>
      <c r="L3084">
        <v>1</v>
      </c>
      <c r="M3084">
        <v>55</v>
      </c>
      <c r="N3084">
        <v>26.295000000000002</v>
      </c>
      <c r="O3084">
        <v>0</v>
      </c>
      <c r="P308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84" t="str">
        <f>IF(Table1[[#This Row],[Fraud_Score]]&gt;=6, "High Risk",IF(Table1[[#This Row],[Fraud_Score]]&gt;=3, "Medium Risk", "Low Risk"))</f>
        <v>Low Risk</v>
      </c>
      <c r="R3084">
        <f>IF(Table1[[#This Row],[Seconds of Use]]=0,0,Table1[[#This Row],[Customer Value]]/Table1[[#This Row],[Seconds of Use]]*100)</f>
        <v>4.0894245723172631</v>
      </c>
    </row>
    <row r="3085" spans="1:18" x14ac:dyDescent="0.35">
      <c r="A3085" s="3" t="s">
        <v>3106</v>
      </c>
      <c r="B3085">
        <v>30</v>
      </c>
      <c r="C3085">
        <v>0</v>
      </c>
      <c r="D3085">
        <v>33</v>
      </c>
      <c r="E3085">
        <v>4</v>
      </c>
      <c r="F3085">
        <v>16380</v>
      </c>
      <c r="G3085">
        <v>244</v>
      </c>
      <c r="H3085">
        <v>7</v>
      </c>
      <c r="I3085">
        <v>82</v>
      </c>
      <c r="J3085">
        <v>2</v>
      </c>
      <c r="K3085">
        <v>2</v>
      </c>
      <c r="L3085">
        <v>1</v>
      </c>
      <c r="M3085">
        <v>25</v>
      </c>
      <c r="N3085">
        <v>779.58</v>
      </c>
      <c r="O3085">
        <v>0</v>
      </c>
      <c r="P308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085" t="str">
        <f>IF(Table1[[#This Row],[Fraud_Score]]&gt;=6, "High Risk",IF(Table1[[#This Row],[Fraud_Score]]&gt;=3, "Medium Risk", "Low Risk"))</f>
        <v>Medium Risk</v>
      </c>
      <c r="R3085">
        <f>IF(Table1[[#This Row],[Seconds of Use]]=0,0,Table1[[#This Row],[Customer Value]]/Table1[[#This Row],[Seconds of Use]]*100)</f>
        <v>4.7593406593406593</v>
      </c>
    </row>
    <row r="3086" spans="1:18" x14ac:dyDescent="0.35">
      <c r="A3086" s="3" t="s">
        <v>3107</v>
      </c>
      <c r="B3086">
        <v>11</v>
      </c>
      <c r="C3086">
        <v>0</v>
      </c>
      <c r="D3086">
        <v>36</v>
      </c>
      <c r="E3086">
        <v>4</v>
      </c>
      <c r="F3086">
        <v>7270</v>
      </c>
      <c r="G3086">
        <v>122</v>
      </c>
      <c r="H3086">
        <v>278</v>
      </c>
      <c r="I3086">
        <v>35</v>
      </c>
      <c r="J3086">
        <v>3</v>
      </c>
      <c r="K3086">
        <v>2</v>
      </c>
      <c r="L3086">
        <v>1</v>
      </c>
      <c r="M3086">
        <v>30</v>
      </c>
      <c r="N3086">
        <v>1407.68</v>
      </c>
      <c r="O3086">
        <v>0</v>
      </c>
      <c r="P308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86" t="str">
        <f>IF(Table1[[#This Row],[Fraud_Score]]&gt;=6, "High Risk",IF(Table1[[#This Row],[Fraud_Score]]&gt;=3, "Medium Risk", "Low Risk"))</f>
        <v>Low Risk</v>
      </c>
      <c r="R3086">
        <f>IF(Table1[[#This Row],[Seconds of Use]]=0,0,Table1[[#This Row],[Customer Value]]/Table1[[#This Row],[Seconds of Use]]*100)</f>
        <v>19.362861072902341</v>
      </c>
    </row>
    <row r="3087" spans="1:18" x14ac:dyDescent="0.35">
      <c r="A3087" s="3" t="s">
        <v>3108</v>
      </c>
      <c r="B3087">
        <v>7</v>
      </c>
      <c r="C3087">
        <v>0</v>
      </c>
      <c r="D3087">
        <v>38</v>
      </c>
      <c r="E3087">
        <v>1</v>
      </c>
      <c r="F3087">
        <v>4023</v>
      </c>
      <c r="G3087">
        <v>88</v>
      </c>
      <c r="H3087">
        <v>9</v>
      </c>
      <c r="I3087">
        <v>30</v>
      </c>
      <c r="J3087">
        <v>3</v>
      </c>
      <c r="K3087">
        <v>1</v>
      </c>
      <c r="L3087">
        <v>1</v>
      </c>
      <c r="M3087">
        <v>30</v>
      </c>
      <c r="N3087">
        <v>200.44</v>
      </c>
      <c r="O3087">
        <v>0</v>
      </c>
      <c r="P308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87" t="str">
        <f>IF(Table1[[#This Row],[Fraud_Score]]&gt;=6, "High Risk",IF(Table1[[#This Row],[Fraud_Score]]&gt;=3, "Medium Risk", "Low Risk"))</f>
        <v>Low Risk</v>
      </c>
      <c r="R3087">
        <f>IF(Table1[[#This Row],[Seconds of Use]]=0,0,Table1[[#This Row],[Customer Value]]/Table1[[#This Row],[Seconds of Use]]*100)</f>
        <v>4.9823514789957741</v>
      </c>
    </row>
    <row r="3088" spans="1:18" x14ac:dyDescent="0.35">
      <c r="A3088" s="3" t="s">
        <v>3109</v>
      </c>
      <c r="B3088">
        <v>8</v>
      </c>
      <c r="C3088">
        <v>0</v>
      </c>
      <c r="D3088">
        <v>37</v>
      </c>
      <c r="E3088">
        <v>0</v>
      </c>
      <c r="F3088">
        <v>1970</v>
      </c>
      <c r="G3088">
        <v>50</v>
      </c>
      <c r="H3088">
        <v>45</v>
      </c>
      <c r="I3088">
        <v>22</v>
      </c>
      <c r="J3088">
        <v>3</v>
      </c>
      <c r="K3088">
        <v>1</v>
      </c>
      <c r="L3088">
        <v>2</v>
      </c>
      <c r="M3088">
        <v>30</v>
      </c>
      <c r="N3088">
        <v>260.8</v>
      </c>
      <c r="O3088">
        <v>0</v>
      </c>
      <c r="P308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88" t="str">
        <f>IF(Table1[[#This Row],[Fraud_Score]]&gt;=6, "High Risk",IF(Table1[[#This Row],[Fraud_Score]]&gt;=3, "Medium Risk", "Low Risk"))</f>
        <v>Low Risk</v>
      </c>
      <c r="R3088">
        <f>IF(Table1[[#This Row],[Seconds of Use]]=0,0,Table1[[#This Row],[Customer Value]]/Table1[[#This Row],[Seconds of Use]]*100)</f>
        <v>13.238578680203048</v>
      </c>
    </row>
    <row r="3089" spans="1:18" x14ac:dyDescent="0.35">
      <c r="A3089" s="3" t="s">
        <v>3110</v>
      </c>
      <c r="B3089">
        <v>11</v>
      </c>
      <c r="C3089">
        <v>0</v>
      </c>
      <c r="D3089">
        <v>38</v>
      </c>
      <c r="E3089">
        <v>1</v>
      </c>
      <c r="F3089">
        <v>3085</v>
      </c>
      <c r="G3089">
        <v>59</v>
      </c>
      <c r="H3089">
        <v>182</v>
      </c>
      <c r="I3089">
        <v>25</v>
      </c>
      <c r="J3089">
        <v>2</v>
      </c>
      <c r="K3089">
        <v>1</v>
      </c>
      <c r="L3089">
        <v>1</v>
      </c>
      <c r="M3089">
        <v>25</v>
      </c>
      <c r="N3089">
        <v>960.48</v>
      </c>
      <c r="O3089">
        <v>0</v>
      </c>
      <c r="P308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89" t="str">
        <f>IF(Table1[[#This Row],[Fraud_Score]]&gt;=6, "High Risk",IF(Table1[[#This Row],[Fraud_Score]]&gt;=3, "Medium Risk", "Low Risk"))</f>
        <v>Low Risk</v>
      </c>
      <c r="R3089">
        <f>IF(Table1[[#This Row],[Seconds of Use]]=0,0,Table1[[#This Row],[Customer Value]]/Table1[[#This Row],[Seconds of Use]]*100)</f>
        <v>31.133873581847649</v>
      </c>
    </row>
    <row r="3090" spans="1:18" x14ac:dyDescent="0.35">
      <c r="A3090" s="3" t="s">
        <v>3111</v>
      </c>
      <c r="B3090">
        <v>9</v>
      </c>
      <c r="C3090">
        <v>0</v>
      </c>
      <c r="D3090">
        <v>29</v>
      </c>
      <c r="E3090">
        <v>2</v>
      </c>
      <c r="F3090">
        <v>1620</v>
      </c>
      <c r="G3090">
        <v>42</v>
      </c>
      <c r="H3090">
        <v>200</v>
      </c>
      <c r="I3090">
        <v>13</v>
      </c>
      <c r="J3090">
        <v>3</v>
      </c>
      <c r="K3090">
        <v>2</v>
      </c>
      <c r="L3090">
        <v>1</v>
      </c>
      <c r="M3090">
        <v>30</v>
      </c>
      <c r="N3090">
        <v>866.48</v>
      </c>
      <c r="O3090">
        <v>0</v>
      </c>
      <c r="P309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90" t="str">
        <f>IF(Table1[[#This Row],[Fraud_Score]]&gt;=6, "High Risk",IF(Table1[[#This Row],[Fraud_Score]]&gt;=3, "Medium Risk", "Low Risk"))</f>
        <v>Low Risk</v>
      </c>
      <c r="R3090">
        <f>IF(Table1[[#This Row],[Seconds of Use]]=0,0,Table1[[#This Row],[Customer Value]]/Table1[[#This Row],[Seconds of Use]]*100)</f>
        <v>53.486419753086423</v>
      </c>
    </row>
    <row r="3091" spans="1:18" x14ac:dyDescent="0.35">
      <c r="A3091" s="3" t="s">
        <v>3112</v>
      </c>
      <c r="B3091">
        <v>9</v>
      </c>
      <c r="C3091">
        <v>0</v>
      </c>
      <c r="D3091">
        <v>28</v>
      </c>
      <c r="E3091">
        <v>1</v>
      </c>
      <c r="F3091">
        <v>1873</v>
      </c>
      <c r="G3091">
        <v>45</v>
      </c>
      <c r="H3091">
        <v>37</v>
      </c>
      <c r="I3091">
        <v>70</v>
      </c>
      <c r="J3091">
        <v>5</v>
      </c>
      <c r="K3091">
        <v>1</v>
      </c>
      <c r="L3091">
        <v>1</v>
      </c>
      <c r="M3091">
        <v>55</v>
      </c>
      <c r="N3091">
        <v>84.27</v>
      </c>
      <c r="O3091">
        <v>0</v>
      </c>
      <c r="P309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91" t="str">
        <f>IF(Table1[[#This Row],[Fraud_Score]]&gt;=6, "High Risk",IF(Table1[[#This Row],[Fraud_Score]]&gt;=3, "Medium Risk", "Low Risk"))</f>
        <v>Low Risk</v>
      </c>
      <c r="R3091">
        <f>IF(Table1[[#This Row],[Seconds of Use]]=0,0,Table1[[#This Row],[Customer Value]]/Table1[[#This Row],[Seconds of Use]]*100)</f>
        <v>4.4991991457554725</v>
      </c>
    </row>
    <row r="3092" spans="1:18" x14ac:dyDescent="0.35">
      <c r="A3092" s="3" t="s">
        <v>3113</v>
      </c>
      <c r="B3092">
        <v>16</v>
      </c>
      <c r="C3092">
        <v>0</v>
      </c>
      <c r="D3092">
        <v>29</v>
      </c>
      <c r="E3092">
        <v>0</v>
      </c>
      <c r="F3092">
        <v>1005</v>
      </c>
      <c r="G3092">
        <v>31</v>
      </c>
      <c r="H3092">
        <v>17</v>
      </c>
      <c r="I3092">
        <v>9</v>
      </c>
      <c r="J3092">
        <v>3</v>
      </c>
      <c r="K3092">
        <v>1</v>
      </c>
      <c r="L3092">
        <v>2</v>
      </c>
      <c r="M3092">
        <v>30</v>
      </c>
      <c r="N3092">
        <v>109.44</v>
      </c>
      <c r="O3092">
        <v>0</v>
      </c>
      <c r="P309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092" t="str">
        <f>IF(Table1[[#This Row],[Fraud_Score]]&gt;=6, "High Risk",IF(Table1[[#This Row],[Fraud_Score]]&gt;=3, "Medium Risk", "Low Risk"))</f>
        <v>Medium Risk</v>
      </c>
      <c r="R3092">
        <f>IF(Table1[[#This Row],[Seconds of Use]]=0,0,Table1[[#This Row],[Customer Value]]/Table1[[#This Row],[Seconds of Use]]*100)</f>
        <v>10.889552238805971</v>
      </c>
    </row>
    <row r="3093" spans="1:18" x14ac:dyDescent="0.35">
      <c r="A3093" s="3" t="s">
        <v>3114</v>
      </c>
      <c r="B3093">
        <v>5</v>
      </c>
      <c r="C3093">
        <v>0</v>
      </c>
      <c r="D3093">
        <v>28</v>
      </c>
      <c r="E3093">
        <v>0</v>
      </c>
      <c r="F3093">
        <v>1130</v>
      </c>
      <c r="G3093">
        <v>16</v>
      </c>
      <c r="H3093">
        <v>28</v>
      </c>
      <c r="I3093">
        <v>5</v>
      </c>
      <c r="J3093">
        <v>4</v>
      </c>
      <c r="K3093">
        <v>1</v>
      </c>
      <c r="L3093">
        <v>2</v>
      </c>
      <c r="M3093">
        <v>45</v>
      </c>
      <c r="N3093">
        <v>98.65</v>
      </c>
      <c r="O3093">
        <v>0</v>
      </c>
      <c r="P309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093" t="str">
        <f>IF(Table1[[#This Row],[Fraud_Score]]&gt;=6, "High Risk",IF(Table1[[#This Row],[Fraud_Score]]&gt;=3, "Medium Risk", "Low Risk"))</f>
        <v>Low Risk</v>
      </c>
      <c r="R3093">
        <f>IF(Table1[[#This Row],[Seconds of Use]]=0,0,Table1[[#This Row],[Customer Value]]/Table1[[#This Row],[Seconds of Use]]*100)</f>
        <v>8.730088495575222</v>
      </c>
    </row>
    <row r="3094" spans="1:18" x14ac:dyDescent="0.35">
      <c r="A3094" s="3" t="s">
        <v>3115</v>
      </c>
      <c r="B3094">
        <v>15</v>
      </c>
      <c r="C3094">
        <v>0</v>
      </c>
      <c r="D3094">
        <v>27</v>
      </c>
      <c r="E3094">
        <v>1</v>
      </c>
      <c r="F3094">
        <v>1530</v>
      </c>
      <c r="G3094">
        <v>38</v>
      </c>
      <c r="H3094">
        <v>26</v>
      </c>
      <c r="I3094">
        <v>15</v>
      </c>
      <c r="J3094">
        <v>2</v>
      </c>
      <c r="K3094">
        <v>1</v>
      </c>
      <c r="L3094">
        <v>1</v>
      </c>
      <c r="M3094">
        <v>25</v>
      </c>
      <c r="N3094">
        <v>187.56</v>
      </c>
      <c r="O3094">
        <v>0</v>
      </c>
      <c r="P309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94" t="str">
        <f>IF(Table1[[#This Row],[Fraud_Score]]&gt;=6, "High Risk",IF(Table1[[#This Row],[Fraud_Score]]&gt;=3, "Medium Risk", "Low Risk"))</f>
        <v>Low Risk</v>
      </c>
      <c r="R3094">
        <f>IF(Table1[[#This Row],[Seconds of Use]]=0,0,Table1[[#This Row],[Customer Value]]/Table1[[#This Row],[Seconds of Use]]*100)</f>
        <v>12.258823529411766</v>
      </c>
    </row>
    <row r="3095" spans="1:18" x14ac:dyDescent="0.35">
      <c r="A3095" s="3" t="s">
        <v>3116</v>
      </c>
      <c r="B3095">
        <v>7</v>
      </c>
      <c r="C3095">
        <v>0</v>
      </c>
      <c r="D3095">
        <v>27</v>
      </c>
      <c r="E3095">
        <v>1</v>
      </c>
      <c r="F3095">
        <v>3530</v>
      </c>
      <c r="G3095">
        <v>67</v>
      </c>
      <c r="H3095">
        <v>15</v>
      </c>
      <c r="I3095">
        <v>25</v>
      </c>
      <c r="J3095">
        <v>3</v>
      </c>
      <c r="K3095">
        <v>1</v>
      </c>
      <c r="L3095">
        <v>1</v>
      </c>
      <c r="M3095">
        <v>30</v>
      </c>
      <c r="N3095">
        <v>203.88</v>
      </c>
      <c r="O3095">
        <v>0</v>
      </c>
      <c r="P309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95" t="str">
        <f>IF(Table1[[#This Row],[Fraud_Score]]&gt;=6, "High Risk",IF(Table1[[#This Row],[Fraud_Score]]&gt;=3, "Medium Risk", "Low Risk"))</f>
        <v>Low Risk</v>
      </c>
      <c r="R3095">
        <f>IF(Table1[[#This Row],[Seconds of Use]]=0,0,Table1[[#This Row],[Customer Value]]/Table1[[#This Row],[Seconds of Use]]*100)</f>
        <v>5.7756373937677052</v>
      </c>
    </row>
    <row r="3096" spans="1:18" x14ac:dyDescent="0.35">
      <c r="A3096" s="3" t="s">
        <v>3117</v>
      </c>
      <c r="B3096">
        <v>7</v>
      </c>
      <c r="C3096">
        <v>0</v>
      </c>
      <c r="D3096">
        <v>20</v>
      </c>
      <c r="E3096">
        <v>1</v>
      </c>
      <c r="F3096">
        <v>2000</v>
      </c>
      <c r="G3096">
        <v>32</v>
      </c>
      <c r="H3096">
        <v>35</v>
      </c>
      <c r="I3096">
        <v>16</v>
      </c>
      <c r="J3096">
        <v>3</v>
      </c>
      <c r="K3096">
        <v>1</v>
      </c>
      <c r="L3096">
        <v>1</v>
      </c>
      <c r="M3096">
        <v>30</v>
      </c>
      <c r="N3096">
        <v>221.28</v>
      </c>
      <c r="O3096">
        <v>0</v>
      </c>
      <c r="P309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096" t="str">
        <f>IF(Table1[[#This Row],[Fraud_Score]]&gt;=6, "High Risk",IF(Table1[[#This Row],[Fraud_Score]]&gt;=3, "Medium Risk", "Low Risk"))</f>
        <v>Low Risk</v>
      </c>
      <c r="R3096">
        <f>IF(Table1[[#This Row],[Seconds of Use]]=0,0,Table1[[#This Row],[Customer Value]]/Table1[[#This Row],[Seconds of Use]]*100)</f>
        <v>11.064</v>
      </c>
    </row>
    <row r="3097" spans="1:18" x14ac:dyDescent="0.35">
      <c r="A3097" s="3" t="s">
        <v>3118</v>
      </c>
      <c r="B3097">
        <v>21</v>
      </c>
      <c r="C3097">
        <v>0</v>
      </c>
      <c r="D3097">
        <v>19</v>
      </c>
      <c r="E3097">
        <v>2</v>
      </c>
      <c r="F3097">
        <v>6697</v>
      </c>
      <c r="G3097">
        <v>147</v>
      </c>
      <c r="H3097">
        <v>92</v>
      </c>
      <c r="I3097">
        <v>44</v>
      </c>
      <c r="J3097">
        <v>2</v>
      </c>
      <c r="K3097">
        <v>2</v>
      </c>
      <c r="L3097">
        <v>1</v>
      </c>
      <c r="M3097">
        <v>25</v>
      </c>
      <c r="N3097">
        <v>721.98</v>
      </c>
      <c r="O3097">
        <v>0</v>
      </c>
      <c r="P309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097" t="str">
        <f>IF(Table1[[#This Row],[Fraud_Score]]&gt;=6, "High Risk",IF(Table1[[#This Row],[Fraud_Score]]&gt;=3, "Medium Risk", "Low Risk"))</f>
        <v>Medium Risk</v>
      </c>
      <c r="R3097">
        <f>IF(Table1[[#This Row],[Seconds of Use]]=0,0,Table1[[#This Row],[Customer Value]]/Table1[[#This Row],[Seconds of Use]]*100)</f>
        <v>10.780648051366283</v>
      </c>
    </row>
    <row r="3098" spans="1:18" x14ac:dyDescent="0.35">
      <c r="A3098" s="3" t="s">
        <v>3119</v>
      </c>
      <c r="B3098">
        <v>17</v>
      </c>
      <c r="C3098">
        <v>0</v>
      </c>
      <c r="D3098">
        <v>17</v>
      </c>
      <c r="E3098">
        <v>1</v>
      </c>
      <c r="F3098">
        <v>9237</v>
      </c>
      <c r="G3098">
        <v>177</v>
      </c>
      <c r="H3098">
        <v>80</v>
      </c>
      <c r="I3098">
        <v>42</v>
      </c>
      <c r="J3098">
        <v>5</v>
      </c>
      <c r="K3098">
        <v>1</v>
      </c>
      <c r="L3098">
        <v>1</v>
      </c>
      <c r="M3098">
        <v>55</v>
      </c>
      <c r="N3098">
        <v>261.20999999999998</v>
      </c>
      <c r="O3098">
        <v>0</v>
      </c>
      <c r="P309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098" t="str">
        <f>IF(Table1[[#This Row],[Fraud_Score]]&gt;=6, "High Risk",IF(Table1[[#This Row],[Fraud_Score]]&gt;=3, "Medium Risk", "Low Risk"))</f>
        <v>Medium Risk</v>
      </c>
      <c r="R3098">
        <f>IF(Table1[[#This Row],[Seconds of Use]]=0,0,Table1[[#This Row],[Customer Value]]/Table1[[#This Row],[Seconds of Use]]*100)</f>
        <v>2.827866190321533</v>
      </c>
    </row>
    <row r="3099" spans="1:18" x14ac:dyDescent="0.35">
      <c r="A3099" s="3" t="s">
        <v>3120</v>
      </c>
      <c r="B3099">
        <v>13</v>
      </c>
      <c r="C3099">
        <v>0</v>
      </c>
      <c r="D3099">
        <v>18</v>
      </c>
      <c r="E3099">
        <v>4</v>
      </c>
      <c r="F3099">
        <v>3157</v>
      </c>
      <c r="G3099">
        <v>51</v>
      </c>
      <c r="H3099">
        <v>38</v>
      </c>
      <c r="I3099">
        <v>21</v>
      </c>
      <c r="J3099">
        <v>3</v>
      </c>
      <c r="K3099">
        <v>1</v>
      </c>
      <c r="L3099">
        <v>1</v>
      </c>
      <c r="M3099">
        <v>30</v>
      </c>
      <c r="N3099">
        <v>280.32</v>
      </c>
      <c r="O3099">
        <v>0</v>
      </c>
      <c r="P309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099" t="str">
        <f>IF(Table1[[#This Row],[Fraud_Score]]&gt;=6, "High Risk",IF(Table1[[#This Row],[Fraud_Score]]&gt;=3, "Medium Risk", "Low Risk"))</f>
        <v>Low Risk</v>
      </c>
      <c r="R3099">
        <f>IF(Table1[[#This Row],[Seconds of Use]]=0,0,Table1[[#This Row],[Customer Value]]/Table1[[#This Row],[Seconds of Use]]*100)</f>
        <v>8.8793158061450743</v>
      </c>
    </row>
    <row r="3100" spans="1:18" x14ac:dyDescent="0.35">
      <c r="A3100" s="3" t="s">
        <v>3121</v>
      </c>
      <c r="B3100">
        <v>7</v>
      </c>
      <c r="C3100">
        <v>0</v>
      </c>
      <c r="D3100">
        <v>11</v>
      </c>
      <c r="E3100">
        <v>2</v>
      </c>
      <c r="F3100">
        <v>4695</v>
      </c>
      <c r="G3100">
        <v>46</v>
      </c>
      <c r="H3100">
        <v>222</v>
      </c>
      <c r="I3100">
        <v>12</v>
      </c>
      <c r="J3100">
        <v>3</v>
      </c>
      <c r="K3100">
        <v>1</v>
      </c>
      <c r="L3100">
        <v>1</v>
      </c>
      <c r="M3100">
        <v>30</v>
      </c>
      <c r="N3100">
        <v>1077.6400000000001</v>
      </c>
      <c r="O3100">
        <v>0</v>
      </c>
      <c r="P310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00" t="str">
        <f>IF(Table1[[#This Row],[Fraud_Score]]&gt;=6, "High Risk",IF(Table1[[#This Row],[Fraud_Score]]&gt;=3, "Medium Risk", "Low Risk"))</f>
        <v>Low Risk</v>
      </c>
      <c r="R3100">
        <f>IF(Table1[[#This Row],[Seconds of Use]]=0,0,Table1[[#This Row],[Customer Value]]/Table1[[#This Row],[Seconds of Use]]*100)</f>
        <v>22.952928647497338</v>
      </c>
    </row>
    <row r="3101" spans="1:18" x14ac:dyDescent="0.35">
      <c r="A3101" s="3" t="s">
        <v>3122</v>
      </c>
      <c r="B3101">
        <v>8</v>
      </c>
      <c r="C3101">
        <v>1</v>
      </c>
      <c r="D3101">
        <v>11</v>
      </c>
      <c r="E3101">
        <v>2</v>
      </c>
      <c r="F3101">
        <v>1792</v>
      </c>
      <c r="G3101">
        <v>25</v>
      </c>
      <c r="H3101">
        <v>7</v>
      </c>
      <c r="I3101">
        <v>9</v>
      </c>
      <c r="J3101">
        <v>3</v>
      </c>
      <c r="K3101">
        <v>1</v>
      </c>
      <c r="L3101">
        <v>1</v>
      </c>
      <c r="M3101">
        <v>30</v>
      </c>
      <c r="N3101">
        <v>100.68</v>
      </c>
      <c r="O3101">
        <v>1</v>
      </c>
      <c r="P310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01" t="str">
        <f>IF(Table1[[#This Row],[Fraud_Score]]&gt;=6, "High Risk",IF(Table1[[#This Row],[Fraud_Score]]&gt;=3, "Medium Risk", "Low Risk"))</f>
        <v>Low Risk</v>
      </c>
      <c r="R3101">
        <f>IF(Table1[[#This Row],[Seconds of Use]]=0,0,Table1[[#This Row],[Customer Value]]/Table1[[#This Row],[Seconds of Use]]*100)</f>
        <v>5.6183035714285721</v>
      </c>
    </row>
    <row r="3102" spans="1:18" x14ac:dyDescent="0.35">
      <c r="A3102" s="3" t="s">
        <v>3123</v>
      </c>
      <c r="B3102">
        <v>13</v>
      </c>
      <c r="C3102">
        <v>0</v>
      </c>
      <c r="D3102">
        <v>40</v>
      </c>
      <c r="E3102">
        <v>1</v>
      </c>
      <c r="F3102">
        <v>4675</v>
      </c>
      <c r="G3102">
        <v>77</v>
      </c>
      <c r="H3102">
        <v>12</v>
      </c>
      <c r="I3102">
        <v>19</v>
      </c>
      <c r="J3102">
        <v>3</v>
      </c>
      <c r="K3102">
        <v>1</v>
      </c>
      <c r="L3102">
        <v>1</v>
      </c>
      <c r="M3102">
        <v>30</v>
      </c>
      <c r="N3102">
        <v>238.08</v>
      </c>
      <c r="O3102">
        <v>0</v>
      </c>
      <c r="P310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02" t="str">
        <f>IF(Table1[[#This Row],[Fraud_Score]]&gt;=6, "High Risk",IF(Table1[[#This Row],[Fraud_Score]]&gt;=3, "Medium Risk", "Low Risk"))</f>
        <v>Low Risk</v>
      </c>
      <c r="R3102">
        <f>IF(Table1[[#This Row],[Seconds of Use]]=0,0,Table1[[#This Row],[Customer Value]]/Table1[[#This Row],[Seconds of Use]]*100)</f>
        <v>5.0926203208556151</v>
      </c>
    </row>
    <row r="3103" spans="1:18" x14ac:dyDescent="0.35">
      <c r="A3103" s="3" t="s">
        <v>3124</v>
      </c>
      <c r="B3103">
        <v>5</v>
      </c>
      <c r="C3103">
        <v>0</v>
      </c>
      <c r="D3103">
        <v>41</v>
      </c>
      <c r="E3103">
        <v>0</v>
      </c>
      <c r="F3103">
        <v>623</v>
      </c>
      <c r="G3103">
        <v>11</v>
      </c>
      <c r="H3103">
        <v>14</v>
      </c>
      <c r="I3103">
        <v>6</v>
      </c>
      <c r="J3103">
        <v>3</v>
      </c>
      <c r="K3103">
        <v>1</v>
      </c>
      <c r="L3103">
        <v>2</v>
      </c>
      <c r="M3103">
        <v>30</v>
      </c>
      <c r="N3103">
        <v>81.36</v>
      </c>
      <c r="O3103">
        <v>0</v>
      </c>
      <c r="P310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03" t="str">
        <f>IF(Table1[[#This Row],[Fraud_Score]]&gt;=6, "High Risk",IF(Table1[[#This Row],[Fraud_Score]]&gt;=3, "Medium Risk", "Low Risk"))</f>
        <v>Low Risk</v>
      </c>
      <c r="R3103">
        <f>IF(Table1[[#This Row],[Seconds of Use]]=0,0,Table1[[#This Row],[Customer Value]]/Table1[[#This Row],[Seconds of Use]]*100)</f>
        <v>13.059390048154093</v>
      </c>
    </row>
    <row r="3104" spans="1:18" x14ac:dyDescent="0.35">
      <c r="A3104" s="3" t="s">
        <v>3125</v>
      </c>
      <c r="B3104">
        <v>15</v>
      </c>
      <c r="C3104">
        <v>0</v>
      </c>
      <c r="D3104">
        <v>39</v>
      </c>
      <c r="E3104">
        <v>1</v>
      </c>
      <c r="F3104">
        <v>2758</v>
      </c>
      <c r="G3104">
        <v>66</v>
      </c>
      <c r="H3104">
        <v>366</v>
      </c>
      <c r="I3104">
        <v>26</v>
      </c>
      <c r="J3104">
        <v>3</v>
      </c>
      <c r="K3104">
        <v>1</v>
      </c>
      <c r="L3104">
        <v>1</v>
      </c>
      <c r="M3104">
        <v>30</v>
      </c>
      <c r="N3104">
        <v>1576.96</v>
      </c>
      <c r="O3104">
        <v>0</v>
      </c>
      <c r="P310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04" t="str">
        <f>IF(Table1[[#This Row],[Fraud_Score]]&gt;=6, "High Risk",IF(Table1[[#This Row],[Fraud_Score]]&gt;=3, "Medium Risk", "Low Risk"))</f>
        <v>Low Risk</v>
      </c>
      <c r="R3104">
        <f>IF(Table1[[#This Row],[Seconds of Use]]=0,0,Table1[[#This Row],[Customer Value]]/Table1[[#This Row],[Seconds of Use]]*100)</f>
        <v>57.17766497461929</v>
      </c>
    </row>
    <row r="3105" spans="1:18" x14ac:dyDescent="0.35">
      <c r="A3105" s="3" t="s">
        <v>3126</v>
      </c>
      <c r="B3105">
        <v>15</v>
      </c>
      <c r="C3105">
        <v>0</v>
      </c>
      <c r="D3105">
        <v>40</v>
      </c>
      <c r="E3105">
        <v>1</v>
      </c>
      <c r="F3105">
        <v>4503</v>
      </c>
      <c r="G3105">
        <v>72</v>
      </c>
      <c r="H3105">
        <v>8</v>
      </c>
      <c r="I3105">
        <v>37</v>
      </c>
      <c r="J3105">
        <v>1</v>
      </c>
      <c r="K3105">
        <v>1</v>
      </c>
      <c r="L3105">
        <v>1</v>
      </c>
      <c r="M3105">
        <v>15</v>
      </c>
      <c r="N3105">
        <v>295.625</v>
      </c>
      <c r="O3105">
        <v>0</v>
      </c>
      <c r="P310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05" t="str">
        <f>IF(Table1[[#This Row],[Fraud_Score]]&gt;=6, "High Risk",IF(Table1[[#This Row],[Fraud_Score]]&gt;=3, "Medium Risk", "Low Risk"))</f>
        <v>Low Risk</v>
      </c>
      <c r="R3105">
        <f>IF(Table1[[#This Row],[Seconds of Use]]=0,0,Table1[[#This Row],[Customer Value]]/Table1[[#This Row],[Seconds of Use]]*100)</f>
        <v>6.5650677326226967</v>
      </c>
    </row>
    <row r="3106" spans="1:18" x14ac:dyDescent="0.35">
      <c r="A3106" s="3" t="s">
        <v>3127</v>
      </c>
      <c r="B3106">
        <v>8</v>
      </c>
      <c r="C3106">
        <v>0</v>
      </c>
      <c r="D3106">
        <v>40</v>
      </c>
      <c r="E3106">
        <v>1</v>
      </c>
      <c r="F3106">
        <v>2698</v>
      </c>
      <c r="G3106">
        <v>64</v>
      </c>
      <c r="H3106">
        <v>9</v>
      </c>
      <c r="I3106">
        <v>35</v>
      </c>
      <c r="J3106">
        <v>2</v>
      </c>
      <c r="K3106">
        <v>1</v>
      </c>
      <c r="L3106">
        <v>1</v>
      </c>
      <c r="M3106">
        <v>25</v>
      </c>
      <c r="N3106">
        <v>164.79</v>
      </c>
      <c r="O3106">
        <v>0</v>
      </c>
      <c r="P310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06" t="str">
        <f>IF(Table1[[#This Row],[Fraud_Score]]&gt;=6, "High Risk",IF(Table1[[#This Row],[Fraud_Score]]&gt;=3, "Medium Risk", "Low Risk"))</f>
        <v>Low Risk</v>
      </c>
      <c r="R3106">
        <f>IF(Table1[[#This Row],[Seconds of Use]]=0,0,Table1[[#This Row],[Customer Value]]/Table1[[#This Row],[Seconds of Use]]*100)</f>
        <v>6.1078576723498887</v>
      </c>
    </row>
    <row r="3107" spans="1:18" x14ac:dyDescent="0.35">
      <c r="A3107" s="3" t="s">
        <v>3128</v>
      </c>
      <c r="B3107">
        <v>16</v>
      </c>
      <c r="C3107">
        <v>0</v>
      </c>
      <c r="D3107">
        <v>40</v>
      </c>
      <c r="E3107">
        <v>2</v>
      </c>
      <c r="F3107">
        <v>4080</v>
      </c>
      <c r="G3107">
        <v>88</v>
      </c>
      <c r="H3107">
        <v>39</v>
      </c>
      <c r="I3107">
        <v>30</v>
      </c>
      <c r="J3107">
        <v>3</v>
      </c>
      <c r="K3107">
        <v>1</v>
      </c>
      <c r="L3107">
        <v>1</v>
      </c>
      <c r="M3107">
        <v>30</v>
      </c>
      <c r="N3107">
        <v>322.72000000000003</v>
      </c>
      <c r="O3107">
        <v>0</v>
      </c>
      <c r="P310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07" t="str">
        <f>IF(Table1[[#This Row],[Fraud_Score]]&gt;=6, "High Risk",IF(Table1[[#This Row],[Fraud_Score]]&gt;=3, "Medium Risk", "Low Risk"))</f>
        <v>Low Risk</v>
      </c>
      <c r="R3107">
        <f>IF(Table1[[#This Row],[Seconds of Use]]=0,0,Table1[[#This Row],[Customer Value]]/Table1[[#This Row],[Seconds of Use]]*100)</f>
        <v>7.9098039215686287</v>
      </c>
    </row>
    <row r="3108" spans="1:18" x14ac:dyDescent="0.35">
      <c r="A3108" s="3" t="s">
        <v>3129</v>
      </c>
      <c r="B3108">
        <v>9</v>
      </c>
      <c r="C3108">
        <v>0</v>
      </c>
      <c r="D3108">
        <v>40</v>
      </c>
      <c r="E3108">
        <v>1</v>
      </c>
      <c r="F3108">
        <v>2665</v>
      </c>
      <c r="G3108">
        <v>45</v>
      </c>
      <c r="H3108">
        <v>292</v>
      </c>
      <c r="I3108">
        <v>20</v>
      </c>
      <c r="J3108">
        <v>3</v>
      </c>
      <c r="K3108">
        <v>1</v>
      </c>
      <c r="L3108">
        <v>1</v>
      </c>
      <c r="M3108">
        <v>30</v>
      </c>
      <c r="N3108">
        <v>1276.4000000000001</v>
      </c>
      <c r="O3108">
        <v>0</v>
      </c>
      <c r="P310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08" t="str">
        <f>IF(Table1[[#This Row],[Fraud_Score]]&gt;=6, "High Risk",IF(Table1[[#This Row],[Fraud_Score]]&gt;=3, "Medium Risk", "Low Risk"))</f>
        <v>Low Risk</v>
      </c>
      <c r="R3108">
        <f>IF(Table1[[#This Row],[Seconds of Use]]=0,0,Table1[[#This Row],[Customer Value]]/Table1[[#This Row],[Seconds of Use]]*100)</f>
        <v>47.89493433395873</v>
      </c>
    </row>
    <row r="3109" spans="1:18" x14ac:dyDescent="0.35">
      <c r="A3109" s="3" t="s">
        <v>3130</v>
      </c>
      <c r="B3109">
        <v>18</v>
      </c>
      <c r="C3109">
        <v>0</v>
      </c>
      <c r="D3109">
        <v>39</v>
      </c>
      <c r="E3109">
        <v>3</v>
      </c>
      <c r="F3109">
        <v>9420</v>
      </c>
      <c r="G3109">
        <v>127</v>
      </c>
      <c r="H3109">
        <v>151</v>
      </c>
      <c r="I3109">
        <v>45</v>
      </c>
      <c r="J3109">
        <v>3</v>
      </c>
      <c r="K3109">
        <v>1</v>
      </c>
      <c r="L3109">
        <v>1</v>
      </c>
      <c r="M3109">
        <v>30</v>
      </c>
      <c r="N3109">
        <v>985.88</v>
      </c>
      <c r="O3109">
        <v>0</v>
      </c>
      <c r="P310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09" t="str">
        <f>IF(Table1[[#This Row],[Fraud_Score]]&gt;=6, "High Risk",IF(Table1[[#This Row],[Fraud_Score]]&gt;=3, "Medium Risk", "Low Risk"))</f>
        <v>Low Risk</v>
      </c>
      <c r="R3109">
        <f>IF(Table1[[#This Row],[Seconds of Use]]=0,0,Table1[[#This Row],[Customer Value]]/Table1[[#This Row],[Seconds of Use]]*100)</f>
        <v>10.465817409766455</v>
      </c>
    </row>
    <row r="3110" spans="1:18" x14ac:dyDescent="0.35">
      <c r="A3110" s="3" t="s">
        <v>3131</v>
      </c>
      <c r="B3110">
        <v>12</v>
      </c>
      <c r="C3110">
        <v>0</v>
      </c>
      <c r="D3110">
        <v>40</v>
      </c>
      <c r="E3110">
        <v>1</v>
      </c>
      <c r="F3110">
        <v>14078</v>
      </c>
      <c r="G3110">
        <v>175</v>
      </c>
      <c r="H3110">
        <v>7</v>
      </c>
      <c r="I3110">
        <v>46</v>
      </c>
      <c r="J3110">
        <v>3</v>
      </c>
      <c r="K3110">
        <v>1</v>
      </c>
      <c r="L3110">
        <v>1</v>
      </c>
      <c r="M3110">
        <v>30</v>
      </c>
      <c r="N3110">
        <v>598.12</v>
      </c>
      <c r="O3110">
        <v>0</v>
      </c>
      <c r="P311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110" t="str">
        <f>IF(Table1[[#This Row],[Fraud_Score]]&gt;=6, "High Risk",IF(Table1[[#This Row],[Fraud_Score]]&gt;=3, "Medium Risk", "Low Risk"))</f>
        <v>Medium Risk</v>
      </c>
      <c r="R3110">
        <f>IF(Table1[[#This Row],[Seconds of Use]]=0,0,Table1[[#This Row],[Customer Value]]/Table1[[#This Row],[Seconds of Use]]*100)</f>
        <v>4.2486148600653504</v>
      </c>
    </row>
    <row r="3111" spans="1:18" x14ac:dyDescent="0.35">
      <c r="A3111" s="3" t="s">
        <v>3132</v>
      </c>
      <c r="B3111">
        <v>12</v>
      </c>
      <c r="C3111">
        <v>0</v>
      </c>
      <c r="D3111">
        <v>40</v>
      </c>
      <c r="E3111">
        <v>2</v>
      </c>
      <c r="F3111">
        <v>4820</v>
      </c>
      <c r="G3111">
        <v>89</v>
      </c>
      <c r="H3111">
        <v>9</v>
      </c>
      <c r="I3111">
        <v>27</v>
      </c>
      <c r="J3111">
        <v>3</v>
      </c>
      <c r="K3111">
        <v>1</v>
      </c>
      <c r="L3111">
        <v>1</v>
      </c>
      <c r="M3111">
        <v>30</v>
      </c>
      <c r="N3111">
        <v>232.36</v>
      </c>
      <c r="O3111">
        <v>0</v>
      </c>
      <c r="P311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11" t="str">
        <f>IF(Table1[[#This Row],[Fraud_Score]]&gt;=6, "High Risk",IF(Table1[[#This Row],[Fraud_Score]]&gt;=3, "Medium Risk", "Low Risk"))</f>
        <v>Low Risk</v>
      </c>
      <c r="R3111">
        <f>IF(Table1[[#This Row],[Seconds of Use]]=0,0,Table1[[#This Row],[Customer Value]]/Table1[[#This Row],[Seconds of Use]]*100)</f>
        <v>4.8207468879668047</v>
      </c>
    </row>
    <row r="3112" spans="1:18" x14ac:dyDescent="0.35">
      <c r="A3112" s="3" t="s">
        <v>3133</v>
      </c>
      <c r="B3112">
        <v>11</v>
      </c>
      <c r="C3112">
        <v>0</v>
      </c>
      <c r="D3112">
        <v>40</v>
      </c>
      <c r="E3112">
        <v>1</v>
      </c>
      <c r="F3112">
        <v>6223</v>
      </c>
      <c r="G3112">
        <v>101</v>
      </c>
      <c r="H3112">
        <v>14</v>
      </c>
      <c r="I3112">
        <v>14</v>
      </c>
      <c r="J3112">
        <v>3</v>
      </c>
      <c r="K3112">
        <v>1</v>
      </c>
      <c r="L3112">
        <v>1</v>
      </c>
      <c r="M3112">
        <v>30</v>
      </c>
      <c r="N3112">
        <v>308.95999999999998</v>
      </c>
      <c r="O3112">
        <v>0</v>
      </c>
      <c r="P311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12" t="str">
        <f>IF(Table1[[#This Row],[Fraud_Score]]&gt;=6, "High Risk",IF(Table1[[#This Row],[Fraud_Score]]&gt;=3, "Medium Risk", "Low Risk"))</f>
        <v>Low Risk</v>
      </c>
      <c r="R3112">
        <f>IF(Table1[[#This Row],[Seconds of Use]]=0,0,Table1[[#This Row],[Customer Value]]/Table1[[#This Row],[Seconds of Use]]*100)</f>
        <v>4.9648079704322665</v>
      </c>
    </row>
    <row r="3113" spans="1:18" x14ac:dyDescent="0.35">
      <c r="A3113" s="3" t="s">
        <v>3134</v>
      </c>
      <c r="B3113">
        <v>14</v>
      </c>
      <c r="C3113">
        <v>0</v>
      </c>
      <c r="D3113">
        <v>40</v>
      </c>
      <c r="E3113">
        <v>0</v>
      </c>
      <c r="F3113">
        <v>2543</v>
      </c>
      <c r="G3113">
        <v>60</v>
      </c>
      <c r="H3113">
        <v>15</v>
      </c>
      <c r="I3113">
        <v>19</v>
      </c>
      <c r="J3113">
        <v>3</v>
      </c>
      <c r="K3113">
        <v>1</v>
      </c>
      <c r="L3113">
        <v>2</v>
      </c>
      <c r="M3113">
        <v>30</v>
      </c>
      <c r="N3113">
        <v>164.12</v>
      </c>
      <c r="O3113">
        <v>0</v>
      </c>
      <c r="P311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113" t="str">
        <f>IF(Table1[[#This Row],[Fraud_Score]]&gt;=6, "High Risk",IF(Table1[[#This Row],[Fraud_Score]]&gt;=3, "Medium Risk", "Low Risk"))</f>
        <v>Medium Risk</v>
      </c>
      <c r="R3113">
        <f>IF(Table1[[#This Row],[Seconds of Use]]=0,0,Table1[[#This Row],[Customer Value]]/Table1[[#This Row],[Seconds of Use]]*100)</f>
        <v>6.4537947306331116</v>
      </c>
    </row>
    <row r="3114" spans="1:18" x14ac:dyDescent="0.35">
      <c r="A3114" s="3" t="s">
        <v>3135</v>
      </c>
      <c r="B3114">
        <v>30</v>
      </c>
      <c r="C3114">
        <v>0</v>
      </c>
      <c r="D3114">
        <v>40</v>
      </c>
      <c r="E3114">
        <v>4</v>
      </c>
      <c r="F3114">
        <v>15445</v>
      </c>
      <c r="G3114">
        <v>231</v>
      </c>
      <c r="H3114">
        <v>61</v>
      </c>
      <c r="I3114">
        <v>34</v>
      </c>
      <c r="J3114">
        <v>3</v>
      </c>
      <c r="K3114">
        <v>2</v>
      </c>
      <c r="L3114">
        <v>1</v>
      </c>
      <c r="M3114">
        <v>30</v>
      </c>
      <c r="N3114">
        <v>871.04</v>
      </c>
      <c r="O3114">
        <v>0</v>
      </c>
      <c r="P311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114" t="str">
        <f>IF(Table1[[#This Row],[Fraud_Score]]&gt;=6, "High Risk",IF(Table1[[#This Row],[Fraud_Score]]&gt;=3, "Medium Risk", "Low Risk"))</f>
        <v>Medium Risk</v>
      </c>
      <c r="R3114">
        <f>IF(Table1[[#This Row],[Seconds of Use]]=0,0,Table1[[#This Row],[Customer Value]]/Table1[[#This Row],[Seconds of Use]]*100)</f>
        <v>5.6396244739397865</v>
      </c>
    </row>
    <row r="3115" spans="1:18" x14ac:dyDescent="0.35">
      <c r="A3115" s="3" t="s">
        <v>3136</v>
      </c>
      <c r="B3115">
        <v>9</v>
      </c>
      <c r="C3115">
        <v>0</v>
      </c>
      <c r="D3115">
        <v>40</v>
      </c>
      <c r="E3115">
        <v>2</v>
      </c>
      <c r="F3115">
        <v>3400</v>
      </c>
      <c r="G3115">
        <v>33</v>
      </c>
      <c r="H3115">
        <v>490</v>
      </c>
      <c r="I3115">
        <v>10</v>
      </c>
      <c r="J3115">
        <v>3</v>
      </c>
      <c r="K3115">
        <v>1</v>
      </c>
      <c r="L3115">
        <v>1</v>
      </c>
      <c r="M3115">
        <v>30</v>
      </c>
      <c r="N3115">
        <v>2097.3200000000002</v>
      </c>
      <c r="O3115">
        <v>0</v>
      </c>
      <c r="P311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15" t="str">
        <f>IF(Table1[[#This Row],[Fraud_Score]]&gt;=6, "High Risk",IF(Table1[[#This Row],[Fraud_Score]]&gt;=3, "Medium Risk", "Low Risk"))</f>
        <v>Low Risk</v>
      </c>
      <c r="R3115">
        <f>IF(Table1[[#This Row],[Seconds of Use]]=0,0,Table1[[#This Row],[Customer Value]]/Table1[[#This Row],[Seconds of Use]]*100)</f>
        <v>61.685882352941178</v>
      </c>
    </row>
    <row r="3116" spans="1:18" x14ac:dyDescent="0.35">
      <c r="A3116" s="3" t="s">
        <v>3137</v>
      </c>
      <c r="B3116">
        <v>14</v>
      </c>
      <c r="C3116">
        <v>0</v>
      </c>
      <c r="D3116">
        <v>39</v>
      </c>
      <c r="E3116">
        <v>1</v>
      </c>
      <c r="F3116">
        <v>15790</v>
      </c>
      <c r="G3116">
        <v>188</v>
      </c>
      <c r="H3116">
        <v>157</v>
      </c>
      <c r="I3116">
        <v>32</v>
      </c>
      <c r="J3116">
        <v>2</v>
      </c>
      <c r="K3116">
        <v>1</v>
      </c>
      <c r="L3116">
        <v>1</v>
      </c>
      <c r="M3116">
        <v>25</v>
      </c>
      <c r="N3116">
        <v>1425.51</v>
      </c>
      <c r="O3116">
        <v>0</v>
      </c>
      <c r="P311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116" t="str">
        <f>IF(Table1[[#This Row],[Fraud_Score]]&gt;=6, "High Risk",IF(Table1[[#This Row],[Fraud_Score]]&gt;=3, "Medium Risk", "Low Risk"))</f>
        <v>Medium Risk</v>
      </c>
      <c r="R3116">
        <f>IF(Table1[[#This Row],[Seconds of Use]]=0,0,Table1[[#This Row],[Customer Value]]/Table1[[#This Row],[Seconds of Use]]*100)</f>
        <v>9.0279290690310319</v>
      </c>
    </row>
    <row r="3117" spans="1:18" x14ac:dyDescent="0.35">
      <c r="A3117" s="3" t="s">
        <v>3138</v>
      </c>
      <c r="B3117">
        <v>8</v>
      </c>
      <c r="C3117">
        <v>0</v>
      </c>
      <c r="D3117">
        <v>39</v>
      </c>
      <c r="E3117">
        <v>2</v>
      </c>
      <c r="F3117">
        <v>6805</v>
      </c>
      <c r="G3117">
        <v>92</v>
      </c>
      <c r="H3117">
        <v>193</v>
      </c>
      <c r="I3117">
        <v>28</v>
      </c>
      <c r="J3117">
        <v>3</v>
      </c>
      <c r="K3117">
        <v>1</v>
      </c>
      <c r="L3117">
        <v>1</v>
      </c>
      <c r="M3117">
        <v>30</v>
      </c>
      <c r="N3117">
        <v>1047.8800000000001</v>
      </c>
      <c r="O3117">
        <v>0</v>
      </c>
      <c r="P311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17" t="str">
        <f>IF(Table1[[#This Row],[Fraud_Score]]&gt;=6, "High Risk",IF(Table1[[#This Row],[Fraud_Score]]&gt;=3, "Medium Risk", "Low Risk"))</f>
        <v>Low Risk</v>
      </c>
      <c r="R3117">
        <f>IF(Table1[[#This Row],[Seconds of Use]]=0,0,Table1[[#This Row],[Customer Value]]/Table1[[#This Row],[Seconds of Use]]*100)</f>
        <v>15.398677443056577</v>
      </c>
    </row>
    <row r="3118" spans="1:18" x14ac:dyDescent="0.35">
      <c r="A3118" s="3" t="s">
        <v>3139</v>
      </c>
      <c r="B3118">
        <v>5</v>
      </c>
      <c r="C3118">
        <v>0</v>
      </c>
      <c r="D3118">
        <v>39</v>
      </c>
      <c r="E3118">
        <v>0</v>
      </c>
      <c r="F3118">
        <v>1180</v>
      </c>
      <c r="G3118">
        <v>20</v>
      </c>
      <c r="H3118">
        <v>7</v>
      </c>
      <c r="I3118">
        <v>13</v>
      </c>
      <c r="J3118">
        <v>2</v>
      </c>
      <c r="K3118">
        <v>1</v>
      </c>
      <c r="L3118">
        <v>2</v>
      </c>
      <c r="M3118">
        <v>25</v>
      </c>
      <c r="N3118">
        <v>85.5</v>
      </c>
      <c r="O3118">
        <v>0</v>
      </c>
      <c r="P311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18" t="str">
        <f>IF(Table1[[#This Row],[Fraud_Score]]&gt;=6, "High Risk",IF(Table1[[#This Row],[Fraud_Score]]&gt;=3, "Medium Risk", "Low Risk"))</f>
        <v>Low Risk</v>
      </c>
      <c r="R3118">
        <f>IF(Table1[[#This Row],[Seconds of Use]]=0,0,Table1[[#This Row],[Customer Value]]/Table1[[#This Row],[Seconds of Use]]*100)</f>
        <v>7.2457627118644066</v>
      </c>
    </row>
    <row r="3119" spans="1:18" x14ac:dyDescent="0.35">
      <c r="A3119" s="3" t="s">
        <v>3140</v>
      </c>
      <c r="B3119">
        <v>7</v>
      </c>
      <c r="C3119">
        <v>0</v>
      </c>
      <c r="D3119">
        <v>40</v>
      </c>
      <c r="E3119">
        <v>0</v>
      </c>
      <c r="F3119">
        <v>1015</v>
      </c>
      <c r="G3119">
        <v>20</v>
      </c>
      <c r="H3119">
        <v>20</v>
      </c>
      <c r="I3119">
        <v>10</v>
      </c>
      <c r="J3119">
        <v>3</v>
      </c>
      <c r="K3119">
        <v>1</v>
      </c>
      <c r="L3119">
        <v>2</v>
      </c>
      <c r="M3119">
        <v>30</v>
      </c>
      <c r="N3119">
        <v>121.4</v>
      </c>
      <c r="O3119">
        <v>0</v>
      </c>
      <c r="P311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19" t="str">
        <f>IF(Table1[[#This Row],[Fraud_Score]]&gt;=6, "High Risk",IF(Table1[[#This Row],[Fraud_Score]]&gt;=3, "Medium Risk", "Low Risk"))</f>
        <v>Low Risk</v>
      </c>
      <c r="R3119">
        <f>IF(Table1[[#This Row],[Seconds of Use]]=0,0,Table1[[#This Row],[Customer Value]]/Table1[[#This Row],[Seconds of Use]]*100)</f>
        <v>11.960591133004925</v>
      </c>
    </row>
    <row r="3120" spans="1:18" x14ac:dyDescent="0.35">
      <c r="A3120" s="3" t="s">
        <v>3141</v>
      </c>
      <c r="B3120">
        <v>5</v>
      </c>
      <c r="C3120">
        <v>0</v>
      </c>
      <c r="D3120">
        <v>39</v>
      </c>
      <c r="E3120">
        <v>0</v>
      </c>
      <c r="F3120">
        <v>305</v>
      </c>
      <c r="G3120">
        <v>6</v>
      </c>
      <c r="H3120">
        <v>7</v>
      </c>
      <c r="I3120">
        <v>2</v>
      </c>
      <c r="J3120">
        <v>2</v>
      </c>
      <c r="K3120">
        <v>1</v>
      </c>
      <c r="L3120">
        <v>2</v>
      </c>
      <c r="M3120">
        <v>25</v>
      </c>
      <c r="N3120">
        <v>45.494999999999997</v>
      </c>
      <c r="O3120">
        <v>1</v>
      </c>
      <c r="P312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20" t="str">
        <f>IF(Table1[[#This Row],[Fraud_Score]]&gt;=6, "High Risk",IF(Table1[[#This Row],[Fraud_Score]]&gt;=3, "Medium Risk", "Low Risk"))</f>
        <v>Low Risk</v>
      </c>
      <c r="R3120">
        <f>IF(Table1[[#This Row],[Seconds of Use]]=0,0,Table1[[#This Row],[Customer Value]]/Table1[[#This Row],[Seconds of Use]]*100)</f>
        <v>14.916393442622949</v>
      </c>
    </row>
    <row r="3121" spans="1:18" x14ac:dyDescent="0.35">
      <c r="A3121" s="3" t="s">
        <v>3142</v>
      </c>
      <c r="B3121">
        <v>8</v>
      </c>
      <c r="C3121">
        <v>0</v>
      </c>
      <c r="D3121">
        <v>39</v>
      </c>
      <c r="E3121">
        <v>1</v>
      </c>
      <c r="F3121">
        <v>7813</v>
      </c>
      <c r="G3121">
        <v>133</v>
      </c>
      <c r="H3121">
        <v>391</v>
      </c>
      <c r="I3121">
        <v>45</v>
      </c>
      <c r="J3121">
        <v>3</v>
      </c>
      <c r="K3121">
        <v>1</v>
      </c>
      <c r="L3121">
        <v>1</v>
      </c>
      <c r="M3121">
        <v>30</v>
      </c>
      <c r="N3121">
        <v>1881.84</v>
      </c>
      <c r="O3121">
        <v>0</v>
      </c>
      <c r="P312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21" t="str">
        <f>IF(Table1[[#This Row],[Fraud_Score]]&gt;=6, "High Risk",IF(Table1[[#This Row],[Fraud_Score]]&gt;=3, "Medium Risk", "Low Risk"))</f>
        <v>Low Risk</v>
      </c>
      <c r="R3121">
        <f>IF(Table1[[#This Row],[Seconds of Use]]=0,0,Table1[[#This Row],[Customer Value]]/Table1[[#This Row],[Seconds of Use]]*100)</f>
        <v>24.086010495328296</v>
      </c>
    </row>
    <row r="3122" spans="1:18" x14ac:dyDescent="0.35">
      <c r="A3122" s="3" t="s">
        <v>3143</v>
      </c>
      <c r="B3122">
        <v>12</v>
      </c>
      <c r="C3122">
        <v>0</v>
      </c>
      <c r="D3122">
        <v>39</v>
      </c>
      <c r="E3122">
        <v>2</v>
      </c>
      <c r="F3122">
        <v>11770</v>
      </c>
      <c r="G3122">
        <v>160</v>
      </c>
      <c r="H3122">
        <v>18</v>
      </c>
      <c r="I3122">
        <v>49</v>
      </c>
      <c r="J3122">
        <v>4</v>
      </c>
      <c r="K3122">
        <v>1</v>
      </c>
      <c r="L3122">
        <v>1</v>
      </c>
      <c r="M3122">
        <v>45</v>
      </c>
      <c r="N3122">
        <v>343.25</v>
      </c>
      <c r="O3122">
        <v>0</v>
      </c>
      <c r="P312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122" t="str">
        <f>IF(Table1[[#This Row],[Fraud_Score]]&gt;=6, "High Risk",IF(Table1[[#This Row],[Fraud_Score]]&gt;=3, "Medium Risk", "Low Risk"))</f>
        <v>Medium Risk</v>
      </c>
      <c r="R3122">
        <f>IF(Table1[[#This Row],[Seconds of Use]]=0,0,Table1[[#This Row],[Customer Value]]/Table1[[#This Row],[Seconds of Use]]*100)</f>
        <v>2.9163126593033133</v>
      </c>
    </row>
    <row r="3123" spans="1:18" x14ac:dyDescent="0.35">
      <c r="A3123" s="3" t="s">
        <v>3144</v>
      </c>
      <c r="B3123">
        <v>13</v>
      </c>
      <c r="C3123">
        <v>0</v>
      </c>
      <c r="D3123">
        <v>39</v>
      </c>
      <c r="E3123">
        <v>2</v>
      </c>
      <c r="F3123">
        <v>7023</v>
      </c>
      <c r="G3123">
        <v>81</v>
      </c>
      <c r="H3123">
        <v>115</v>
      </c>
      <c r="I3123">
        <v>39</v>
      </c>
      <c r="J3123">
        <v>2</v>
      </c>
      <c r="K3123">
        <v>1</v>
      </c>
      <c r="L3123">
        <v>1</v>
      </c>
      <c r="M3123">
        <v>25</v>
      </c>
      <c r="N3123">
        <v>837.18</v>
      </c>
      <c r="O3123">
        <v>0</v>
      </c>
      <c r="P312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23" t="str">
        <f>IF(Table1[[#This Row],[Fraud_Score]]&gt;=6, "High Risk",IF(Table1[[#This Row],[Fraud_Score]]&gt;=3, "Medium Risk", "Low Risk"))</f>
        <v>Low Risk</v>
      </c>
      <c r="R3123">
        <f>IF(Table1[[#This Row],[Seconds of Use]]=0,0,Table1[[#This Row],[Customer Value]]/Table1[[#This Row],[Seconds of Use]]*100)</f>
        <v>11.920546774882528</v>
      </c>
    </row>
    <row r="3124" spans="1:18" x14ac:dyDescent="0.35">
      <c r="A3124" s="3" t="s">
        <v>3145</v>
      </c>
      <c r="B3124">
        <v>28</v>
      </c>
      <c r="C3124">
        <v>1</v>
      </c>
      <c r="D3124">
        <v>35</v>
      </c>
      <c r="E3124">
        <v>0</v>
      </c>
      <c r="F3124">
        <v>1260</v>
      </c>
      <c r="G3124">
        <v>53</v>
      </c>
      <c r="H3124">
        <v>23</v>
      </c>
      <c r="I3124">
        <v>19</v>
      </c>
      <c r="J3124">
        <v>3</v>
      </c>
      <c r="K3124">
        <v>1</v>
      </c>
      <c r="L3124">
        <v>2</v>
      </c>
      <c r="M3124">
        <v>30</v>
      </c>
      <c r="N3124">
        <v>144.52000000000001</v>
      </c>
      <c r="O3124">
        <v>1</v>
      </c>
      <c r="P312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124" t="str">
        <f>IF(Table1[[#This Row],[Fraud_Score]]&gt;=6, "High Risk",IF(Table1[[#This Row],[Fraud_Score]]&gt;=3, "Medium Risk", "Low Risk"))</f>
        <v>Medium Risk</v>
      </c>
      <c r="R3124">
        <f>IF(Table1[[#This Row],[Seconds of Use]]=0,0,Table1[[#This Row],[Customer Value]]/Table1[[#This Row],[Seconds of Use]]*100)</f>
        <v>11.46984126984127</v>
      </c>
    </row>
    <row r="3125" spans="1:18" x14ac:dyDescent="0.35">
      <c r="A3125" s="3" t="s">
        <v>3146</v>
      </c>
      <c r="B3125">
        <v>26</v>
      </c>
      <c r="C3125">
        <v>0</v>
      </c>
      <c r="D3125">
        <v>38</v>
      </c>
      <c r="E3125">
        <v>9</v>
      </c>
      <c r="F3125">
        <v>10740</v>
      </c>
      <c r="G3125">
        <v>99</v>
      </c>
      <c r="H3125">
        <v>8</v>
      </c>
      <c r="I3125">
        <v>44</v>
      </c>
      <c r="J3125">
        <v>5</v>
      </c>
      <c r="K3125">
        <v>2</v>
      </c>
      <c r="L3125">
        <v>1</v>
      </c>
      <c r="M3125">
        <v>55</v>
      </c>
      <c r="N3125">
        <v>174.58500000000001</v>
      </c>
      <c r="O3125">
        <v>0</v>
      </c>
      <c r="P312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25" t="str">
        <f>IF(Table1[[#This Row],[Fraud_Score]]&gt;=6, "High Risk",IF(Table1[[#This Row],[Fraud_Score]]&gt;=3, "Medium Risk", "Low Risk"))</f>
        <v>Low Risk</v>
      </c>
      <c r="R3125">
        <f>IF(Table1[[#This Row],[Seconds of Use]]=0,0,Table1[[#This Row],[Customer Value]]/Table1[[#This Row],[Seconds of Use]]*100)</f>
        <v>1.625558659217877</v>
      </c>
    </row>
    <row r="3126" spans="1:18" x14ac:dyDescent="0.35">
      <c r="A3126" s="3" t="s">
        <v>3147</v>
      </c>
      <c r="B3126">
        <v>18</v>
      </c>
      <c r="C3126">
        <v>0</v>
      </c>
      <c r="D3126">
        <v>38</v>
      </c>
      <c r="E3126">
        <v>2</v>
      </c>
      <c r="F3126">
        <v>6123</v>
      </c>
      <c r="G3126">
        <v>104</v>
      </c>
      <c r="H3126">
        <v>33</v>
      </c>
      <c r="I3126">
        <v>26</v>
      </c>
      <c r="J3126">
        <v>2</v>
      </c>
      <c r="K3126">
        <v>1</v>
      </c>
      <c r="L3126">
        <v>1</v>
      </c>
      <c r="M3126">
        <v>25</v>
      </c>
      <c r="N3126">
        <v>428.71499999999997</v>
      </c>
      <c r="O3126">
        <v>0</v>
      </c>
      <c r="P312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26" t="str">
        <f>IF(Table1[[#This Row],[Fraud_Score]]&gt;=6, "High Risk",IF(Table1[[#This Row],[Fraud_Score]]&gt;=3, "Medium Risk", "Low Risk"))</f>
        <v>Low Risk</v>
      </c>
      <c r="R3126">
        <f>IF(Table1[[#This Row],[Seconds of Use]]=0,0,Table1[[#This Row],[Customer Value]]/Table1[[#This Row],[Seconds of Use]]*100)</f>
        <v>7.0017148456638898</v>
      </c>
    </row>
    <row r="3127" spans="1:18" x14ac:dyDescent="0.35">
      <c r="A3127" s="3" t="s">
        <v>3148</v>
      </c>
      <c r="B3127">
        <v>6</v>
      </c>
      <c r="C3127">
        <v>0</v>
      </c>
      <c r="D3127">
        <v>36</v>
      </c>
      <c r="E3127">
        <v>1</v>
      </c>
      <c r="F3127">
        <v>3145</v>
      </c>
      <c r="G3127">
        <v>28</v>
      </c>
      <c r="H3127">
        <v>7</v>
      </c>
      <c r="I3127">
        <v>16</v>
      </c>
      <c r="J3127">
        <v>3</v>
      </c>
      <c r="K3127">
        <v>1</v>
      </c>
      <c r="L3127">
        <v>1</v>
      </c>
      <c r="M3127">
        <v>30</v>
      </c>
      <c r="N3127">
        <v>154.91999999999999</v>
      </c>
      <c r="O3127">
        <v>0</v>
      </c>
      <c r="P312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27" t="str">
        <f>IF(Table1[[#This Row],[Fraud_Score]]&gt;=6, "High Risk",IF(Table1[[#This Row],[Fraud_Score]]&gt;=3, "Medium Risk", "Low Risk"))</f>
        <v>Low Risk</v>
      </c>
      <c r="R3127">
        <f>IF(Table1[[#This Row],[Seconds of Use]]=0,0,Table1[[#This Row],[Customer Value]]/Table1[[#This Row],[Seconds of Use]]*100)</f>
        <v>4.9259141494435612</v>
      </c>
    </row>
    <row r="3128" spans="1:18" x14ac:dyDescent="0.35">
      <c r="A3128" s="3" t="s">
        <v>3149</v>
      </c>
      <c r="B3128">
        <v>14</v>
      </c>
      <c r="C3128">
        <v>1</v>
      </c>
      <c r="D3128">
        <v>37</v>
      </c>
      <c r="E3128">
        <v>0</v>
      </c>
      <c r="F3128">
        <v>3295</v>
      </c>
      <c r="G3128">
        <v>47</v>
      </c>
      <c r="H3128">
        <v>16</v>
      </c>
      <c r="I3128">
        <v>18</v>
      </c>
      <c r="J3128">
        <v>3</v>
      </c>
      <c r="K3128">
        <v>1</v>
      </c>
      <c r="L3128">
        <v>2</v>
      </c>
      <c r="M3128">
        <v>30</v>
      </c>
      <c r="N3128">
        <v>197.68</v>
      </c>
      <c r="O3128">
        <v>1</v>
      </c>
      <c r="P312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128" t="str">
        <f>IF(Table1[[#This Row],[Fraud_Score]]&gt;=6, "High Risk",IF(Table1[[#This Row],[Fraud_Score]]&gt;=3, "Medium Risk", "Low Risk"))</f>
        <v>Medium Risk</v>
      </c>
      <c r="R3128">
        <f>IF(Table1[[#This Row],[Seconds of Use]]=0,0,Table1[[#This Row],[Customer Value]]/Table1[[#This Row],[Seconds of Use]]*100)</f>
        <v>5.9993930197268588</v>
      </c>
    </row>
    <row r="3129" spans="1:18" x14ac:dyDescent="0.35">
      <c r="A3129" s="3" t="s">
        <v>3150</v>
      </c>
      <c r="B3129">
        <v>14</v>
      </c>
      <c r="C3129">
        <v>1</v>
      </c>
      <c r="D3129">
        <v>38</v>
      </c>
      <c r="E3129">
        <v>0</v>
      </c>
      <c r="F3129">
        <v>2573</v>
      </c>
      <c r="G3129">
        <v>50</v>
      </c>
      <c r="H3129">
        <v>41</v>
      </c>
      <c r="I3129">
        <v>33</v>
      </c>
      <c r="J3129">
        <v>4</v>
      </c>
      <c r="K3129">
        <v>1</v>
      </c>
      <c r="L3129">
        <v>2</v>
      </c>
      <c r="M3129">
        <v>45</v>
      </c>
      <c r="N3129">
        <v>168.07499999999999</v>
      </c>
      <c r="O3129">
        <v>1</v>
      </c>
      <c r="P312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129" t="str">
        <f>IF(Table1[[#This Row],[Fraud_Score]]&gt;=6, "High Risk",IF(Table1[[#This Row],[Fraud_Score]]&gt;=3, "Medium Risk", "Low Risk"))</f>
        <v>Medium Risk</v>
      </c>
      <c r="R3129">
        <f>IF(Table1[[#This Row],[Seconds of Use]]=0,0,Table1[[#This Row],[Customer Value]]/Table1[[#This Row],[Seconds of Use]]*100)</f>
        <v>6.532258064516129</v>
      </c>
    </row>
    <row r="3130" spans="1:18" x14ac:dyDescent="0.35">
      <c r="A3130" s="3" t="s">
        <v>3151</v>
      </c>
      <c r="B3130">
        <v>5</v>
      </c>
      <c r="C3130">
        <v>0</v>
      </c>
      <c r="D3130">
        <v>38</v>
      </c>
      <c r="E3130">
        <v>0</v>
      </c>
      <c r="F3130">
        <v>438</v>
      </c>
      <c r="G3130">
        <v>8</v>
      </c>
      <c r="H3130">
        <v>7</v>
      </c>
      <c r="I3130">
        <v>4</v>
      </c>
      <c r="J3130">
        <v>3</v>
      </c>
      <c r="K3130">
        <v>1</v>
      </c>
      <c r="L3130">
        <v>2</v>
      </c>
      <c r="M3130">
        <v>30</v>
      </c>
      <c r="N3130">
        <v>45.84</v>
      </c>
      <c r="O3130">
        <v>1</v>
      </c>
      <c r="P313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30" t="str">
        <f>IF(Table1[[#This Row],[Fraud_Score]]&gt;=6, "High Risk",IF(Table1[[#This Row],[Fraud_Score]]&gt;=3, "Medium Risk", "Low Risk"))</f>
        <v>Low Risk</v>
      </c>
      <c r="R3130">
        <f>IF(Table1[[#This Row],[Seconds of Use]]=0,0,Table1[[#This Row],[Customer Value]]/Table1[[#This Row],[Seconds of Use]]*100)</f>
        <v>10.465753424657535</v>
      </c>
    </row>
    <row r="3131" spans="1:18" x14ac:dyDescent="0.35">
      <c r="A3131" s="3" t="s">
        <v>3152</v>
      </c>
      <c r="B3131">
        <v>6</v>
      </c>
      <c r="C3131">
        <v>0</v>
      </c>
      <c r="D3131">
        <v>38</v>
      </c>
      <c r="E3131">
        <v>1</v>
      </c>
      <c r="F3131">
        <v>1973</v>
      </c>
      <c r="G3131">
        <v>31</v>
      </c>
      <c r="H3131">
        <v>7</v>
      </c>
      <c r="I3131">
        <v>8</v>
      </c>
      <c r="J3131">
        <v>4</v>
      </c>
      <c r="K3131">
        <v>1</v>
      </c>
      <c r="L3131">
        <v>1</v>
      </c>
      <c r="M3131">
        <v>45</v>
      </c>
      <c r="N3131">
        <v>67.599999999999994</v>
      </c>
      <c r="O3131">
        <v>0</v>
      </c>
      <c r="P313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31" t="str">
        <f>IF(Table1[[#This Row],[Fraud_Score]]&gt;=6, "High Risk",IF(Table1[[#This Row],[Fraud_Score]]&gt;=3, "Medium Risk", "Low Risk"))</f>
        <v>Low Risk</v>
      </c>
      <c r="R3131">
        <f>IF(Table1[[#This Row],[Seconds of Use]]=0,0,Table1[[#This Row],[Customer Value]]/Table1[[#This Row],[Seconds of Use]]*100)</f>
        <v>3.4262544348707547</v>
      </c>
    </row>
    <row r="3132" spans="1:18" x14ac:dyDescent="0.35">
      <c r="A3132" s="3" t="s">
        <v>3153</v>
      </c>
      <c r="B3132">
        <v>8</v>
      </c>
      <c r="C3132">
        <v>0</v>
      </c>
      <c r="D3132">
        <v>35</v>
      </c>
      <c r="E3132">
        <v>2</v>
      </c>
      <c r="F3132">
        <v>7090</v>
      </c>
      <c r="G3132">
        <v>103</v>
      </c>
      <c r="H3132">
        <v>21</v>
      </c>
      <c r="I3132">
        <v>24</v>
      </c>
      <c r="J3132">
        <v>5</v>
      </c>
      <c r="K3132">
        <v>1</v>
      </c>
      <c r="L3132">
        <v>1</v>
      </c>
      <c r="M3132">
        <v>55</v>
      </c>
      <c r="N3132">
        <v>139.39500000000001</v>
      </c>
      <c r="O3132">
        <v>0</v>
      </c>
      <c r="P313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32" t="str">
        <f>IF(Table1[[#This Row],[Fraud_Score]]&gt;=6, "High Risk",IF(Table1[[#This Row],[Fraud_Score]]&gt;=3, "Medium Risk", "Low Risk"))</f>
        <v>Low Risk</v>
      </c>
      <c r="R3132">
        <f>IF(Table1[[#This Row],[Seconds of Use]]=0,0,Table1[[#This Row],[Customer Value]]/Table1[[#This Row],[Seconds of Use]]*100)</f>
        <v>1.9660789844851905</v>
      </c>
    </row>
    <row r="3133" spans="1:18" x14ac:dyDescent="0.35">
      <c r="A3133" s="3" t="s">
        <v>3154</v>
      </c>
      <c r="B3133">
        <v>5</v>
      </c>
      <c r="C3133">
        <v>1</v>
      </c>
      <c r="D3133">
        <v>38</v>
      </c>
      <c r="E3133">
        <v>0</v>
      </c>
      <c r="F3133">
        <v>933</v>
      </c>
      <c r="G3133">
        <v>13</v>
      </c>
      <c r="H3133">
        <v>16</v>
      </c>
      <c r="I3133">
        <v>6</v>
      </c>
      <c r="J3133">
        <v>4</v>
      </c>
      <c r="K3133">
        <v>1</v>
      </c>
      <c r="L3133">
        <v>2</v>
      </c>
      <c r="M3133">
        <v>45</v>
      </c>
      <c r="N3133">
        <v>63.65</v>
      </c>
      <c r="O3133">
        <v>1</v>
      </c>
      <c r="P313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133" t="str">
        <f>IF(Table1[[#This Row],[Fraud_Score]]&gt;=6, "High Risk",IF(Table1[[#This Row],[Fraud_Score]]&gt;=3, "Medium Risk", "Low Risk"))</f>
        <v>Medium Risk</v>
      </c>
      <c r="R3133">
        <f>IF(Table1[[#This Row],[Seconds of Use]]=0,0,Table1[[#This Row],[Customer Value]]/Table1[[#This Row],[Seconds of Use]]*100)</f>
        <v>6.8220793140407281</v>
      </c>
    </row>
    <row r="3134" spans="1:18" x14ac:dyDescent="0.35">
      <c r="A3134" s="3" t="s">
        <v>3155</v>
      </c>
      <c r="B3134">
        <v>5</v>
      </c>
      <c r="C3134">
        <v>0</v>
      </c>
      <c r="D3134">
        <v>38</v>
      </c>
      <c r="E3134">
        <v>2</v>
      </c>
      <c r="F3134">
        <v>643</v>
      </c>
      <c r="G3134">
        <v>10</v>
      </c>
      <c r="H3134">
        <v>11</v>
      </c>
      <c r="I3134">
        <v>4</v>
      </c>
      <c r="J3134">
        <v>5</v>
      </c>
      <c r="K3134">
        <v>1</v>
      </c>
      <c r="L3134">
        <v>1</v>
      </c>
      <c r="M3134">
        <v>55</v>
      </c>
      <c r="N3134">
        <v>26.295000000000002</v>
      </c>
      <c r="O3134">
        <v>0</v>
      </c>
      <c r="P313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34" t="str">
        <f>IF(Table1[[#This Row],[Fraud_Score]]&gt;=6, "High Risk",IF(Table1[[#This Row],[Fraud_Score]]&gt;=3, "Medium Risk", "Low Risk"))</f>
        <v>Low Risk</v>
      </c>
      <c r="R3134">
        <f>IF(Table1[[#This Row],[Seconds of Use]]=0,0,Table1[[#This Row],[Customer Value]]/Table1[[#This Row],[Seconds of Use]]*100)</f>
        <v>4.0894245723172631</v>
      </c>
    </row>
    <row r="3135" spans="1:18" x14ac:dyDescent="0.35">
      <c r="A3135" s="3" t="s">
        <v>3156</v>
      </c>
      <c r="B3135">
        <v>30</v>
      </c>
      <c r="C3135">
        <v>0</v>
      </c>
      <c r="D3135">
        <v>33</v>
      </c>
      <c r="E3135">
        <v>4</v>
      </c>
      <c r="F3135">
        <v>16380</v>
      </c>
      <c r="G3135">
        <v>244</v>
      </c>
      <c r="H3135">
        <v>7</v>
      </c>
      <c r="I3135">
        <v>82</v>
      </c>
      <c r="J3135">
        <v>2</v>
      </c>
      <c r="K3135">
        <v>2</v>
      </c>
      <c r="L3135">
        <v>1</v>
      </c>
      <c r="M3135">
        <v>25</v>
      </c>
      <c r="N3135">
        <v>779.58</v>
      </c>
      <c r="O3135">
        <v>0</v>
      </c>
      <c r="P313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5</v>
      </c>
      <c r="Q3135" t="str">
        <f>IF(Table1[[#This Row],[Fraud_Score]]&gt;=6, "High Risk",IF(Table1[[#This Row],[Fraud_Score]]&gt;=3, "Medium Risk", "Low Risk"))</f>
        <v>Medium Risk</v>
      </c>
      <c r="R3135">
        <f>IF(Table1[[#This Row],[Seconds of Use]]=0,0,Table1[[#This Row],[Customer Value]]/Table1[[#This Row],[Seconds of Use]]*100)</f>
        <v>4.7593406593406593</v>
      </c>
    </row>
    <row r="3136" spans="1:18" x14ac:dyDescent="0.35">
      <c r="A3136" s="3" t="s">
        <v>3157</v>
      </c>
      <c r="B3136">
        <v>11</v>
      </c>
      <c r="C3136">
        <v>0</v>
      </c>
      <c r="D3136">
        <v>36</v>
      </c>
      <c r="E3136">
        <v>4</v>
      </c>
      <c r="F3136">
        <v>7270</v>
      </c>
      <c r="G3136">
        <v>122</v>
      </c>
      <c r="H3136">
        <v>278</v>
      </c>
      <c r="I3136">
        <v>35</v>
      </c>
      <c r="J3136">
        <v>3</v>
      </c>
      <c r="K3136">
        <v>2</v>
      </c>
      <c r="L3136">
        <v>1</v>
      </c>
      <c r="M3136">
        <v>30</v>
      </c>
      <c r="N3136">
        <v>1407.68</v>
      </c>
      <c r="O3136">
        <v>0</v>
      </c>
      <c r="P313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36" t="str">
        <f>IF(Table1[[#This Row],[Fraud_Score]]&gt;=6, "High Risk",IF(Table1[[#This Row],[Fraud_Score]]&gt;=3, "Medium Risk", "Low Risk"))</f>
        <v>Low Risk</v>
      </c>
      <c r="R3136">
        <f>IF(Table1[[#This Row],[Seconds of Use]]=0,0,Table1[[#This Row],[Customer Value]]/Table1[[#This Row],[Seconds of Use]]*100)</f>
        <v>19.362861072902341</v>
      </c>
    </row>
    <row r="3137" spans="1:18" x14ac:dyDescent="0.35">
      <c r="A3137" s="3" t="s">
        <v>3158</v>
      </c>
      <c r="B3137">
        <v>7</v>
      </c>
      <c r="C3137">
        <v>0</v>
      </c>
      <c r="D3137">
        <v>38</v>
      </c>
      <c r="E3137">
        <v>1</v>
      </c>
      <c r="F3137">
        <v>4023</v>
      </c>
      <c r="G3137">
        <v>88</v>
      </c>
      <c r="H3137">
        <v>9</v>
      </c>
      <c r="I3137">
        <v>30</v>
      </c>
      <c r="J3137">
        <v>3</v>
      </c>
      <c r="K3137">
        <v>1</v>
      </c>
      <c r="L3137">
        <v>1</v>
      </c>
      <c r="M3137">
        <v>30</v>
      </c>
      <c r="N3137">
        <v>200.44</v>
      </c>
      <c r="O3137">
        <v>0</v>
      </c>
      <c r="P313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37" t="str">
        <f>IF(Table1[[#This Row],[Fraud_Score]]&gt;=6, "High Risk",IF(Table1[[#This Row],[Fraud_Score]]&gt;=3, "Medium Risk", "Low Risk"))</f>
        <v>Low Risk</v>
      </c>
      <c r="R3137">
        <f>IF(Table1[[#This Row],[Seconds of Use]]=0,0,Table1[[#This Row],[Customer Value]]/Table1[[#This Row],[Seconds of Use]]*100)</f>
        <v>4.9823514789957741</v>
      </c>
    </row>
    <row r="3138" spans="1:18" x14ac:dyDescent="0.35">
      <c r="A3138" s="3" t="s">
        <v>3159</v>
      </c>
      <c r="B3138">
        <v>8</v>
      </c>
      <c r="C3138">
        <v>0</v>
      </c>
      <c r="D3138">
        <v>37</v>
      </c>
      <c r="E3138">
        <v>0</v>
      </c>
      <c r="F3138">
        <v>1970</v>
      </c>
      <c r="G3138">
        <v>50</v>
      </c>
      <c r="H3138">
        <v>45</v>
      </c>
      <c r="I3138">
        <v>22</v>
      </c>
      <c r="J3138">
        <v>3</v>
      </c>
      <c r="K3138">
        <v>1</v>
      </c>
      <c r="L3138">
        <v>2</v>
      </c>
      <c r="M3138">
        <v>30</v>
      </c>
      <c r="N3138">
        <v>260.8</v>
      </c>
      <c r="O3138">
        <v>0</v>
      </c>
      <c r="P313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38" t="str">
        <f>IF(Table1[[#This Row],[Fraud_Score]]&gt;=6, "High Risk",IF(Table1[[#This Row],[Fraud_Score]]&gt;=3, "Medium Risk", "Low Risk"))</f>
        <v>Low Risk</v>
      </c>
      <c r="R3138">
        <f>IF(Table1[[#This Row],[Seconds of Use]]=0,0,Table1[[#This Row],[Customer Value]]/Table1[[#This Row],[Seconds of Use]]*100)</f>
        <v>13.238578680203048</v>
      </c>
    </row>
    <row r="3139" spans="1:18" x14ac:dyDescent="0.35">
      <c r="A3139" s="3" t="s">
        <v>3160</v>
      </c>
      <c r="B3139">
        <v>11</v>
      </c>
      <c r="C3139">
        <v>0</v>
      </c>
      <c r="D3139">
        <v>38</v>
      </c>
      <c r="E3139">
        <v>1</v>
      </c>
      <c r="F3139">
        <v>3085</v>
      </c>
      <c r="G3139">
        <v>59</v>
      </c>
      <c r="H3139">
        <v>182</v>
      </c>
      <c r="I3139">
        <v>25</v>
      </c>
      <c r="J3139">
        <v>2</v>
      </c>
      <c r="K3139">
        <v>1</v>
      </c>
      <c r="L3139">
        <v>1</v>
      </c>
      <c r="M3139">
        <v>25</v>
      </c>
      <c r="N3139">
        <v>960.48</v>
      </c>
      <c r="O3139">
        <v>0</v>
      </c>
      <c r="P313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39" t="str">
        <f>IF(Table1[[#This Row],[Fraud_Score]]&gt;=6, "High Risk",IF(Table1[[#This Row],[Fraud_Score]]&gt;=3, "Medium Risk", "Low Risk"))</f>
        <v>Low Risk</v>
      </c>
      <c r="R3139">
        <f>IF(Table1[[#This Row],[Seconds of Use]]=0,0,Table1[[#This Row],[Customer Value]]/Table1[[#This Row],[Seconds of Use]]*100)</f>
        <v>31.133873581847649</v>
      </c>
    </row>
    <row r="3140" spans="1:18" x14ac:dyDescent="0.35">
      <c r="A3140" s="3" t="s">
        <v>3161</v>
      </c>
      <c r="B3140">
        <v>9</v>
      </c>
      <c r="C3140">
        <v>0</v>
      </c>
      <c r="D3140">
        <v>29</v>
      </c>
      <c r="E3140">
        <v>2</v>
      </c>
      <c r="F3140">
        <v>1620</v>
      </c>
      <c r="G3140">
        <v>42</v>
      </c>
      <c r="H3140">
        <v>200</v>
      </c>
      <c r="I3140">
        <v>13</v>
      </c>
      <c r="J3140">
        <v>3</v>
      </c>
      <c r="K3140">
        <v>2</v>
      </c>
      <c r="L3140">
        <v>1</v>
      </c>
      <c r="M3140">
        <v>30</v>
      </c>
      <c r="N3140">
        <v>866.48</v>
      </c>
      <c r="O3140">
        <v>0</v>
      </c>
      <c r="P314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40" t="str">
        <f>IF(Table1[[#This Row],[Fraud_Score]]&gt;=6, "High Risk",IF(Table1[[#This Row],[Fraud_Score]]&gt;=3, "Medium Risk", "Low Risk"))</f>
        <v>Low Risk</v>
      </c>
      <c r="R3140">
        <f>IF(Table1[[#This Row],[Seconds of Use]]=0,0,Table1[[#This Row],[Customer Value]]/Table1[[#This Row],[Seconds of Use]]*100)</f>
        <v>53.486419753086423</v>
      </c>
    </row>
    <row r="3141" spans="1:18" x14ac:dyDescent="0.35">
      <c r="A3141" s="3" t="s">
        <v>3162</v>
      </c>
      <c r="B3141">
        <v>9</v>
      </c>
      <c r="C3141">
        <v>0</v>
      </c>
      <c r="D3141">
        <v>28</v>
      </c>
      <c r="E3141">
        <v>1</v>
      </c>
      <c r="F3141">
        <v>1873</v>
      </c>
      <c r="G3141">
        <v>45</v>
      </c>
      <c r="H3141">
        <v>37</v>
      </c>
      <c r="I3141">
        <v>70</v>
      </c>
      <c r="J3141">
        <v>5</v>
      </c>
      <c r="K3141">
        <v>1</v>
      </c>
      <c r="L3141">
        <v>1</v>
      </c>
      <c r="M3141">
        <v>55</v>
      </c>
      <c r="N3141">
        <v>84.27</v>
      </c>
      <c r="O3141">
        <v>0</v>
      </c>
      <c r="P314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41" t="str">
        <f>IF(Table1[[#This Row],[Fraud_Score]]&gt;=6, "High Risk",IF(Table1[[#This Row],[Fraud_Score]]&gt;=3, "Medium Risk", "Low Risk"))</f>
        <v>Low Risk</v>
      </c>
      <c r="R3141">
        <f>IF(Table1[[#This Row],[Seconds of Use]]=0,0,Table1[[#This Row],[Customer Value]]/Table1[[#This Row],[Seconds of Use]]*100)</f>
        <v>4.4991991457554725</v>
      </c>
    </row>
    <row r="3142" spans="1:18" x14ac:dyDescent="0.35">
      <c r="A3142" s="3" t="s">
        <v>3163</v>
      </c>
      <c r="B3142">
        <v>16</v>
      </c>
      <c r="C3142">
        <v>0</v>
      </c>
      <c r="D3142">
        <v>29</v>
      </c>
      <c r="E3142">
        <v>0</v>
      </c>
      <c r="F3142">
        <v>1005</v>
      </c>
      <c r="G3142">
        <v>31</v>
      </c>
      <c r="H3142">
        <v>17</v>
      </c>
      <c r="I3142">
        <v>9</v>
      </c>
      <c r="J3142">
        <v>3</v>
      </c>
      <c r="K3142">
        <v>1</v>
      </c>
      <c r="L3142">
        <v>2</v>
      </c>
      <c r="M3142">
        <v>30</v>
      </c>
      <c r="N3142">
        <v>109.44</v>
      </c>
      <c r="O3142">
        <v>0</v>
      </c>
      <c r="P3142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3</v>
      </c>
      <c r="Q3142" t="str">
        <f>IF(Table1[[#This Row],[Fraud_Score]]&gt;=6, "High Risk",IF(Table1[[#This Row],[Fraud_Score]]&gt;=3, "Medium Risk", "Low Risk"))</f>
        <v>Medium Risk</v>
      </c>
      <c r="R3142">
        <f>IF(Table1[[#This Row],[Seconds of Use]]=0,0,Table1[[#This Row],[Customer Value]]/Table1[[#This Row],[Seconds of Use]]*100)</f>
        <v>10.889552238805971</v>
      </c>
    </row>
    <row r="3143" spans="1:18" x14ac:dyDescent="0.35">
      <c r="A3143" s="3" t="s">
        <v>3164</v>
      </c>
      <c r="B3143">
        <v>5</v>
      </c>
      <c r="C3143">
        <v>0</v>
      </c>
      <c r="D3143">
        <v>28</v>
      </c>
      <c r="E3143">
        <v>0</v>
      </c>
      <c r="F3143">
        <v>1130</v>
      </c>
      <c r="G3143">
        <v>16</v>
      </c>
      <c r="H3143">
        <v>28</v>
      </c>
      <c r="I3143">
        <v>5</v>
      </c>
      <c r="J3143">
        <v>4</v>
      </c>
      <c r="K3143">
        <v>1</v>
      </c>
      <c r="L3143">
        <v>2</v>
      </c>
      <c r="M3143">
        <v>45</v>
      </c>
      <c r="N3143">
        <v>98.65</v>
      </c>
      <c r="O3143">
        <v>0</v>
      </c>
      <c r="P3143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1</v>
      </c>
      <c r="Q3143" t="str">
        <f>IF(Table1[[#This Row],[Fraud_Score]]&gt;=6, "High Risk",IF(Table1[[#This Row],[Fraud_Score]]&gt;=3, "Medium Risk", "Low Risk"))</f>
        <v>Low Risk</v>
      </c>
      <c r="R3143">
        <f>IF(Table1[[#This Row],[Seconds of Use]]=0,0,Table1[[#This Row],[Customer Value]]/Table1[[#This Row],[Seconds of Use]]*100)</f>
        <v>8.730088495575222</v>
      </c>
    </row>
    <row r="3144" spans="1:18" x14ac:dyDescent="0.35">
      <c r="A3144" s="3" t="s">
        <v>3165</v>
      </c>
      <c r="B3144">
        <v>15</v>
      </c>
      <c r="C3144">
        <v>0</v>
      </c>
      <c r="D3144">
        <v>27</v>
      </c>
      <c r="E3144">
        <v>1</v>
      </c>
      <c r="F3144">
        <v>1530</v>
      </c>
      <c r="G3144">
        <v>38</v>
      </c>
      <c r="H3144">
        <v>26</v>
      </c>
      <c r="I3144">
        <v>15</v>
      </c>
      <c r="J3144">
        <v>2</v>
      </c>
      <c r="K3144">
        <v>1</v>
      </c>
      <c r="L3144">
        <v>1</v>
      </c>
      <c r="M3144">
        <v>25</v>
      </c>
      <c r="N3144">
        <v>187.56</v>
      </c>
      <c r="O3144">
        <v>0</v>
      </c>
      <c r="P3144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44" t="str">
        <f>IF(Table1[[#This Row],[Fraud_Score]]&gt;=6, "High Risk",IF(Table1[[#This Row],[Fraud_Score]]&gt;=3, "Medium Risk", "Low Risk"))</f>
        <v>Low Risk</v>
      </c>
      <c r="R3144">
        <f>IF(Table1[[#This Row],[Seconds of Use]]=0,0,Table1[[#This Row],[Customer Value]]/Table1[[#This Row],[Seconds of Use]]*100)</f>
        <v>12.258823529411766</v>
      </c>
    </row>
    <row r="3145" spans="1:18" x14ac:dyDescent="0.35">
      <c r="A3145" s="3" t="s">
        <v>3166</v>
      </c>
      <c r="B3145">
        <v>7</v>
      </c>
      <c r="C3145">
        <v>0</v>
      </c>
      <c r="D3145">
        <v>27</v>
      </c>
      <c r="E3145">
        <v>1</v>
      </c>
      <c r="F3145">
        <v>3530</v>
      </c>
      <c r="G3145">
        <v>67</v>
      </c>
      <c r="H3145">
        <v>15</v>
      </c>
      <c r="I3145">
        <v>25</v>
      </c>
      <c r="J3145">
        <v>3</v>
      </c>
      <c r="K3145">
        <v>1</v>
      </c>
      <c r="L3145">
        <v>1</v>
      </c>
      <c r="M3145">
        <v>30</v>
      </c>
      <c r="N3145">
        <v>203.88</v>
      </c>
      <c r="O3145">
        <v>0</v>
      </c>
      <c r="P3145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45" t="str">
        <f>IF(Table1[[#This Row],[Fraud_Score]]&gt;=6, "High Risk",IF(Table1[[#This Row],[Fraud_Score]]&gt;=3, "Medium Risk", "Low Risk"))</f>
        <v>Low Risk</v>
      </c>
      <c r="R3145">
        <f>IF(Table1[[#This Row],[Seconds of Use]]=0,0,Table1[[#This Row],[Customer Value]]/Table1[[#This Row],[Seconds of Use]]*100)</f>
        <v>5.7756373937677052</v>
      </c>
    </row>
    <row r="3146" spans="1:18" x14ac:dyDescent="0.35">
      <c r="A3146" s="3" t="s">
        <v>3167</v>
      </c>
      <c r="B3146">
        <v>7</v>
      </c>
      <c r="C3146">
        <v>0</v>
      </c>
      <c r="D3146">
        <v>20</v>
      </c>
      <c r="E3146">
        <v>1</v>
      </c>
      <c r="F3146">
        <v>2000</v>
      </c>
      <c r="G3146">
        <v>32</v>
      </c>
      <c r="H3146">
        <v>35</v>
      </c>
      <c r="I3146">
        <v>16</v>
      </c>
      <c r="J3146">
        <v>3</v>
      </c>
      <c r="K3146">
        <v>1</v>
      </c>
      <c r="L3146">
        <v>1</v>
      </c>
      <c r="M3146">
        <v>30</v>
      </c>
      <c r="N3146">
        <v>221.28</v>
      </c>
      <c r="O3146">
        <v>0</v>
      </c>
      <c r="P3146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46" t="str">
        <f>IF(Table1[[#This Row],[Fraud_Score]]&gt;=6, "High Risk",IF(Table1[[#This Row],[Fraud_Score]]&gt;=3, "Medium Risk", "Low Risk"))</f>
        <v>Low Risk</v>
      </c>
      <c r="R3146">
        <f>IF(Table1[[#This Row],[Seconds of Use]]=0,0,Table1[[#This Row],[Customer Value]]/Table1[[#This Row],[Seconds of Use]]*100)</f>
        <v>11.064</v>
      </c>
    </row>
    <row r="3147" spans="1:18" x14ac:dyDescent="0.35">
      <c r="A3147" s="3" t="s">
        <v>3168</v>
      </c>
      <c r="B3147">
        <v>21</v>
      </c>
      <c r="C3147">
        <v>0</v>
      </c>
      <c r="D3147">
        <v>19</v>
      </c>
      <c r="E3147">
        <v>2</v>
      </c>
      <c r="F3147">
        <v>6697</v>
      </c>
      <c r="G3147">
        <v>147</v>
      </c>
      <c r="H3147">
        <v>92</v>
      </c>
      <c r="I3147">
        <v>44</v>
      </c>
      <c r="J3147">
        <v>2</v>
      </c>
      <c r="K3147">
        <v>2</v>
      </c>
      <c r="L3147">
        <v>1</v>
      </c>
      <c r="M3147">
        <v>25</v>
      </c>
      <c r="N3147">
        <v>721.98</v>
      </c>
      <c r="O3147">
        <v>0</v>
      </c>
      <c r="P3147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147" t="str">
        <f>IF(Table1[[#This Row],[Fraud_Score]]&gt;=6, "High Risk",IF(Table1[[#This Row],[Fraud_Score]]&gt;=3, "Medium Risk", "Low Risk"))</f>
        <v>Medium Risk</v>
      </c>
      <c r="R3147">
        <f>IF(Table1[[#This Row],[Seconds of Use]]=0,0,Table1[[#This Row],[Customer Value]]/Table1[[#This Row],[Seconds of Use]]*100)</f>
        <v>10.780648051366283</v>
      </c>
    </row>
    <row r="3148" spans="1:18" x14ac:dyDescent="0.35">
      <c r="A3148" s="3" t="s">
        <v>3169</v>
      </c>
      <c r="B3148">
        <v>17</v>
      </c>
      <c r="C3148">
        <v>0</v>
      </c>
      <c r="D3148">
        <v>17</v>
      </c>
      <c r="E3148">
        <v>1</v>
      </c>
      <c r="F3148">
        <v>9237</v>
      </c>
      <c r="G3148">
        <v>177</v>
      </c>
      <c r="H3148">
        <v>80</v>
      </c>
      <c r="I3148">
        <v>42</v>
      </c>
      <c r="J3148">
        <v>5</v>
      </c>
      <c r="K3148">
        <v>1</v>
      </c>
      <c r="L3148">
        <v>1</v>
      </c>
      <c r="M3148">
        <v>55</v>
      </c>
      <c r="N3148">
        <v>261.20999999999998</v>
      </c>
      <c r="O3148">
        <v>0</v>
      </c>
      <c r="P3148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4</v>
      </c>
      <c r="Q3148" t="str">
        <f>IF(Table1[[#This Row],[Fraud_Score]]&gt;=6, "High Risk",IF(Table1[[#This Row],[Fraud_Score]]&gt;=3, "Medium Risk", "Low Risk"))</f>
        <v>Medium Risk</v>
      </c>
      <c r="R3148">
        <f>IF(Table1[[#This Row],[Seconds of Use]]=0,0,Table1[[#This Row],[Customer Value]]/Table1[[#This Row],[Seconds of Use]]*100)</f>
        <v>2.827866190321533</v>
      </c>
    </row>
    <row r="3149" spans="1:18" x14ac:dyDescent="0.35">
      <c r="A3149" s="3" t="s">
        <v>3170</v>
      </c>
      <c r="B3149">
        <v>13</v>
      </c>
      <c r="C3149">
        <v>0</v>
      </c>
      <c r="D3149">
        <v>18</v>
      </c>
      <c r="E3149">
        <v>4</v>
      </c>
      <c r="F3149">
        <v>3157</v>
      </c>
      <c r="G3149">
        <v>51</v>
      </c>
      <c r="H3149">
        <v>38</v>
      </c>
      <c r="I3149">
        <v>21</v>
      </c>
      <c r="J3149">
        <v>3</v>
      </c>
      <c r="K3149">
        <v>1</v>
      </c>
      <c r="L3149">
        <v>1</v>
      </c>
      <c r="M3149">
        <v>30</v>
      </c>
      <c r="N3149">
        <v>280.32</v>
      </c>
      <c r="O3149">
        <v>0</v>
      </c>
      <c r="P3149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49" t="str">
        <f>IF(Table1[[#This Row],[Fraud_Score]]&gt;=6, "High Risk",IF(Table1[[#This Row],[Fraud_Score]]&gt;=3, "Medium Risk", "Low Risk"))</f>
        <v>Low Risk</v>
      </c>
      <c r="R3149">
        <f>IF(Table1[[#This Row],[Seconds of Use]]=0,0,Table1[[#This Row],[Customer Value]]/Table1[[#This Row],[Seconds of Use]]*100)</f>
        <v>8.8793158061450743</v>
      </c>
    </row>
    <row r="3150" spans="1:18" x14ac:dyDescent="0.35">
      <c r="A3150" s="3" t="s">
        <v>3171</v>
      </c>
      <c r="B3150">
        <v>7</v>
      </c>
      <c r="C3150">
        <v>0</v>
      </c>
      <c r="D3150">
        <v>11</v>
      </c>
      <c r="E3150">
        <v>2</v>
      </c>
      <c r="F3150">
        <v>4695</v>
      </c>
      <c r="G3150">
        <v>46</v>
      </c>
      <c r="H3150">
        <v>222</v>
      </c>
      <c r="I3150">
        <v>12</v>
      </c>
      <c r="J3150">
        <v>3</v>
      </c>
      <c r="K3150">
        <v>1</v>
      </c>
      <c r="L3150">
        <v>1</v>
      </c>
      <c r="M3150">
        <v>30</v>
      </c>
      <c r="N3150">
        <v>1077.6400000000001</v>
      </c>
      <c r="O3150">
        <v>0</v>
      </c>
      <c r="P3150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0</v>
      </c>
      <c r="Q3150" t="str">
        <f>IF(Table1[[#This Row],[Fraud_Score]]&gt;=6, "High Risk",IF(Table1[[#This Row],[Fraud_Score]]&gt;=3, "Medium Risk", "Low Risk"))</f>
        <v>Low Risk</v>
      </c>
      <c r="R3150">
        <f>IF(Table1[[#This Row],[Seconds of Use]]=0,0,Table1[[#This Row],[Customer Value]]/Table1[[#This Row],[Seconds of Use]]*100)</f>
        <v>22.952928647497338</v>
      </c>
    </row>
    <row r="3151" spans="1:18" x14ac:dyDescent="0.35">
      <c r="A3151" s="3" t="s">
        <v>3172</v>
      </c>
      <c r="B3151">
        <v>8</v>
      </c>
      <c r="C3151">
        <v>1</v>
      </c>
      <c r="D3151">
        <v>11</v>
      </c>
      <c r="E3151">
        <v>2</v>
      </c>
      <c r="F3151">
        <v>1792</v>
      </c>
      <c r="G3151">
        <v>25</v>
      </c>
      <c r="H3151">
        <v>7</v>
      </c>
      <c r="I3151">
        <v>9</v>
      </c>
      <c r="J3151">
        <v>3</v>
      </c>
      <c r="K3151">
        <v>1</v>
      </c>
      <c r="L3151">
        <v>1</v>
      </c>
      <c r="M3151">
        <v>30</v>
      </c>
      <c r="N3151">
        <v>100.68</v>
      </c>
      <c r="O3151">
        <v>1</v>
      </c>
      <c r="P3151">
        <f>IF(Table1[[#This Row],[Call  Failure]]&gt;10,2,0)+IF(Table1[[#This Row],[Complains]]=1,2,0)+IF(Table1[[#This Row],[Frequency of use]]&gt;AVERAGE(Table1[Frequency of use])*2,2,0)+IF(Table1[[#This Row],[Distinct Called Numbers]]&gt;AVERAGE(Table1[Distinct Called Numbers])*2,1,0)+IF(Table1[[#This Row],[Charge  Amount]]=0,1,0)</f>
        <v>2</v>
      </c>
      <c r="Q3151" t="str">
        <f>IF(Table1[[#This Row],[Fraud_Score]]&gt;=6, "High Risk",IF(Table1[[#This Row],[Fraud_Score]]&gt;=3, "Medium Risk", "Low Risk"))</f>
        <v>Low Risk</v>
      </c>
      <c r="R3151">
        <f>IF(Table1[[#This Row],[Seconds of Use]]=0,0,Table1[[#This Row],[Customer Value]]/Table1[[#This Row],[Seconds of Use]]*100)</f>
        <v>5.6183035714285721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PivotTable1</vt:lpstr>
      <vt:lpstr> PivotTable2</vt:lpstr>
      <vt:lpstr> PivotTable3</vt:lpstr>
      <vt:lpstr> PivotTable4</vt:lpstr>
      <vt:lpstr>Customer 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2026-05-13T05:13:57Z</dcterms:created>
  <dcterms:modified xsi:type="dcterms:W3CDTF">2026-05-13T09:39:43Z</dcterms:modified>
</cp:coreProperties>
</file>